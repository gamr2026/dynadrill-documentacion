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ynadrillec.sharepoint.com/sites/QHSEDOC/Documentos compartidos/DOC QHSE/3. SISTEMA DE GESTION 45001-2018/3. SEGURIDAD/2026/MATRIZ DE RIESGOS/ACTUAL/"/>
    </mc:Choice>
  </mc:AlternateContent>
  <xr:revisionPtr revIDLastSave="370" documentId="13_ncr:1_{2FEAD107-490F-4F8C-8616-3E1FDAFF5144}" xr6:coauthVersionLast="47" xr6:coauthVersionMax="47" xr10:uidLastSave="{1A401F3C-9E2D-4F2D-A613-AED6A6FB8D2D}"/>
  <bookViews>
    <workbookView xWindow="-108" yWindow="-108" windowWidth="23256" windowHeight="12456" tabRatio="680" activeTab="1" xr2:uid="{D0A8FBE1-346E-460A-B56B-319D53AC9005}"/>
  </bookViews>
  <sheets>
    <sheet name="GTC 45_Julio 2024" sheetId="40" r:id="rId1"/>
    <sheet name="GTC 45 - Julio 2026" sheetId="39" r:id="rId2"/>
    <sheet name="Hoja1" sheetId="42" r:id="rId3"/>
  </sheets>
  <definedNames>
    <definedName name="_xlnm._FilterDatabase" localSheetId="1" hidden="1">'GTC 45 - Julio 2026'!$A$19:$EV$344</definedName>
    <definedName name="_xlnm._FilterDatabase" localSheetId="0" hidden="1">'GTC 45_Julio 2024'!$A$19:$EV$351</definedName>
    <definedName name="_xlnm.Print_Area" localSheetId="1">'GTC 45 - Julio 2026'!$A$1:$AS$344</definedName>
    <definedName name="_xlnm.Print_Area" localSheetId="0">'GTC 45_Julio 2024'!$A$6:$AS$306</definedName>
    <definedName name="PRO" localSheetId="1">#REF!</definedName>
    <definedName name="PRO" localSheetId="0">#REF!</definedName>
    <definedName name="PRO">#REF!</definedName>
    <definedName name="_xlnm.Print_Titles" localSheetId="1">'GTC 45 - Julio 2026'!$1:$19</definedName>
    <definedName name="_xlnm.Print_Titles" localSheetId="0">'GTC 45_Julio 2024'!$1:$19</definedName>
    <definedName name="Z_B9E68875_44C3_4B13_8C44_5C267BF00AE7_.wvu.FilterData" localSheetId="1" hidden="1">'GTC 45 - Julio 2026'!$A$73:$AF$79</definedName>
    <definedName name="Z_B9E68875_44C3_4B13_8C44_5C267BF00AE7_.wvu.FilterData" localSheetId="0" hidden="1">'GTC 45_Julio 2024'!$A$74:$AF$80</definedName>
    <definedName name="Z_B9E68875_44C3_4B13_8C44_5C267BF00AE7_.wvu.PrintTitles" localSheetId="1" hidden="1">'GTC 45 - Julio 2026'!$6:$19</definedName>
    <definedName name="Z_B9E68875_44C3_4B13_8C44_5C267BF00AE7_.wvu.PrintTitles" localSheetId="0" hidden="1">'GTC 45_Julio 2024'!$6:$19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48" i="39" l="1"/>
  <c r="AJ248" i="39" s="1"/>
  <c r="AI249" i="39"/>
  <c r="AL249" i="39" s="1"/>
  <c r="AM249" i="39" s="1"/>
  <c r="AI250" i="39"/>
  <c r="AL250" i="39" s="1"/>
  <c r="AM250" i="39" s="1"/>
  <c r="AI251" i="39"/>
  <c r="AL251" i="39" s="1"/>
  <c r="AM251" i="39" s="1"/>
  <c r="R248" i="39"/>
  <c r="R249" i="39"/>
  <c r="U249" i="39" s="1"/>
  <c r="V249" i="39" s="1"/>
  <c r="W249" i="39" s="1"/>
  <c r="R250" i="39"/>
  <c r="S250" i="39" s="1"/>
  <c r="R251" i="39"/>
  <c r="U251" i="39" s="1"/>
  <c r="V251" i="39" s="1"/>
  <c r="W251" i="39" s="1"/>
  <c r="U248" i="39" l="1"/>
  <c r="V248" i="39" s="1"/>
  <c r="W248" i="39" s="1"/>
  <c r="S248" i="39"/>
  <c r="AJ251" i="39"/>
  <c r="S251" i="39"/>
  <c r="AJ250" i="39"/>
  <c r="U250" i="39"/>
  <c r="V250" i="39" s="1"/>
  <c r="W250" i="39" s="1"/>
  <c r="S249" i="39"/>
  <c r="AJ249" i="39"/>
  <c r="AL248" i="39"/>
  <c r="AM248" i="39" s="1"/>
  <c r="R6" i="39"/>
  <c r="V39" i="39"/>
  <c r="W39" i="39" s="1"/>
  <c r="AI339" i="39"/>
  <c r="AL339" i="39" s="1"/>
  <c r="AM339" i="39" s="1"/>
  <c r="R339" i="39"/>
  <c r="U339" i="39" s="1"/>
  <c r="AI338" i="39"/>
  <c r="AL338" i="39" s="1"/>
  <c r="AM338" i="39" s="1"/>
  <c r="R338" i="39"/>
  <c r="S338" i="39" s="1"/>
  <c r="AI337" i="39"/>
  <c r="AL337" i="39" s="1"/>
  <c r="AM337" i="39" s="1"/>
  <c r="R337" i="39"/>
  <c r="U337" i="39" s="1"/>
  <c r="AI336" i="39"/>
  <c r="AJ336" i="39" s="1"/>
  <c r="R336" i="39"/>
  <c r="U336" i="39" s="1"/>
  <c r="V336" i="39" s="1"/>
  <c r="R41" i="39"/>
  <c r="S41" i="39" s="1"/>
  <c r="AI41" i="39"/>
  <c r="AJ41" i="39" s="1"/>
  <c r="AI39" i="39"/>
  <c r="AL39" i="39" s="1"/>
  <c r="AM39" i="39" s="1"/>
  <c r="R39" i="39"/>
  <c r="AI351" i="40"/>
  <c r="AL351" i="40" s="1"/>
  <c r="AM351" i="40" s="1"/>
  <c r="R351" i="40"/>
  <c r="U351" i="40" s="1"/>
  <c r="V351" i="40" s="1"/>
  <c r="W351" i="40" s="1"/>
  <c r="AI350" i="40"/>
  <c r="AL350" i="40" s="1"/>
  <c r="AM350" i="40" s="1"/>
  <c r="W350" i="40"/>
  <c r="R350" i="40"/>
  <c r="U350" i="40" s="1"/>
  <c r="V350" i="40" s="1"/>
  <c r="AL349" i="40"/>
  <c r="AM349" i="40" s="1"/>
  <c r="AI349" i="40"/>
  <c r="AJ349" i="40" s="1"/>
  <c r="R349" i="40"/>
  <c r="U349" i="40" s="1"/>
  <c r="V349" i="40" s="1"/>
  <c r="W349" i="40" s="1"/>
  <c r="AI348" i="40"/>
  <c r="AL348" i="40" s="1"/>
  <c r="AM348" i="40" s="1"/>
  <c r="S348" i="40"/>
  <c r="R348" i="40"/>
  <c r="U348" i="40" s="1"/>
  <c r="V348" i="40" s="1"/>
  <c r="W348" i="40" s="1"/>
  <c r="AI347" i="40"/>
  <c r="R347" i="40"/>
  <c r="AI346" i="40"/>
  <c r="AJ346" i="40" s="1"/>
  <c r="R346" i="40"/>
  <c r="S346" i="40" s="1"/>
  <c r="AL345" i="40"/>
  <c r="AM345" i="40" s="1"/>
  <c r="AJ345" i="40"/>
  <c r="AI345" i="40"/>
  <c r="S345" i="40"/>
  <c r="R345" i="40"/>
  <c r="U345" i="40" s="1"/>
  <c r="V345" i="40" s="1"/>
  <c r="W345" i="40" s="1"/>
  <c r="AI344" i="40"/>
  <c r="R344" i="40"/>
  <c r="AL343" i="40"/>
  <c r="AM343" i="40" s="1"/>
  <c r="AI343" i="40"/>
  <c r="AJ343" i="40" s="1"/>
  <c r="R343" i="40"/>
  <c r="U343" i="40" s="1"/>
  <c r="V343" i="40" s="1"/>
  <c r="W343" i="40" s="1"/>
  <c r="AI342" i="40"/>
  <c r="AJ342" i="40" s="1"/>
  <c r="U342" i="40"/>
  <c r="V342" i="40" s="1"/>
  <c r="W342" i="40" s="1"/>
  <c r="R342" i="40"/>
  <c r="S342" i="40" s="1"/>
  <c r="AI341" i="40"/>
  <c r="AL341" i="40" s="1"/>
  <c r="AM341" i="40" s="1"/>
  <c r="S341" i="40"/>
  <c r="R341" i="40"/>
  <c r="U341" i="40" s="1"/>
  <c r="V341" i="40" s="1"/>
  <c r="W341" i="40" s="1"/>
  <c r="AI340" i="40"/>
  <c r="R340" i="40"/>
  <c r="U340" i="40" s="1"/>
  <c r="V340" i="40" s="1"/>
  <c r="W340" i="40" s="1"/>
  <c r="AL339" i="40"/>
  <c r="AM339" i="40" s="1"/>
  <c r="AI339" i="40"/>
  <c r="AJ339" i="40" s="1"/>
  <c r="U339" i="40"/>
  <c r="V339" i="40" s="1"/>
  <c r="W339" i="40" s="1"/>
  <c r="R339" i="40"/>
  <c r="S339" i="40" s="1"/>
  <c r="AI338" i="40"/>
  <c r="AL338" i="40" s="1"/>
  <c r="AM338" i="40" s="1"/>
  <c r="R338" i="40"/>
  <c r="S338" i="40" s="1"/>
  <c r="AL337" i="40"/>
  <c r="AM337" i="40" s="1"/>
  <c r="AI337" i="40"/>
  <c r="AJ337" i="40" s="1"/>
  <c r="U337" i="40"/>
  <c r="V337" i="40" s="1"/>
  <c r="W337" i="40" s="1"/>
  <c r="R337" i="40"/>
  <c r="S337" i="40" s="1"/>
  <c r="AI336" i="40"/>
  <c r="R336" i="40"/>
  <c r="U336" i="40" s="1"/>
  <c r="V336" i="40" s="1"/>
  <c r="W336" i="40" s="1"/>
  <c r="AI335" i="40"/>
  <c r="S335" i="40"/>
  <c r="R335" i="40"/>
  <c r="U335" i="40" s="1"/>
  <c r="V335" i="40" s="1"/>
  <c r="W335" i="40" s="1"/>
  <c r="AI334" i="40"/>
  <c r="AJ334" i="40" s="1"/>
  <c r="U334" i="40"/>
  <c r="V334" i="40" s="1"/>
  <c r="W334" i="40" s="1"/>
  <c r="R334" i="40"/>
  <c r="S334" i="40" s="1"/>
  <c r="AL333" i="40"/>
  <c r="AM333" i="40" s="1"/>
  <c r="AJ333" i="40"/>
  <c r="AI333" i="40"/>
  <c r="R333" i="40"/>
  <c r="S333" i="40" s="1"/>
  <c r="AI332" i="40"/>
  <c r="R332" i="40"/>
  <c r="AI331" i="40"/>
  <c r="AJ331" i="40" s="1"/>
  <c r="R331" i="40"/>
  <c r="U331" i="40" s="1"/>
  <c r="V331" i="40" s="1"/>
  <c r="W331" i="40" s="1"/>
  <c r="AI330" i="40"/>
  <c r="AJ330" i="40" s="1"/>
  <c r="R330" i="40"/>
  <c r="S330" i="40" s="1"/>
  <c r="AL329" i="40"/>
  <c r="AM329" i="40" s="1"/>
  <c r="AI329" i="40"/>
  <c r="AJ329" i="40" s="1"/>
  <c r="U329" i="40"/>
  <c r="V329" i="40" s="1"/>
  <c r="W329" i="40" s="1"/>
  <c r="S329" i="40"/>
  <c r="R329" i="40"/>
  <c r="AI328" i="40"/>
  <c r="R328" i="40"/>
  <c r="U328" i="40" s="1"/>
  <c r="V328" i="40" s="1"/>
  <c r="W328" i="40" s="1"/>
  <c r="AL327" i="40"/>
  <c r="AM327" i="40" s="1"/>
  <c r="AI327" i="40"/>
  <c r="AJ327" i="40" s="1"/>
  <c r="U327" i="40"/>
  <c r="V327" i="40" s="1"/>
  <c r="W327" i="40" s="1"/>
  <c r="R327" i="40"/>
  <c r="S327" i="40" s="1"/>
  <c r="AI326" i="40"/>
  <c r="AJ326" i="40" s="1"/>
  <c r="R326" i="40"/>
  <c r="S326" i="40" s="1"/>
  <c r="AL325" i="40"/>
  <c r="AM325" i="40" s="1"/>
  <c r="AI325" i="40"/>
  <c r="AJ325" i="40" s="1"/>
  <c r="U325" i="40"/>
  <c r="V325" i="40" s="1"/>
  <c r="W325" i="40" s="1"/>
  <c r="S325" i="40"/>
  <c r="R325" i="40"/>
  <c r="AI324" i="40"/>
  <c r="R324" i="40"/>
  <c r="U324" i="40" s="1"/>
  <c r="V324" i="40" s="1"/>
  <c r="W324" i="40" s="1"/>
  <c r="AI323" i="40"/>
  <c r="AJ323" i="40" s="1"/>
  <c r="R323" i="40"/>
  <c r="S323" i="40" s="1"/>
  <c r="AI322" i="40"/>
  <c r="U322" i="40"/>
  <c r="V322" i="40" s="1"/>
  <c r="W322" i="40" s="1"/>
  <c r="R322" i="40"/>
  <c r="S322" i="40" s="1"/>
  <c r="AI321" i="40"/>
  <c r="AL321" i="40" s="1"/>
  <c r="AM321" i="40" s="1"/>
  <c r="S321" i="40"/>
  <c r="R321" i="40"/>
  <c r="U321" i="40" s="1"/>
  <c r="V321" i="40" s="1"/>
  <c r="W321" i="40" s="1"/>
  <c r="AI320" i="40"/>
  <c r="R320" i="40"/>
  <c r="U320" i="40" s="1"/>
  <c r="V320" i="40" s="1"/>
  <c r="W320" i="40" s="1"/>
  <c r="AI319" i="40"/>
  <c r="R319" i="40"/>
  <c r="U319" i="40" s="1"/>
  <c r="V319" i="40" s="1"/>
  <c r="W319" i="40" s="1"/>
  <c r="AI318" i="40"/>
  <c r="AJ318" i="40" s="1"/>
  <c r="R318" i="40"/>
  <c r="S318" i="40" s="1"/>
  <c r="AM317" i="40"/>
  <c r="AL317" i="40"/>
  <c r="AJ317" i="40"/>
  <c r="AI317" i="40"/>
  <c r="U317" i="40"/>
  <c r="V317" i="40" s="1"/>
  <c r="W317" i="40" s="1"/>
  <c r="R317" i="40"/>
  <c r="S317" i="40" s="1"/>
  <c r="AI316" i="40"/>
  <c r="R316" i="40"/>
  <c r="AI315" i="40"/>
  <c r="AJ315" i="40" s="1"/>
  <c r="R315" i="40"/>
  <c r="U315" i="40" s="1"/>
  <c r="V315" i="40" s="1"/>
  <c r="W315" i="40" s="1"/>
  <c r="AL314" i="40"/>
  <c r="AM314" i="40" s="1"/>
  <c r="AI314" i="40"/>
  <c r="AJ314" i="40" s="1"/>
  <c r="R314" i="40"/>
  <c r="S314" i="40" s="1"/>
  <c r="AJ313" i="40"/>
  <c r="AI313" i="40"/>
  <c r="AL313" i="40" s="1"/>
  <c r="AM313" i="40" s="1"/>
  <c r="U313" i="40"/>
  <c r="V313" i="40" s="1"/>
  <c r="W313" i="40" s="1"/>
  <c r="R313" i="40"/>
  <c r="S313" i="40" s="1"/>
  <c r="AI312" i="40"/>
  <c r="R312" i="40"/>
  <c r="AI311" i="40"/>
  <c r="AJ311" i="40" s="1"/>
  <c r="R311" i="40"/>
  <c r="S311" i="40" s="1"/>
  <c r="AI310" i="40"/>
  <c r="AJ310" i="40" s="1"/>
  <c r="R310" i="40"/>
  <c r="S310" i="40" s="1"/>
  <c r="AJ309" i="40"/>
  <c r="AI309" i="40"/>
  <c r="AL309" i="40" s="1"/>
  <c r="AM309" i="40" s="1"/>
  <c r="U309" i="40"/>
  <c r="V309" i="40" s="1"/>
  <c r="W309" i="40" s="1"/>
  <c r="R309" i="40"/>
  <c r="S309" i="40" s="1"/>
  <c r="AI308" i="40"/>
  <c r="R308" i="40"/>
  <c r="AL307" i="40"/>
  <c r="AM307" i="40" s="1"/>
  <c r="AI307" i="40"/>
  <c r="AJ307" i="40" s="1"/>
  <c r="U307" i="40"/>
  <c r="V307" i="40" s="1"/>
  <c r="W307" i="40" s="1"/>
  <c r="R307" i="40"/>
  <c r="S307" i="40" s="1"/>
  <c r="AI306" i="40"/>
  <c r="AL306" i="40" s="1"/>
  <c r="AM306" i="40" s="1"/>
  <c r="U306" i="40"/>
  <c r="V306" i="40" s="1"/>
  <c r="W306" i="40" s="1"/>
  <c r="R306" i="40"/>
  <c r="S306" i="40" s="1"/>
  <c r="AM305" i="40"/>
  <c r="AL305" i="40"/>
  <c r="AJ305" i="40"/>
  <c r="AI305" i="40"/>
  <c r="U305" i="40"/>
  <c r="V305" i="40" s="1"/>
  <c r="W305" i="40" s="1"/>
  <c r="S305" i="40"/>
  <c r="R305" i="40"/>
  <c r="AI304" i="40"/>
  <c r="V304" i="40"/>
  <c r="W304" i="40" s="1"/>
  <c r="R304" i="40"/>
  <c r="U304" i="40" s="1"/>
  <c r="AI303" i="40"/>
  <c r="R303" i="40"/>
  <c r="U303" i="40" s="1"/>
  <c r="V303" i="40" s="1"/>
  <c r="W303" i="40" s="1"/>
  <c r="AJ302" i="40"/>
  <c r="AI302" i="40"/>
  <c r="AL302" i="40" s="1"/>
  <c r="AM302" i="40" s="1"/>
  <c r="R302" i="40"/>
  <c r="S302" i="40" s="1"/>
  <c r="AL301" i="40"/>
  <c r="AM301" i="40" s="1"/>
  <c r="AI301" i="40"/>
  <c r="AJ301" i="40" s="1"/>
  <c r="U301" i="40"/>
  <c r="V301" i="40" s="1"/>
  <c r="W301" i="40" s="1"/>
  <c r="S301" i="40"/>
  <c r="R301" i="40"/>
  <c r="AI300" i="40"/>
  <c r="R300" i="40"/>
  <c r="AL299" i="40"/>
  <c r="AM299" i="40" s="1"/>
  <c r="AI299" i="40"/>
  <c r="AJ299" i="40" s="1"/>
  <c r="R299" i="40"/>
  <c r="S299" i="40" s="1"/>
  <c r="AI298" i="40"/>
  <c r="AL298" i="40" s="1"/>
  <c r="AM298" i="40" s="1"/>
  <c r="R298" i="40"/>
  <c r="S298" i="40" s="1"/>
  <c r="AL297" i="40"/>
  <c r="AM297" i="40" s="1"/>
  <c r="AJ297" i="40"/>
  <c r="AI297" i="40"/>
  <c r="W297" i="40"/>
  <c r="U297" i="40"/>
  <c r="V297" i="40" s="1"/>
  <c r="S297" i="40"/>
  <c r="R297" i="40"/>
  <c r="AI296" i="40"/>
  <c r="W296" i="40"/>
  <c r="S296" i="40"/>
  <c r="R296" i="40"/>
  <c r="U296" i="40" s="1"/>
  <c r="V296" i="40" s="1"/>
  <c r="AI295" i="40"/>
  <c r="R295" i="40"/>
  <c r="U295" i="40" s="1"/>
  <c r="V295" i="40" s="1"/>
  <c r="W295" i="40" s="1"/>
  <c r="AI294" i="40"/>
  <c r="AJ294" i="40" s="1"/>
  <c r="R294" i="40"/>
  <c r="S294" i="40" s="1"/>
  <c r="AJ293" i="40"/>
  <c r="AI293" i="40"/>
  <c r="AL293" i="40" s="1"/>
  <c r="AM293" i="40" s="1"/>
  <c r="R293" i="40"/>
  <c r="U293" i="40" s="1"/>
  <c r="V293" i="40" s="1"/>
  <c r="W293" i="40" s="1"/>
  <c r="AI292" i="40"/>
  <c r="S292" i="40"/>
  <c r="R292" i="40"/>
  <c r="U292" i="40" s="1"/>
  <c r="V292" i="40" s="1"/>
  <c r="W292" i="40" s="1"/>
  <c r="AI291" i="40"/>
  <c r="R291" i="40"/>
  <c r="AI290" i="40"/>
  <c r="AL290" i="40" s="1"/>
  <c r="AM290" i="40" s="1"/>
  <c r="R290" i="40"/>
  <c r="S290" i="40" s="1"/>
  <c r="AL289" i="40"/>
  <c r="AM289" i="40" s="1"/>
  <c r="AI289" i="40"/>
  <c r="AJ289" i="40" s="1"/>
  <c r="U289" i="40"/>
  <c r="V289" i="40" s="1"/>
  <c r="W289" i="40" s="1"/>
  <c r="R289" i="40"/>
  <c r="S289" i="40" s="1"/>
  <c r="AI288" i="40"/>
  <c r="R288" i="40"/>
  <c r="U288" i="40" s="1"/>
  <c r="V288" i="40" s="1"/>
  <c r="W288" i="40" s="1"/>
  <c r="AI287" i="40"/>
  <c r="R287" i="40"/>
  <c r="U287" i="40" s="1"/>
  <c r="V287" i="40" s="1"/>
  <c r="W287" i="40" s="1"/>
  <c r="AL286" i="40"/>
  <c r="AM286" i="40" s="1"/>
  <c r="AJ286" i="40"/>
  <c r="AI286" i="40"/>
  <c r="R286" i="40"/>
  <c r="S286" i="40" s="1"/>
  <c r="AI285" i="40"/>
  <c r="AJ285" i="40" s="1"/>
  <c r="R285" i="40"/>
  <c r="U285" i="40" s="1"/>
  <c r="V285" i="40" s="1"/>
  <c r="W285" i="40" s="1"/>
  <c r="AI284" i="40"/>
  <c r="R284" i="40"/>
  <c r="AL283" i="40"/>
  <c r="AM283" i="40" s="1"/>
  <c r="AI283" i="40"/>
  <c r="AJ283" i="40" s="1"/>
  <c r="R283" i="40"/>
  <c r="S283" i="40" s="1"/>
  <c r="AI282" i="40"/>
  <c r="AL282" i="40" s="1"/>
  <c r="AM282" i="40" s="1"/>
  <c r="R282" i="40"/>
  <c r="S282" i="40" s="1"/>
  <c r="AJ281" i="40"/>
  <c r="AI281" i="40"/>
  <c r="AL281" i="40" s="1"/>
  <c r="AM281" i="40" s="1"/>
  <c r="U281" i="40"/>
  <c r="V281" i="40" s="1"/>
  <c r="W281" i="40" s="1"/>
  <c r="R281" i="40"/>
  <c r="S281" i="40" s="1"/>
  <c r="AI280" i="40"/>
  <c r="W280" i="40"/>
  <c r="R280" i="40"/>
  <c r="U280" i="40" s="1"/>
  <c r="V280" i="40" s="1"/>
  <c r="AI279" i="40"/>
  <c r="R279" i="40"/>
  <c r="U279" i="40" s="1"/>
  <c r="V279" i="40" s="1"/>
  <c r="W279" i="40" s="1"/>
  <c r="AI278" i="40"/>
  <c r="AJ278" i="40" s="1"/>
  <c r="R278" i="40"/>
  <c r="S278" i="40" s="1"/>
  <c r="AI277" i="40"/>
  <c r="AJ277" i="40" s="1"/>
  <c r="R277" i="40"/>
  <c r="U277" i="40" s="1"/>
  <c r="V277" i="40" s="1"/>
  <c r="W277" i="40" s="1"/>
  <c r="AI276" i="40"/>
  <c r="W276" i="40"/>
  <c r="V276" i="40"/>
  <c r="S276" i="40"/>
  <c r="R276" i="40"/>
  <c r="U276" i="40" s="1"/>
  <c r="AI275" i="40"/>
  <c r="R275" i="40"/>
  <c r="AJ274" i="40"/>
  <c r="AI274" i="40"/>
  <c r="AL274" i="40" s="1"/>
  <c r="AM274" i="40" s="1"/>
  <c r="U274" i="40"/>
  <c r="V274" i="40" s="1"/>
  <c r="W274" i="40" s="1"/>
  <c r="R274" i="40"/>
  <c r="S274" i="40" s="1"/>
  <c r="AI273" i="40"/>
  <c r="AL273" i="40" s="1"/>
  <c r="AM273" i="40" s="1"/>
  <c r="S273" i="40"/>
  <c r="R273" i="40"/>
  <c r="U273" i="40" s="1"/>
  <c r="V273" i="40" s="1"/>
  <c r="W273" i="40" s="1"/>
  <c r="AI272" i="40"/>
  <c r="R272" i="40"/>
  <c r="U272" i="40" s="1"/>
  <c r="V272" i="40" s="1"/>
  <c r="W272" i="40" s="1"/>
  <c r="AI271" i="40"/>
  <c r="R271" i="40"/>
  <c r="U271" i="40" s="1"/>
  <c r="V271" i="40" s="1"/>
  <c r="W271" i="40" s="1"/>
  <c r="AL270" i="40"/>
  <c r="AM270" i="40" s="1"/>
  <c r="AJ270" i="40"/>
  <c r="AI270" i="40"/>
  <c r="R270" i="40"/>
  <c r="S270" i="40" s="1"/>
  <c r="AJ269" i="40"/>
  <c r="AI269" i="40"/>
  <c r="AL269" i="40" s="1"/>
  <c r="AM269" i="40" s="1"/>
  <c r="R269" i="40"/>
  <c r="U269" i="40" s="1"/>
  <c r="V269" i="40" s="1"/>
  <c r="W269" i="40" s="1"/>
  <c r="AI268" i="40"/>
  <c r="R268" i="40"/>
  <c r="AL267" i="40"/>
  <c r="AM267" i="40" s="1"/>
  <c r="AI267" i="40"/>
  <c r="AJ267" i="40" s="1"/>
  <c r="R267" i="40"/>
  <c r="S267" i="40" s="1"/>
  <c r="AI266" i="40"/>
  <c r="AJ266" i="40" s="1"/>
  <c r="U266" i="40"/>
  <c r="V266" i="40" s="1"/>
  <c r="W266" i="40" s="1"/>
  <c r="R266" i="40"/>
  <c r="S266" i="40" s="1"/>
  <c r="AI265" i="40"/>
  <c r="AJ265" i="40" s="1"/>
  <c r="R265" i="40"/>
  <c r="U265" i="40" s="1"/>
  <c r="V265" i="40" s="1"/>
  <c r="W265" i="40" s="1"/>
  <c r="AI264" i="40"/>
  <c r="S264" i="40"/>
  <c r="R264" i="40"/>
  <c r="U264" i="40" s="1"/>
  <c r="V264" i="40" s="1"/>
  <c r="W264" i="40" s="1"/>
  <c r="AI263" i="40"/>
  <c r="R263" i="40"/>
  <c r="U263" i="40" s="1"/>
  <c r="V263" i="40" s="1"/>
  <c r="W263" i="40" s="1"/>
  <c r="AI262" i="40"/>
  <c r="AJ262" i="40" s="1"/>
  <c r="U262" i="40"/>
  <c r="V262" i="40" s="1"/>
  <c r="W262" i="40" s="1"/>
  <c r="R262" i="40"/>
  <c r="S262" i="40" s="1"/>
  <c r="AM261" i="40"/>
  <c r="AL261" i="40"/>
  <c r="AJ261" i="40"/>
  <c r="AI261" i="40"/>
  <c r="R261" i="40"/>
  <c r="U261" i="40" s="1"/>
  <c r="V261" i="40" s="1"/>
  <c r="W261" i="40" s="1"/>
  <c r="AI260" i="40"/>
  <c r="R260" i="40"/>
  <c r="U260" i="40" s="1"/>
  <c r="V260" i="40" s="1"/>
  <c r="W260" i="40" s="1"/>
  <c r="AI259" i="40"/>
  <c r="R259" i="40"/>
  <c r="AI258" i="40"/>
  <c r="R258" i="40"/>
  <c r="S258" i="40" s="1"/>
  <c r="AL257" i="40"/>
  <c r="AM257" i="40" s="1"/>
  <c r="AI257" i="40"/>
  <c r="AJ257" i="40" s="1"/>
  <c r="U257" i="40"/>
  <c r="V257" i="40" s="1"/>
  <c r="W257" i="40" s="1"/>
  <c r="R257" i="40"/>
  <c r="S257" i="40" s="1"/>
  <c r="AI256" i="40"/>
  <c r="V256" i="40"/>
  <c r="W256" i="40" s="1"/>
  <c r="R256" i="40"/>
  <c r="U256" i="40" s="1"/>
  <c r="AI255" i="40"/>
  <c r="S255" i="40"/>
  <c r="R255" i="40"/>
  <c r="U255" i="40" s="1"/>
  <c r="V255" i="40" s="1"/>
  <c r="W255" i="40" s="1"/>
  <c r="AI254" i="40"/>
  <c r="R254" i="40"/>
  <c r="S254" i="40" s="1"/>
  <c r="AI253" i="40"/>
  <c r="AL253" i="40" s="1"/>
  <c r="AM253" i="40" s="1"/>
  <c r="R253" i="40"/>
  <c r="S253" i="40" s="1"/>
  <c r="AI252" i="40"/>
  <c r="R252" i="40"/>
  <c r="AI251" i="40"/>
  <c r="AJ251" i="40" s="1"/>
  <c r="R251" i="40"/>
  <c r="S251" i="40" s="1"/>
  <c r="AI250" i="40"/>
  <c r="AL250" i="40" s="1"/>
  <c r="AM250" i="40" s="1"/>
  <c r="U250" i="40"/>
  <c r="V250" i="40" s="1"/>
  <c r="W250" i="40" s="1"/>
  <c r="R250" i="40"/>
  <c r="S250" i="40" s="1"/>
  <c r="AL249" i="40"/>
  <c r="AM249" i="40" s="1"/>
  <c r="AI249" i="40"/>
  <c r="AJ249" i="40" s="1"/>
  <c r="R249" i="40"/>
  <c r="U249" i="40" s="1"/>
  <c r="V249" i="40" s="1"/>
  <c r="W249" i="40" s="1"/>
  <c r="AI248" i="40"/>
  <c r="R248" i="40"/>
  <c r="AL247" i="40"/>
  <c r="AM247" i="40" s="1"/>
  <c r="AI247" i="40"/>
  <c r="AJ247" i="40" s="1"/>
  <c r="U247" i="40"/>
  <c r="V247" i="40" s="1"/>
  <c r="W247" i="40" s="1"/>
  <c r="R247" i="40"/>
  <c r="S247" i="40" s="1"/>
  <c r="AI246" i="40"/>
  <c r="AL246" i="40" s="1"/>
  <c r="AM246" i="40" s="1"/>
  <c r="R246" i="40"/>
  <c r="S246" i="40" s="1"/>
  <c r="AI245" i="40"/>
  <c r="AL245" i="40" s="1"/>
  <c r="AM245" i="40" s="1"/>
  <c r="U245" i="40"/>
  <c r="V245" i="40" s="1"/>
  <c r="W245" i="40" s="1"/>
  <c r="R245" i="40"/>
  <c r="S245" i="40" s="1"/>
  <c r="AI244" i="40"/>
  <c r="R244" i="40"/>
  <c r="AI243" i="40"/>
  <c r="AJ243" i="40" s="1"/>
  <c r="R243" i="40"/>
  <c r="S243" i="40" s="1"/>
  <c r="AL242" i="40"/>
  <c r="AM242" i="40" s="1"/>
  <c r="AI242" i="40"/>
  <c r="AJ242" i="40" s="1"/>
  <c r="U242" i="40"/>
  <c r="V242" i="40" s="1"/>
  <c r="W242" i="40" s="1"/>
  <c r="S242" i="40"/>
  <c r="R242" i="40"/>
  <c r="AL241" i="40"/>
  <c r="AM241" i="40" s="1"/>
  <c r="AJ241" i="40"/>
  <c r="AI241" i="40"/>
  <c r="R241" i="40"/>
  <c r="S241" i="40" s="1"/>
  <c r="AI240" i="40"/>
  <c r="R240" i="40"/>
  <c r="AI239" i="40"/>
  <c r="R239" i="40"/>
  <c r="S239" i="40" s="1"/>
  <c r="AI238" i="40"/>
  <c r="W238" i="40"/>
  <c r="U238" i="40"/>
  <c r="V238" i="40" s="1"/>
  <c r="S238" i="40"/>
  <c r="R238" i="40"/>
  <c r="AI237" i="40"/>
  <c r="AL237" i="40" s="1"/>
  <c r="AM237" i="40" s="1"/>
  <c r="V237" i="40"/>
  <c r="W237" i="40" s="1"/>
  <c r="U237" i="40"/>
  <c r="S237" i="40"/>
  <c r="R237" i="40"/>
  <c r="AI236" i="40"/>
  <c r="R236" i="40"/>
  <c r="U236" i="40" s="1"/>
  <c r="V236" i="40" s="1"/>
  <c r="W236" i="40" s="1"/>
  <c r="AI235" i="40"/>
  <c r="AJ235" i="40" s="1"/>
  <c r="R235" i="40"/>
  <c r="S235" i="40" s="1"/>
  <c r="AI234" i="40"/>
  <c r="AL234" i="40" s="1"/>
  <c r="AM234" i="40" s="1"/>
  <c r="U234" i="40"/>
  <c r="V234" i="40" s="1"/>
  <c r="W234" i="40" s="1"/>
  <c r="R234" i="40"/>
  <c r="S234" i="40" s="1"/>
  <c r="AL233" i="40"/>
  <c r="AM233" i="40" s="1"/>
  <c r="AJ233" i="40"/>
  <c r="AI233" i="40"/>
  <c r="U233" i="40"/>
  <c r="V233" i="40" s="1"/>
  <c r="W233" i="40" s="1"/>
  <c r="S233" i="40"/>
  <c r="R233" i="40"/>
  <c r="AI232" i="40"/>
  <c r="R232" i="40"/>
  <c r="U232" i="40" s="1"/>
  <c r="V232" i="40" s="1"/>
  <c r="W232" i="40" s="1"/>
  <c r="AL231" i="40"/>
  <c r="AM231" i="40" s="1"/>
  <c r="AI231" i="40"/>
  <c r="AJ231" i="40" s="1"/>
  <c r="R231" i="40"/>
  <c r="U231" i="40" s="1"/>
  <c r="V231" i="40" s="1"/>
  <c r="W231" i="40" s="1"/>
  <c r="AI230" i="40"/>
  <c r="AJ230" i="40" s="1"/>
  <c r="U230" i="40"/>
  <c r="V230" i="40" s="1"/>
  <c r="W230" i="40" s="1"/>
  <c r="R230" i="40"/>
  <c r="S230" i="40" s="1"/>
  <c r="AL229" i="40"/>
  <c r="AM229" i="40" s="1"/>
  <c r="AJ229" i="40"/>
  <c r="AI229" i="40"/>
  <c r="R229" i="40"/>
  <c r="S229" i="40" s="1"/>
  <c r="AI228" i="40"/>
  <c r="AJ228" i="40" s="1"/>
  <c r="R228" i="40"/>
  <c r="AI227" i="40"/>
  <c r="R227" i="40"/>
  <c r="S227" i="40" s="1"/>
  <c r="AI226" i="40"/>
  <c r="AJ226" i="40" s="1"/>
  <c r="U226" i="40"/>
  <c r="V226" i="40" s="1"/>
  <c r="W226" i="40" s="1"/>
  <c r="S226" i="40"/>
  <c r="R226" i="40"/>
  <c r="AL225" i="40"/>
  <c r="AM225" i="40" s="1"/>
  <c r="AJ225" i="40"/>
  <c r="AI225" i="40"/>
  <c r="U225" i="40"/>
  <c r="V225" i="40" s="1"/>
  <c r="W225" i="40" s="1"/>
  <c r="R225" i="40"/>
  <c r="S225" i="40" s="1"/>
  <c r="AI224" i="40"/>
  <c r="AJ224" i="40" s="1"/>
  <c r="R224" i="40"/>
  <c r="U224" i="40" s="1"/>
  <c r="V224" i="40" s="1"/>
  <c r="W224" i="40" s="1"/>
  <c r="AI223" i="40"/>
  <c r="AJ223" i="40" s="1"/>
  <c r="R223" i="40"/>
  <c r="U223" i="40" s="1"/>
  <c r="V223" i="40" s="1"/>
  <c r="W223" i="40" s="1"/>
  <c r="AJ222" i="40"/>
  <c r="AI222" i="40"/>
  <c r="AL222" i="40" s="1"/>
  <c r="AM222" i="40" s="1"/>
  <c r="U222" i="40"/>
  <c r="V222" i="40" s="1"/>
  <c r="W222" i="40" s="1"/>
  <c r="R222" i="40"/>
  <c r="S222" i="40" s="1"/>
  <c r="AL221" i="40"/>
  <c r="AM221" i="40" s="1"/>
  <c r="AJ221" i="40"/>
  <c r="AI221" i="40"/>
  <c r="R221" i="40"/>
  <c r="S221" i="40" s="1"/>
  <c r="AI220" i="40"/>
  <c r="AJ220" i="40" s="1"/>
  <c r="R220" i="40"/>
  <c r="AL219" i="40"/>
  <c r="AM219" i="40" s="1"/>
  <c r="AI219" i="40"/>
  <c r="AJ219" i="40" s="1"/>
  <c r="R219" i="40"/>
  <c r="S219" i="40" s="1"/>
  <c r="AI218" i="40"/>
  <c r="R218" i="40"/>
  <c r="U218" i="40" s="1"/>
  <c r="V218" i="40" s="1"/>
  <c r="W218" i="40" s="1"/>
  <c r="AJ217" i="40"/>
  <c r="AI217" i="40"/>
  <c r="AL217" i="40" s="1"/>
  <c r="AM217" i="40" s="1"/>
  <c r="R217" i="40"/>
  <c r="U217" i="40" s="1"/>
  <c r="V217" i="40" s="1"/>
  <c r="W217" i="40" s="1"/>
  <c r="AL216" i="40"/>
  <c r="AM216" i="40" s="1"/>
  <c r="AI216" i="40"/>
  <c r="AJ216" i="40" s="1"/>
  <c r="R216" i="40"/>
  <c r="AI215" i="40"/>
  <c r="AJ215" i="40" s="1"/>
  <c r="R215" i="40"/>
  <c r="U215" i="40" s="1"/>
  <c r="V215" i="40" s="1"/>
  <c r="W215" i="40" s="1"/>
  <c r="AL214" i="40"/>
  <c r="AM214" i="40" s="1"/>
  <c r="AI214" i="40"/>
  <c r="AJ214" i="40" s="1"/>
  <c r="R214" i="40"/>
  <c r="S214" i="40" s="1"/>
  <c r="AI213" i="40"/>
  <c r="AL213" i="40" s="1"/>
  <c r="AM213" i="40" s="1"/>
  <c r="S213" i="40"/>
  <c r="R213" i="40"/>
  <c r="U213" i="40" s="1"/>
  <c r="V213" i="40" s="1"/>
  <c r="W213" i="40" s="1"/>
  <c r="AI212" i="40"/>
  <c r="AJ212" i="40" s="1"/>
  <c r="R212" i="40"/>
  <c r="U212" i="40" s="1"/>
  <c r="V212" i="40" s="1"/>
  <c r="W212" i="40" s="1"/>
  <c r="AL211" i="40"/>
  <c r="AM211" i="40" s="1"/>
  <c r="AI211" i="40"/>
  <c r="AJ211" i="40" s="1"/>
  <c r="R211" i="40"/>
  <c r="U211" i="40" s="1"/>
  <c r="V211" i="40" s="1"/>
  <c r="W211" i="40" s="1"/>
  <c r="AI210" i="40"/>
  <c r="AJ210" i="40" s="1"/>
  <c r="U210" i="40"/>
  <c r="V210" i="40" s="1"/>
  <c r="W210" i="40" s="1"/>
  <c r="S210" i="40"/>
  <c r="R210" i="40"/>
  <c r="AM209" i="40"/>
  <c r="AL209" i="40"/>
  <c r="AJ209" i="40"/>
  <c r="AI209" i="40"/>
  <c r="U209" i="40"/>
  <c r="V209" i="40" s="1"/>
  <c r="W209" i="40" s="1"/>
  <c r="R209" i="40"/>
  <c r="S209" i="40" s="1"/>
  <c r="AL208" i="40"/>
  <c r="AM208" i="40" s="1"/>
  <c r="AI208" i="40"/>
  <c r="AJ208" i="40" s="1"/>
  <c r="R208" i="40"/>
  <c r="U208" i="40" s="1"/>
  <c r="V208" i="40" s="1"/>
  <c r="W208" i="40" s="1"/>
  <c r="AL207" i="40"/>
  <c r="AM207" i="40" s="1"/>
  <c r="AI207" i="40"/>
  <c r="AJ207" i="40" s="1"/>
  <c r="W207" i="40"/>
  <c r="U207" i="40"/>
  <c r="V207" i="40" s="1"/>
  <c r="S207" i="40"/>
  <c r="R207" i="40"/>
  <c r="AI206" i="40"/>
  <c r="AL206" i="40" s="1"/>
  <c r="AM206" i="40" s="1"/>
  <c r="R206" i="40"/>
  <c r="S206" i="40" s="1"/>
  <c r="AI205" i="40"/>
  <c r="AL205" i="40" s="1"/>
  <c r="AM205" i="40" s="1"/>
  <c r="R205" i="40"/>
  <c r="S205" i="40" s="1"/>
  <c r="AI204" i="40"/>
  <c r="R204" i="40"/>
  <c r="U204" i="40" s="1"/>
  <c r="V204" i="40" s="1"/>
  <c r="W204" i="40" s="1"/>
  <c r="AL203" i="40"/>
  <c r="AM203" i="40" s="1"/>
  <c r="AI203" i="40"/>
  <c r="AJ203" i="40" s="1"/>
  <c r="R203" i="40"/>
  <c r="S203" i="40" s="1"/>
  <c r="AI202" i="40"/>
  <c r="R202" i="40"/>
  <c r="U202" i="40" s="1"/>
  <c r="V202" i="40" s="1"/>
  <c r="W202" i="40" s="1"/>
  <c r="AI201" i="40"/>
  <c r="AJ201" i="40" s="1"/>
  <c r="R201" i="40"/>
  <c r="U201" i="40" s="1"/>
  <c r="V201" i="40" s="1"/>
  <c r="W201" i="40" s="1"/>
  <c r="AI200" i="40"/>
  <c r="AJ200" i="40" s="1"/>
  <c r="R200" i="40"/>
  <c r="AI199" i="40"/>
  <c r="AJ199" i="40" s="1"/>
  <c r="R199" i="40"/>
  <c r="U199" i="40" s="1"/>
  <c r="V199" i="40" s="1"/>
  <c r="W199" i="40" s="1"/>
  <c r="AI198" i="40"/>
  <c r="AL198" i="40" s="1"/>
  <c r="AM198" i="40" s="1"/>
  <c r="S198" i="40"/>
  <c r="R198" i="40"/>
  <c r="U198" i="40" s="1"/>
  <c r="V198" i="40" s="1"/>
  <c r="W198" i="40" s="1"/>
  <c r="AL197" i="40"/>
  <c r="AM197" i="40" s="1"/>
  <c r="AI197" i="40"/>
  <c r="AJ197" i="40" s="1"/>
  <c r="U197" i="40"/>
  <c r="V197" i="40" s="1"/>
  <c r="W197" i="40" s="1"/>
  <c r="S197" i="40"/>
  <c r="R197" i="40"/>
  <c r="AL196" i="40"/>
  <c r="AM196" i="40" s="1"/>
  <c r="AI196" i="40"/>
  <c r="AJ196" i="40" s="1"/>
  <c r="R196" i="40"/>
  <c r="AI195" i="40"/>
  <c r="AJ195" i="40" s="1"/>
  <c r="U195" i="40"/>
  <c r="V195" i="40" s="1"/>
  <c r="W195" i="40" s="1"/>
  <c r="S195" i="40"/>
  <c r="R195" i="40"/>
  <c r="AL194" i="40"/>
  <c r="AM194" i="40" s="1"/>
  <c r="AI194" i="40"/>
  <c r="AJ194" i="40" s="1"/>
  <c r="R194" i="40"/>
  <c r="U194" i="40" s="1"/>
  <c r="V194" i="40" s="1"/>
  <c r="W194" i="40" s="1"/>
  <c r="AJ193" i="40"/>
  <c r="AI193" i="40"/>
  <c r="AL193" i="40" s="1"/>
  <c r="AM193" i="40" s="1"/>
  <c r="R193" i="40"/>
  <c r="U193" i="40" s="1"/>
  <c r="V193" i="40" s="1"/>
  <c r="W193" i="40" s="1"/>
  <c r="AI192" i="40"/>
  <c r="AJ192" i="40" s="1"/>
  <c r="V192" i="40"/>
  <c r="W192" i="40" s="1"/>
  <c r="S192" i="40"/>
  <c r="R192" i="40"/>
  <c r="U192" i="40" s="1"/>
  <c r="AI191" i="40"/>
  <c r="AJ191" i="40" s="1"/>
  <c r="R191" i="40"/>
  <c r="S191" i="40" s="1"/>
  <c r="AI190" i="40"/>
  <c r="AJ190" i="40" s="1"/>
  <c r="R190" i="40"/>
  <c r="U190" i="40" s="1"/>
  <c r="V190" i="40" s="1"/>
  <c r="AI189" i="40"/>
  <c r="R189" i="40"/>
  <c r="U189" i="40" s="1"/>
  <c r="V189" i="40" s="1"/>
  <c r="AI188" i="40"/>
  <c r="AL188" i="40" s="1"/>
  <c r="AM188" i="40" s="1"/>
  <c r="U188" i="40"/>
  <c r="V188" i="40" s="1"/>
  <c r="R188" i="40"/>
  <c r="S188" i="40" s="1"/>
  <c r="AI187" i="40"/>
  <c r="AJ187" i="40" s="1"/>
  <c r="R187" i="40"/>
  <c r="AI186" i="40"/>
  <c r="AL186" i="40" s="1"/>
  <c r="AM186" i="40" s="1"/>
  <c r="R186" i="40"/>
  <c r="U186" i="40" s="1"/>
  <c r="V186" i="40" s="1"/>
  <c r="AI185" i="40"/>
  <c r="R185" i="40"/>
  <c r="U185" i="40" s="1"/>
  <c r="V185" i="40" s="1"/>
  <c r="AL184" i="40"/>
  <c r="AM184" i="40" s="1"/>
  <c r="AI184" i="40"/>
  <c r="AJ184" i="40" s="1"/>
  <c r="S184" i="40"/>
  <c r="R184" i="40"/>
  <c r="U184" i="40" s="1"/>
  <c r="V184" i="40" s="1"/>
  <c r="AL183" i="40"/>
  <c r="AM183" i="40" s="1"/>
  <c r="AI183" i="40"/>
  <c r="AJ183" i="40" s="1"/>
  <c r="V183" i="40"/>
  <c r="S183" i="40"/>
  <c r="R183" i="40"/>
  <c r="U183" i="40" s="1"/>
  <c r="AI182" i="40"/>
  <c r="AL182" i="40" s="1"/>
  <c r="AM182" i="40" s="1"/>
  <c r="U182" i="40"/>
  <c r="V182" i="40" s="1"/>
  <c r="S182" i="40"/>
  <c r="R182" i="40"/>
  <c r="AI181" i="40"/>
  <c r="AJ181" i="40" s="1"/>
  <c r="U181" i="40"/>
  <c r="V181" i="40" s="1"/>
  <c r="R181" i="40"/>
  <c r="S181" i="40" s="1"/>
  <c r="AI180" i="40"/>
  <c r="AL180" i="40" s="1"/>
  <c r="AM180" i="40" s="1"/>
  <c r="U180" i="40"/>
  <c r="V180" i="40" s="1"/>
  <c r="R180" i="40"/>
  <c r="S180" i="40" s="1"/>
  <c r="AI179" i="40"/>
  <c r="AL179" i="40" s="1"/>
  <c r="AM179" i="40" s="1"/>
  <c r="S179" i="40"/>
  <c r="R179" i="40"/>
  <c r="U179" i="40" s="1"/>
  <c r="V179" i="40" s="1"/>
  <c r="AI178" i="40"/>
  <c r="R178" i="40"/>
  <c r="AI177" i="40"/>
  <c r="AL177" i="40" s="1"/>
  <c r="AM177" i="40" s="1"/>
  <c r="R177" i="40"/>
  <c r="U177" i="40" s="1"/>
  <c r="V177" i="40" s="1"/>
  <c r="AI176" i="40"/>
  <c r="AL176" i="40" s="1"/>
  <c r="AM176" i="40" s="1"/>
  <c r="R176" i="40"/>
  <c r="U176" i="40" s="1"/>
  <c r="V176" i="40" s="1"/>
  <c r="AL175" i="40"/>
  <c r="AM175" i="40" s="1"/>
  <c r="AI175" i="40"/>
  <c r="AJ175" i="40" s="1"/>
  <c r="U175" i="40"/>
  <c r="V175" i="40" s="1"/>
  <c r="W175" i="40" s="1"/>
  <c r="R175" i="40"/>
  <c r="S175" i="40" s="1"/>
  <c r="AI174" i="40"/>
  <c r="AL174" i="40" s="1"/>
  <c r="AM174" i="40" s="1"/>
  <c r="U174" i="40"/>
  <c r="V174" i="40" s="1"/>
  <c r="R174" i="40"/>
  <c r="S174" i="40" s="1"/>
  <c r="AL173" i="40"/>
  <c r="AM173" i="40" s="1"/>
  <c r="AI173" i="40"/>
  <c r="AJ173" i="40" s="1"/>
  <c r="R173" i="40"/>
  <c r="U173" i="40" s="1"/>
  <c r="V173" i="40" s="1"/>
  <c r="W173" i="40" s="1"/>
  <c r="AI172" i="40"/>
  <c r="R172" i="40"/>
  <c r="AI171" i="40"/>
  <c r="AL171" i="40" s="1"/>
  <c r="AM171" i="40" s="1"/>
  <c r="S171" i="40"/>
  <c r="R171" i="40"/>
  <c r="U171" i="40" s="1"/>
  <c r="V171" i="40" s="1"/>
  <c r="W171" i="40" s="1"/>
  <c r="AI170" i="40"/>
  <c r="AJ170" i="40" s="1"/>
  <c r="R170" i="40"/>
  <c r="U170" i="40" s="1"/>
  <c r="V170" i="40" s="1"/>
  <c r="W170" i="40" s="1"/>
  <c r="AL169" i="40"/>
  <c r="AM169" i="40" s="1"/>
  <c r="AJ169" i="40"/>
  <c r="AI169" i="40"/>
  <c r="R169" i="40"/>
  <c r="S169" i="40" s="1"/>
  <c r="AI168" i="40"/>
  <c r="AL168" i="40" s="1"/>
  <c r="AM168" i="40" s="1"/>
  <c r="R168" i="40"/>
  <c r="AI167" i="40"/>
  <c r="AL167" i="40" s="1"/>
  <c r="AM167" i="40" s="1"/>
  <c r="U167" i="40"/>
  <c r="V167" i="40" s="1"/>
  <c r="W167" i="40" s="1"/>
  <c r="R167" i="40"/>
  <c r="S167" i="40" s="1"/>
  <c r="AI166" i="40"/>
  <c r="AJ166" i="40" s="1"/>
  <c r="U166" i="40"/>
  <c r="V166" i="40" s="1"/>
  <c r="W166" i="40" s="1"/>
  <c r="R166" i="40"/>
  <c r="S166" i="40" s="1"/>
  <c r="AL165" i="40"/>
  <c r="AM165" i="40" s="1"/>
  <c r="AJ165" i="40"/>
  <c r="AI165" i="40"/>
  <c r="R165" i="40"/>
  <c r="S165" i="40" s="1"/>
  <c r="AI164" i="40"/>
  <c r="AL164" i="40" s="1"/>
  <c r="AM164" i="40" s="1"/>
  <c r="R164" i="40"/>
  <c r="AI163" i="40"/>
  <c r="AJ163" i="40" s="1"/>
  <c r="R163" i="40"/>
  <c r="U163" i="40" s="1"/>
  <c r="V163" i="40" s="1"/>
  <c r="W163" i="40" s="1"/>
  <c r="AI162" i="40"/>
  <c r="R162" i="40"/>
  <c r="U162" i="40" s="1"/>
  <c r="V162" i="40" s="1"/>
  <c r="W162" i="40" s="1"/>
  <c r="AJ161" i="40"/>
  <c r="AI161" i="40"/>
  <c r="AL161" i="40" s="1"/>
  <c r="AM161" i="40" s="1"/>
  <c r="U161" i="40"/>
  <c r="V161" i="40" s="1"/>
  <c r="W161" i="40" s="1"/>
  <c r="R161" i="40"/>
  <c r="S161" i="40" s="1"/>
  <c r="AI160" i="40"/>
  <c r="AL160" i="40" s="1"/>
  <c r="AM160" i="40" s="1"/>
  <c r="V160" i="40"/>
  <c r="W160" i="40" s="1"/>
  <c r="S160" i="40"/>
  <c r="R160" i="40"/>
  <c r="U160" i="40" s="1"/>
  <c r="AL159" i="40"/>
  <c r="AM159" i="40" s="1"/>
  <c r="AI159" i="40"/>
  <c r="AJ159" i="40" s="1"/>
  <c r="U159" i="40"/>
  <c r="V159" i="40" s="1"/>
  <c r="W159" i="40" s="1"/>
  <c r="R159" i="40"/>
  <c r="S159" i="40" s="1"/>
  <c r="AL158" i="40"/>
  <c r="AM158" i="40" s="1"/>
  <c r="AJ158" i="40"/>
  <c r="AI158" i="40"/>
  <c r="S158" i="40"/>
  <c r="R158" i="40"/>
  <c r="U158" i="40" s="1"/>
  <c r="V158" i="40" s="1"/>
  <c r="W158" i="40" s="1"/>
  <c r="AL157" i="40"/>
  <c r="AM157" i="40" s="1"/>
  <c r="AI157" i="40"/>
  <c r="AJ157" i="40" s="1"/>
  <c r="R157" i="40"/>
  <c r="AI156" i="40"/>
  <c r="R156" i="40"/>
  <c r="U156" i="40" s="1"/>
  <c r="V156" i="40" s="1"/>
  <c r="W156" i="40" s="1"/>
  <c r="AI155" i="40"/>
  <c r="V155" i="40"/>
  <c r="W155" i="40" s="1"/>
  <c r="S155" i="40"/>
  <c r="R155" i="40"/>
  <c r="U155" i="40" s="1"/>
  <c r="AI154" i="40"/>
  <c r="AL154" i="40" s="1"/>
  <c r="AM154" i="40" s="1"/>
  <c r="R154" i="40"/>
  <c r="S154" i="40" s="1"/>
  <c r="AI153" i="40"/>
  <c r="AL153" i="40" s="1"/>
  <c r="AM153" i="40" s="1"/>
  <c r="S153" i="40"/>
  <c r="R153" i="40"/>
  <c r="U153" i="40" s="1"/>
  <c r="V153" i="40" s="1"/>
  <c r="W153" i="40" s="1"/>
  <c r="AI152" i="40"/>
  <c r="AJ152" i="40" s="1"/>
  <c r="R152" i="40"/>
  <c r="U152" i="40" s="1"/>
  <c r="V152" i="40" s="1"/>
  <c r="W152" i="40" s="1"/>
  <c r="AL151" i="40"/>
  <c r="AM151" i="40" s="1"/>
  <c r="AI151" i="40"/>
  <c r="AJ151" i="40" s="1"/>
  <c r="V151" i="40"/>
  <c r="W151" i="40" s="1"/>
  <c r="S151" i="40"/>
  <c r="R151" i="40"/>
  <c r="U151" i="40" s="1"/>
  <c r="AI150" i="40"/>
  <c r="AJ150" i="40" s="1"/>
  <c r="U150" i="40"/>
  <c r="V150" i="40" s="1"/>
  <c r="W150" i="40" s="1"/>
  <c r="R150" i="40"/>
  <c r="S150" i="40" s="1"/>
  <c r="AL149" i="40"/>
  <c r="AM149" i="40" s="1"/>
  <c r="AI149" i="40"/>
  <c r="AJ149" i="40" s="1"/>
  <c r="R149" i="40"/>
  <c r="S149" i="40" s="1"/>
  <c r="AI148" i="40"/>
  <c r="R148" i="40"/>
  <c r="AI147" i="40"/>
  <c r="AL147" i="40" s="1"/>
  <c r="AM147" i="40" s="1"/>
  <c r="R147" i="40"/>
  <c r="U147" i="40" s="1"/>
  <c r="V147" i="40" s="1"/>
  <c r="W147" i="40" s="1"/>
  <c r="AI146" i="40"/>
  <c r="AJ146" i="40" s="1"/>
  <c r="R146" i="40"/>
  <c r="U146" i="40" s="1"/>
  <c r="V146" i="40" s="1"/>
  <c r="W146" i="40" s="1"/>
  <c r="AL145" i="40"/>
  <c r="AM145" i="40" s="1"/>
  <c r="AI145" i="40"/>
  <c r="AJ145" i="40" s="1"/>
  <c r="R145" i="40"/>
  <c r="AL144" i="40"/>
  <c r="AM144" i="40" s="1"/>
  <c r="AI144" i="40"/>
  <c r="AJ144" i="40" s="1"/>
  <c r="R144" i="40"/>
  <c r="AJ143" i="40"/>
  <c r="AI143" i="40"/>
  <c r="AL143" i="40" s="1"/>
  <c r="AM143" i="40" s="1"/>
  <c r="R143" i="40"/>
  <c r="U143" i="40" s="1"/>
  <c r="V143" i="40" s="1"/>
  <c r="W143" i="40" s="1"/>
  <c r="AI142" i="40"/>
  <c r="AJ142" i="40" s="1"/>
  <c r="R142" i="40"/>
  <c r="S142" i="40" s="1"/>
  <c r="AI141" i="40"/>
  <c r="AL141" i="40" s="1"/>
  <c r="AM141" i="40" s="1"/>
  <c r="U141" i="40"/>
  <c r="V141" i="40" s="1"/>
  <c r="W141" i="40" s="1"/>
  <c r="R141" i="40"/>
  <c r="S141" i="40" s="1"/>
  <c r="AL140" i="40"/>
  <c r="AM140" i="40" s="1"/>
  <c r="AI140" i="40"/>
  <c r="AJ140" i="40" s="1"/>
  <c r="R140" i="40"/>
  <c r="AI139" i="40"/>
  <c r="AJ139" i="40" s="1"/>
  <c r="S139" i="40"/>
  <c r="R139" i="40"/>
  <c r="U139" i="40" s="1"/>
  <c r="V139" i="40" s="1"/>
  <c r="W139" i="40" s="1"/>
  <c r="AI138" i="40"/>
  <c r="R138" i="40"/>
  <c r="U138" i="40" s="1"/>
  <c r="V138" i="40" s="1"/>
  <c r="W138" i="40" s="1"/>
  <c r="AL137" i="40"/>
  <c r="AM137" i="40" s="1"/>
  <c r="AI137" i="40"/>
  <c r="AJ137" i="40" s="1"/>
  <c r="R137" i="40"/>
  <c r="S137" i="40" s="1"/>
  <c r="AL136" i="40"/>
  <c r="AM136" i="40" s="1"/>
  <c r="AI136" i="40"/>
  <c r="AJ136" i="40" s="1"/>
  <c r="V136" i="40"/>
  <c r="W136" i="40" s="1"/>
  <c r="R136" i="40"/>
  <c r="U136" i="40" s="1"/>
  <c r="AI135" i="40"/>
  <c r="AJ135" i="40" s="1"/>
  <c r="R135" i="40"/>
  <c r="U135" i="40" s="1"/>
  <c r="V135" i="40" s="1"/>
  <c r="W135" i="40" s="1"/>
  <c r="AI134" i="40"/>
  <c r="AL134" i="40" s="1"/>
  <c r="AM134" i="40" s="1"/>
  <c r="S134" i="40"/>
  <c r="R134" i="40"/>
  <c r="U134" i="40" s="1"/>
  <c r="V134" i="40" s="1"/>
  <c r="W134" i="40" s="1"/>
  <c r="AI133" i="40"/>
  <c r="AJ133" i="40" s="1"/>
  <c r="R133" i="40"/>
  <c r="AI132" i="40"/>
  <c r="AJ132" i="40" s="1"/>
  <c r="V132" i="40"/>
  <c r="W132" i="40" s="1"/>
  <c r="S132" i="40"/>
  <c r="R132" i="40"/>
  <c r="U132" i="40" s="1"/>
  <c r="AI131" i="40"/>
  <c r="V131" i="40"/>
  <c r="W131" i="40" s="1"/>
  <c r="S131" i="40"/>
  <c r="R131" i="40"/>
  <c r="U131" i="40" s="1"/>
  <c r="AI130" i="40"/>
  <c r="AL130" i="40" s="1"/>
  <c r="AM130" i="40" s="1"/>
  <c r="R130" i="40"/>
  <c r="S130" i="40" s="1"/>
  <c r="AI129" i="40"/>
  <c r="U129" i="40"/>
  <c r="V129" i="40" s="1"/>
  <c r="W129" i="40" s="1"/>
  <c r="R129" i="40"/>
  <c r="S129" i="40" s="1"/>
  <c r="AM128" i="40"/>
  <c r="AJ128" i="40"/>
  <c r="AI128" i="40"/>
  <c r="AL128" i="40" s="1"/>
  <c r="R128" i="40"/>
  <c r="U128" i="40" s="1"/>
  <c r="V128" i="40" s="1"/>
  <c r="W128" i="40" s="1"/>
  <c r="AI127" i="40"/>
  <c r="R127" i="40"/>
  <c r="U127" i="40" s="1"/>
  <c r="V127" i="40" s="1"/>
  <c r="W127" i="40" s="1"/>
  <c r="AI126" i="40"/>
  <c r="AL126" i="40" s="1"/>
  <c r="AM126" i="40" s="1"/>
  <c r="R126" i="40"/>
  <c r="AI125" i="40"/>
  <c r="AL125" i="40" s="1"/>
  <c r="AM125" i="40" s="1"/>
  <c r="U125" i="40"/>
  <c r="V125" i="40" s="1"/>
  <c r="W125" i="40" s="1"/>
  <c r="R125" i="40"/>
  <c r="S125" i="40" s="1"/>
  <c r="AI124" i="40"/>
  <c r="AL124" i="40" s="1"/>
  <c r="AM124" i="40" s="1"/>
  <c r="R124" i="40"/>
  <c r="U124" i="40" s="1"/>
  <c r="V124" i="40" s="1"/>
  <c r="W124" i="40" s="1"/>
  <c r="AI123" i="40"/>
  <c r="R123" i="40"/>
  <c r="U123" i="40" s="1"/>
  <c r="V123" i="40" s="1"/>
  <c r="W123" i="40" s="1"/>
  <c r="AI122" i="40"/>
  <c r="AL122" i="40" s="1"/>
  <c r="AM122" i="40" s="1"/>
  <c r="R122" i="40"/>
  <c r="S122" i="40" s="1"/>
  <c r="AI121" i="40"/>
  <c r="AL121" i="40" s="1"/>
  <c r="AM121" i="40" s="1"/>
  <c r="S121" i="40"/>
  <c r="R121" i="40"/>
  <c r="U121" i="40" s="1"/>
  <c r="V121" i="40" s="1"/>
  <c r="W121" i="40" s="1"/>
  <c r="AJ120" i="40"/>
  <c r="AI120" i="40"/>
  <c r="AL120" i="40" s="1"/>
  <c r="AM120" i="40" s="1"/>
  <c r="R120" i="40"/>
  <c r="U120" i="40" s="1"/>
  <c r="V120" i="40" s="1"/>
  <c r="W120" i="40" s="1"/>
  <c r="AL119" i="40"/>
  <c r="AM119" i="40" s="1"/>
  <c r="AI119" i="40"/>
  <c r="AJ119" i="40" s="1"/>
  <c r="S119" i="40"/>
  <c r="R119" i="40"/>
  <c r="U119" i="40" s="1"/>
  <c r="V119" i="40" s="1"/>
  <c r="W119" i="40" s="1"/>
  <c r="AI118" i="40"/>
  <c r="AJ118" i="40" s="1"/>
  <c r="R118" i="40"/>
  <c r="S118" i="40" s="1"/>
  <c r="AI117" i="40"/>
  <c r="AL117" i="40" s="1"/>
  <c r="AM117" i="40" s="1"/>
  <c r="V117" i="40"/>
  <c r="W117" i="40" s="1"/>
  <c r="U117" i="40"/>
  <c r="S117" i="40"/>
  <c r="R117" i="40"/>
  <c r="AI116" i="40"/>
  <c r="AL116" i="40" s="1"/>
  <c r="AM116" i="40" s="1"/>
  <c r="R116" i="40"/>
  <c r="AI115" i="40"/>
  <c r="AJ115" i="40" s="1"/>
  <c r="V115" i="40"/>
  <c r="W115" i="40" s="1"/>
  <c r="S115" i="40"/>
  <c r="R115" i="40"/>
  <c r="U115" i="40" s="1"/>
  <c r="AI114" i="40"/>
  <c r="AL114" i="40" s="1"/>
  <c r="AM114" i="40" s="1"/>
  <c r="R114" i="40"/>
  <c r="S114" i="40" s="1"/>
  <c r="AI113" i="40"/>
  <c r="AL113" i="40" s="1"/>
  <c r="AM113" i="40" s="1"/>
  <c r="R113" i="40"/>
  <c r="U113" i="40" s="1"/>
  <c r="V113" i="40" s="1"/>
  <c r="W113" i="40" s="1"/>
  <c r="AJ112" i="40"/>
  <c r="AI112" i="40"/>
  <c r="AL112" i="40" s="1"/>
  <c r="AM112" i="40" s="1"/>
  <c r="R112" i="40"/>
  <c r="U112" i="40" s="1"/>
  <c r="V112" i="40" s="1"/>
  <c r="W112" i="40" s="1"/>
  <c r="AI111" i="40"/>
  <c r="AJ111" i="40" s="1"/>
  <c r="R111" i="40"/>
  <c r="U111" i="40" s="1"/>
  <c r="V111" i="40" s="1"/>
  <c r="W111" i="40" s="1"/>
  <c r="AI110" i="40"/>
  <c r="AL110" i="40" s="1"/>
  <c r="AM110" i="40" s="1"/>
  <c r="R110" i="40"/>
  <c r="S110" i="40" s="1"/>
  <c r="AI109" i="40"/>
  <c r="AL109" i="40" s="1"/>
  <c r="AM109" i="40" s="1"/>
  <c r="S109" i="40"/>
  <c r="R109" i="40"/>
  <c r="U109" i="40" s="1"/>
  <c r="V109" i="40" s="1"/>
  <c r="W109" i="40" s="1"/>
  <c r="AM108" i="40"/>
  <c r="AI108" i="40"/>
  <c r="AL108" i="40" s="1"/>
  <c r="U108" i="40"/>
  <c r="V108" i="40" s="1"/>
  <c r="W108" i="40" s="1"/>
  <c r="S108" i="40"/>
  <c r="R108" i="40"/>
  <c r="AI107" i="40"/>
  <c r="AJ107" i="40" s="1"/>
  <c r="R107" i="40"/>
  <c r="U107" i="40" s="1"/>
  <c r="V107" i="40" s="1"/>
  <c r="W107" i="40" s="1"/>
  <c r="AI106" i="40"/>
  <c r="AJ106" i="40" s="1"/>
  <c r="R106" i="40"/>
  <c r="S106" i="40" s="1"/>
  <c r="AL105" i="40"/>
  <c r="AM105" i="40" s="1"/>
  <c r="AI105" i="40"/>
  <c r="AJ105" i="40" s="1"/>
  <c r="R105" i="40"/>
  <c r="S105" i="40" s="1"/>
  <c r="AI104" i="40"/>
  <c r="AL104" i="40" s="1"/>
  <c r="AM104" i="40" s="1"/>
  <c r="U104" i="40"/>
  <c r="V104" i="40" s="1"/>
  <c r="W104" i="40" s="1"/>
  <c r="R104" i="40"/>
  <c r="S104" i="40" s="1"/>
  <c r="AI103" i="40"/>
  <c r="AJ103" i="40" s="1"/>
  <c r="R103" i="40"/>
  <c r="U103" i="40" s="1"/>
  <c r="V103" i="40" s="1"/>
  <c r="W103" i="40" s="1"/>
  <c r="AI102" i="40"/>
  <c r="AL102" i="40" s="1"/>
  <c r="AM102" i="40" s="1"/>
  <c r="R102" i="40"/>
  <c r="S102" i="40" s="1"/>
  <c r="AL101" i="40"/>
  <c r="AM101" i="40" s="1"/>
  <c r="AI101" i="40"/>
  <c r="AJ101" i="40" s="1"/>
  <c r="U101" i="40"/>
  <c r="V101" i="40" s="1"/>
  <c r="W101" i="40" s="1"/>
  <c r="R101" i="40"/>
  <c r="S101" i="40" s="1"/>
  <c r="AJ100" i="40"/>
  <c r="AI100" i="40"/>
  <c r="AL100" i="40" s="1"/>
  <c r="AM100" i="40" s="1"/>
  <c r="U100" i="40"/>
  <c r="V100" i="40" s="1"/>
  <c r="W100" i="40" s="1"/>
  <c r="R100" i="40"/>
  <c r="S100" i="40" s="1"/>
  <c r="AI99" i="40"/>
  <c r="AJ99" i="40" s="1"/>
  <c r="R99" i="40"/>
  <c r="U99" i="40" s="1"/>
  <c r="V99" i="40" s="1"/>
  <c r="W99" i="40" s="1"/>
  <c r="AI98" i="40"/>
  <c r="AL98" i="40" s="1"/>
  <c r="AM98" i="40" s="1"/>
  <c r="R98" i="40"/>
  <c r="S98" i="40" s="1"/>
  <c r="AI97" i="40"/>
  <c r="R97" i="40"/>
  <c r="S97" i="40" s="1"/>
  <c r="AM96" i="40"/>
  <c r="AI96" i="40"/>
  <c r="AL96" i="40" s="1"/>
  <c r="R96" i="40"/>
  <c r="U96" i="40" s="1"/>
  <c r="V96" i="40" s="1"/>
  <c r="W96" i="40" s="1"/>
  <c r="AI95" i="40"/>
  <c r="AJ95" i="40" s="1"/>
  <c r="R95" i="40"/>
  <c r="U95" i="40" s="1"/>
  <c r="V95" i="40" s="1"/>
  <c r="W95" i="40" s="1"/>
  <c r="AI94" i="40"/>
  <c r="AL94" i="40" s="1"/>
  <c r="AM94" i="40" s="1"/>
  <c r="R94" i="40"/>
  <c r="S94" i="40" s="1"/>
  <c r="AJ93" i="40"/>
  <c r="AI93" i="40"/>
  <c r="AL93" i="40" s="1"/>
  <c r="AM93" i="40" s="1"/>
  <c r="U93" i="40"/>
  <c r="V93" i="40" s="1"/>
  <c r="W93" i="40" s="1"/>
  <c r="S93" i="40"/>
  <c r="R93" i="40"/>
  <c r="AI92" i="40"/>
  <c r="AL92" i="40" s="1"/>
  <c r="AM92" i="40" s="1"/>
  <c r="R92" i="40"/>
  <c r="S92" i="40" s="1"/>
  <c r="AL91" i="40"/>
  <c r="AM91" i="40" s="1"/>
  <c r="AI91" i="40"/>
  <c r="AJ91" i="40" s="1"/>
  <c r="R91" i="40"/>
  <c r="AI90" i="40"/>
  <c r="AL90" i="40" s="1"/>
  <c r="AM90" i="40" s="1"/>
  <c r="R90" i="40"/>
  <c r="S90" i="40" s="1"/>
  <c r="AJ89" i="40"/>
  <c r="AI89" i="40"/>
  <c r="AL89" i="40" s="1"/>
  <c r="AM89" i="40" s="1"/>
  <c r="U89" i="40"/>
  <c r="V89" i="40" s="1"/>
  <c r="W89" i="40" s="1"/>
  <c r="S89" i="40"/>
  <c r="R89" i="40"/>
  <c r="AM88" i="40"/>
  <c r="AJ88" i="40"/>
  <c r="AI88" i="40"/>
  <c r="AL88" i="40" s="1"/>
  <c r="R88" i="40"/>
  <c r="U88" i="40" s="1"/>
  <c r="V88" i="40" s="1"/>
  <c r="W88" i="40" s="1"/>
  <c r="AI87" i="40"/>
  <c r="AJ87" i="40" s="1"/>
  <c r="R87" i="40"/>
  <c r="U87" i="40" s="1"/>
  <c r="V87" i="40" s="1"/>
  <c r="W87" i="40" s="1"/>
  <c r="AJ86" i="40"/>
  <c r="AI86" i="40"/>
  <c r="AL86" i="40" s="1"/>
  <c r="AM86" i="40" s="1"/>
  <c r="R86" i="40"/>
  <c r="AL85" i="40"/>
  <c r="AM85" i="40" s="1"/>
  <c r="AI85" i="40"/>
  <c r="AJ85" i="40" s="1"/>
  <c r="U85" i="40"/>
  <c r="V85" i="40" s="1"/>
  <c r="W85" i="40" s="1"/>
  <c r="S85" i="40"/>
  <c r="R85" i="40"/>
  <c r="AI84" i="40"/>
  <c r="AL84" i="40" s="1"/>
  <c r="AM84" i="40" s="1"/>
  <c r="R84" i="40"/>
  <c r="S84" i="40" s="1"/>
  <c r="AL83" i="40"/>
  <c r="AM83" i="40" s="1"/>
  <c r="AI83" i="40"/>
  <c r="AJ83" i="40" s="1"/>
  <c r="V83" i="40"/>
  <c r="W83" i="40" s="1"/>
  <c r="S83" i="40"/>
  <c r="R83" i="40"/>
  <c r="U83" i="40" s="1"/>
  <c r="AI82" i="40"/>
  <c r="AL82" i="40" s="1"/>
  <c r="AM82" i="40" s="1"/>
  <c r="R82" i="40"/>
  <c r="S82" i="40" s="1"/>
  <c r="AI81" i="40"/>
  <c r="AJ81" i="40" s="1"/>
  <c r="U81" i="40"/>
  <c r="V81" i="40" s="1"/>
  <c r="W81" i="40" s="1"/>
  <c r="R81" i="40"/>
  <c r="S81" i="40" s="1"/>
  <c r="AI80" i="40"/>
  <c r="AL80" i="40" s="1"/>
  <c r="AM80" i="40" s="1"/>
  <c r="R80" i="40"/>
  <c r="U80" i="40" s="1"/>
  <c r="V80" i="40" s="1"/>
  <c r="W80" i="40" s="1"/>
  <c r="AI79" i="40"/>
  <c r="V79" i="40"/>
  <c r="W79" i="40" s="1"/>
  <c r="R79" i="40"/>
  <c r="U79" i="40" s="1"/>
  <c r="AL78" i="40"/>
  <c r="AM78" i="40" s="1"/>
  <c r="AJ78" i="40"/>
  <c r="AI78" i="40"/>
  <c r="U78" i="40"/>
  <c r="V78" i="40" s="1"/>
  <c r="W78" i="40" s="1"/>
  <c r="R78" i="40"/>
  <c r="S78" i="40" s="1"/>
  <c r="AI77" i="40"/>
  <c r="AL77" i="40" s="1"/>
  <c r="AM77" i="40" s="1"/>
  <c r="R77" i="40"/>
  <c r="U77" i="40" s="1"/>
  <c r="V77" i="40" s="1"/>
  <c r="W77" i="40" s="1"/>
  <c r="AI76" i="40"/>
  <c r="AL76" i="40" s="1"/>
  <c r="AM76" i="40" s="1"/>
  <c r="U76" i="40"/>
  <c r="V76" i="40" s="1"/>
  <c r="W76" i="40" s="1"/>
  <c r="R76" i="40"/>
  <c r="S76" i="40" s="1"/>
  <c r="AI75" i="40"/>
  <c r="AJ75" i="40" s="1"/>
  <c r="R75" i="40"/>
  <c r="S75" i="40" s="1"/>
  <c r="AI74" i="40"/>
  <c r="AL74" i="40" s="1"/>
  <c r="AM74" i="40" s="1"/>
  <c r="U74" i="40"/>
  <c r="V74" i="40" s="1"/>
  <c r="W74" i="40" s="1"/>
  <c r="R74" i="40"/>
  <c r="S74" i="40" s="1"/>
  <c r="AI73" i="40"/>
  <c r="AL73" i="40" s="1"/>
  <c r="AM73" i="40" s="1"/>
  <c r="R73" i="40"/>
  <c r="AI72" i="40"/>
  <c r="AJ72" i="40" s="1"/>
  <c r="R72" i="40"/>
  <c r="U72" i="40" s="1"/>
  <c r="V72" i="40" s="1"/>
  <c r="W72" i="40" s="1"/>
  <c r="AJ71" i="40"/>
  <c r="AI71" i="40"/>
  <c r="AL71" i="40" s="1"/>
  <c r="AM71" i="40" s="1"/>
  <c r="R71" i="40"/>
  <c r="S71" i="40" s="1"/>
  <c r="AI70" i="40"/>
  <c r="AL70" i="40" s="1"/>
  <c r="AM70" i="40" s="1"/>
  <c r="U70" i="40"/>
  <c r="V70" i="40" s="1"/>
  <c r="W70" i="40" s="1"/>
  <c r="S70" i="40"/>
  <c r="R70" i="40"/>
  <c r="AI69" i="40"/>
  <c r="AL69" i="40" s="1"/>
  <c r="AM69" i="40" s="1"/>
  <c r="R69" i="40"/>
  <c r="U69" i="40" s="1"/>
  <c r="V69" i="40" s="1"/>
  <c r="W69" i="40" s="1"/>
  <c r="AI68" i="40"/>
  <c r="AJ68" i="40" s="1"/>
  <c r="R68" i="40"/>
  <c r="U68" i="40" s="1"/>
  <c r="V68" i="40" s="1"/>
  <c r="W68" i="40" s="1"/>
  <c r="AL67" i="40"/>
  <c r="AM67" i="40" s="1"/>
  <c r="AJ67" i="40"/>
  <c r="AI67" i="40"/>
  <c r="W67" i="40"/>
  <c r="S67" i="40"/>
  <c r="R67" i="40"/>
  <c r="U67" i="40" s="1"/>
  <c r="V67" i="40" s="1"/>
  <c r="AI66" i="40"/>
  <c r="AL66" i="40" s="1"/>
  <c r="AM66" i="40" s="1"/>
  <c r="U66" i="40"/>
  <c r="V66" i="40" s="1"/>
  <c r="W66" i="40" s="1"/>
  <c r="S66" i="40"/>
  <c r="R66" i="40"/>
  <c r="AL65" i="40"/>
  <c r="AM65" i="40" s="1"/>
  <c r="AJ65" i="40"/>
  <c r="AI65" i="40"/>
  <c r="R65" i="40"/>
  <c r="U65" i="40" s="1"/>
  <c r="V65" i="40" s="1"/>
  <c r="W65" i="40" s="1"/>
  <c r="AI64" i="40"/>
  <c r="AJ64" i="40" s="1"/>
  <c r="U64" i="40"/>
  <c r="V64" i="40" s="1"/>
  <c r="W64" i="40" s="1"/>
  <c r="S64" i="40"/>
  <c r="R64" i="40"/>
  <c r="AL63" i="40"/>
  <c r="AM63" i="40" s="1"/>
  <c r="AJ63" i="40"/>
  <c r="AI63" i="40"/>
  <c r="R63" i="40"/>
  <c r="U63" i="40" s="1"/>
  <c r="V63" i="40" s="1"/>
  <c r="W63" i="40" s="1"/>
  <c r="AL62" i="40"/>
  <c r="AM62" i="40" s="1"/>
  <c r="AJ62" i="40"/>
  <c r="AI62" i="40"/>
  <c r="U62" i="40"/>
  <c r="V62" i="40" s="1"/>
  <c r="W62" i="40" s="1"/>
  <c r="S62" i="40"/>
  <c r="R62" i="40"/>
  <c r="AL61" i="40"/>
  <c r="AM61" i="40" s="1"/>
  <c r="AJ61" i="40"/>
  <c r="AI61" i="40"/>
  <c r="R61" i="40"/>
  <c r="AI60" i="40"/>
  <c r="AJ60" i="40" s="1"/>
  <c r="R60" i="40"/>
  <c r="S60" i="40" s="1"/>
  <c r="AI59" i="40"/>
  <c r="AL59" i="40" s="1"/>
  <c r="AM59" i="40" s="1"/>
  <c r="R59" i="40"/>
  <c r="U59" i="40" s="1"/>
  <c r="V59" i="40" s="1"/>
  <c r="W59" i="40" s="1"/>
  <c r="AL58" i="40"/>
  <c r="AM58" i="40" s="1"/>
  <c r="AJ58" i="40"/>
  <c r="AI58" i="40"/>
  <c r="U58" i="40"/>
  <c r="V58" i="40" s="1"/>
  <c r="W58" i="40" s="1"/>
  <c r="R58" i="40"/>
  <c r="S58" i="40" s="1"/>
  <c r="AL57" i="40"/>
  <c r="AM57" i="40" s="1"/>
  <c r="AJ57" i="40"/>
  <c r="AI57" i="40"/>
  <c r="R57" i="40"/>
  <c r="U57" i="40" s="1"/>
  <c r="V57" i="40" s="1"/>
  <c r="W57" i="40" s="1"/>
  <c r="AI56" i="40"/>
  <c r="AJ56" i="40" s="1"/>
  <c r="R56" i="40"/>
  <c r="S56" i="40" s="1"/>
  <c r="AL55" i="40"/>
  <c r="AM55" i="40" s="1"/>
  <c r="AJ55" i="40"/>
  <c r="AI55" i="40"/>
  <c r="R55" i="40"/>
  <c r="AI54" i="40"/>
  <c r="AL54" i="40" s="1"/>
  <c r="AM54" i="40" s="1"/>
  <c r="R54" i="40"/>
  <c r="U54" i="40" s="1"/>
  <c r="V54" i="40" s="1"/>
  <c r="W54" i="40" s="1"/>
  <c r="AJ53" i="40"/>
  <c r="AI53" i="40"/>
  <c r="AL53" i="40" s="1"/>
  <c r="AM53" i="40" s="1"/>
  <c r="R53" i="40"/>
  <c r="U53" i="40" s="1"/>
  <c r="V53" i="40" s="1"/>
  <c r="W53" i="40" s="1"/>
  <c r="AI52" i="40"/>
  <c r="AJ52" i="40" s="1"/>
  <c r="R52" i="40"/>
  <c r="U52" i="40" s="1"/>
  <c r="V52" i="40" s="1"/>
  <c r="W52" i="40" s="1"/>
  <c r="AI51" i="40"/>
  <c r="AL51" i="40" s="1"/>
  <c r="AM51" i="40" s="1"/>
  <c r="R51" i="40"/>
  <c r="U51" i="40" s="1"/>
  <c r="V51" i="40" s="1"/>
  <c r="W51" i="40" s="1"/>
  <c r="AI50" i="40"/>
  <c r="AL50" i="40" s="1"/>
  <c r="AM50" i="40" s="1"/>
  <c r="R50" i="40"/>
  <c r="S50" i="40" s="1"/>
  <c r="AI49" i="40"/>
  <c r="AJ49" i="40" s="1"/>
  <c r="R49" i="40"/>
  <c r="U49" i="40" s="1"/>
  <c r="V49" i="40" s="1"/>
  <c r="W49" i="40" s="1"/>
  <c r="AI48" i="40"/>
  <c r="AJ48" i="40" s="1"/>
  <c r="R48" i="40"/>
  <c r="U48" i="40" s="1"/>
  <c r="V48" i="40" s="1"/>
  <c r="W48" i="40" s="1"/>
  <c r="AI47" i="40"/>
  <c r="AJ47" i="40" s="1"/>
  <c r="R47" i="40"/>
  <c r="U47" i="40" s="1"/>
  <c r="V47" i="40" s="1"/>
  <c r="W47" i="40" s="1"/>
  <c r="AI46" i="40"/>
  <c r="AL46" i="40" s="1"/>
  <c r="AM46" i="40" s="1"/>
  <c r="R46" i="40"/>
  <c r="S46" i="40" s="1"/>
  <c r="AI45" i="40"/>
  <c r="AL45" i="40" s="1"/>
  <c r="AM45" i="40" s="1"/>
  <c r="R45" i="40"/>
  <c r="AI44" i="40"/>
  <c r="AJ44" i="40" s="1"/>
  <c r="U44" i="40"/>
  <c r="V44" i="40" s="1"/>
  <c r="W44" i="40" s="1"/>
  <c r="S44" i="40"/>
  <c r="R44" i="40"/>
  <c r="AL43" i="40"/>
  <c r="AM43" i="40" s="1"/>
  <c r="AJ43" i="40"/>
  <c r="AI43" i="40"/>
  <c r="R43" i="40"/>
  <c r="S43" i="40" s="1"/>
  <c r="AI42" i="40"/>
  <c r="AJ42" i="40" s="1"/>
  <c r="R42" i="40"/>
  <c r="U42" i="40" s="1"/>
  <c r="V42" i="40" s="1"/>
  <c r="W42" i="40" s="1"/>
  <c r="AI41" i="40"/>
  <c r="AL41" i="40" s="1"/>
  <c r="AM41" i="40" s="1"/>
  <c r="S41" i="40"/>
  <c r="R41" i="40"/>
  <c r="U41" i="40" s="1"/>
  <c r="V41" i="40" s="1"/>
  <c r="W41" i="40" s="1"/>
  <c r="AI40" i="40"/>
  <c r="AJ40" i="40" s="1"/>
  <c r="R40" i="40"/>
  <c r="U40" i="40" s="1"/>
  <c r="V40" i="40" s="1"/>
  <c r="W40" i="40" s="1"/>
  <c r="AI39" i="40"/>
  <c r="AL39" i="40" s="1"/>
  <c r="AM39" i="40" s="1"/>
  <c r="R39" i="40"/>
  <c r="AI38" i="40"/>
  <c r="AL38" i="40" s="1"/>
  <c r="AM38" i="40" s="1"/>
  <c r="R38" i="40"/>
  <c r="U38" i="40" s="1"/>
  <c r="V38" i="40" s="1"/>
  <c r="W38" i="40" s="1"/>
  <c r="AI37" i="40"/>
  <c r="AL37" i="40" s="1"/>
  <c r="AM37" i="40" s="1"/>
  <c r="R37" i="40"/>
  <c r="U37" i="40" s="1"/>
  <c r="V37" i="40" s="1"/>
  <c r="W37" i="40" s="1"/>
  <c r="AI36" i="40"/>
  <c r="AJ36" i="40" s="1"/>
  <c r="R36" i="40"/>
  <c r="U36" i="40" s="1"/>
  <c r="V36" i="40" s="1"/>
  <c r="W36" i="40" s="1"/>
  <c r="AL35" i="40"/>
  <c r="AM35" i="40" s="1"/>
  <c r="AJ35" i="40"/>
  <c r="AI35" i="40"/>
  <c r="W35" i="40"/>
  <c r="S35" i="40"/>
  <c r="R35" i="40"/>
  <c r="U35" i="40" s="1"/>
  <c r="V35" i="40" s="1"/>
  <c r="AI34" i="40"/>
  <c r="AL34" i="40" s="1"/>
  <c r="AM34" i="40" s="1"/>
  <c r="U34" i="40"/>
  <c r="V34" i="40" s="1"/>
  <c r="W34" i="40" s="1"/>
  <c r="S34" i="40"/>
  <c r="R34" i="40"/>
  <c r="AL33" i="40"/>
  <c r="AM33" i="40" s="1"/>
  <c r="AJ33" i="40"/>
  <c r="AI33" i="40"/>
  <c r="R33" i="40"/>
  <c r="U33" i="40" s="1"/>
  <c r="V33" i="40" s="1"/>
  <c r="W33" i="40" s="1"/>
  <c r="AI32" i="40"/>
  <c r="AJ32" i="40" s="1"/>
  <c r="U32" i="40"/>
  <c r="V32" i="40" s="1"/>
  <c r="W32" i="40" s="1"/>
  <c r="S32" i="40"/>
  <c r="R32" i="40"/>
  <c r="AI31" i="40"/>
  <c r="AL31" i="40" s="1"/>
  <c r="AM31" i="40" s="1"/>
  <c r="R31" i="40"/>
  <c r="U31" i="40" s="1"/>
  <c r="V31" i="40" s="1"/>
  <c r="W31" i="40" s="1"/>
  <c r="AI30" i="40"/>
  <c r="AJ30" i="40" s="1"/>
  <c r="R30" i="40"/>
  <c r="S30" i="40" s="1"/>
  <c r="AI29" i="40"/>
  <c r="AJ29" i="40" s="1"/>
  <c r="R29" i="40"/>
  <c r="AI28" i="40"/>
  <c r="AJ28" i="40" s="1"/>
  <c r="U28" i="40"/>
  <c r="V28" i="40" s="1"/>
  <c r="W28" i="40" s="1"/>
  <c r="R28" i="40"/>
  <c r="S28" i="40" s="1"/>
  <c r="AI27" i="40"/>
  <c r="R27" i="40"/>
  <c r="U27" i="40" s="1"/>
  <c r="V27" i="40" s="1"/>
  <c r="W27" i="40" s="1"/>
  <c r="AI26" i="40"/>
  <c r="AJ26" i="40" s="1"/>
  <c r="U26" i="40"/>
  <c r="V26" i="40" s="1"/>
  <c r="W26" i="40" s="1"/>
  <c r="R26" i="40"/>
  <c r="S26" i="40" s="1"/>
  <c r="AL25" i="40"/>
  <c r="AM25" i="40" s="1"/>
  <c r="AI25" i="40"/>
  <c r="AJ25" i="40" s="1"/>
  <c r="R25" i="40"/>
  <c r="U25" i="40" s="1"/>
  <c r="V25" i="40" s="1"/>
  <c r="W25" i="40" s="1"/>
  <c r="AI24" i="40"/>
  <c r="AJ24" i="40" s="1"/>
  <c r="U24" i="40"/>
  <c r="V24" i="40" s="1"/>
  <c r="W24" i="40" s="1"/>
  <c r="S24" i="40"/>
  <c r="R24" i="40"/>
  <c r="AI23" i="40"/>
  <c r="AL23" i="40" s="1"/>
  <c r="AM23" i="40" s="1"/>
  <c r="R23" i="40"/>
  <c r="U23" i="40" s="1"/>
  <c r="V23" i="40" s="1"/>
  <c r="W23" i="40" s="1"/>
  <c r="AI22" i="40"/>
  <c r="AL22" i="40" s="1"/>
  <c r="AM22" i="40" s="1"/>
  <c r="R22" i="40"/>
  <c r="S22" i="40" s="1"/>
  <c r="AI21" i="40"/>
  <c r="AL21" i="40" s="1"/>
  <c r="AM21" i="40" s="1"/>
  <c r="R21" i="40"/>
  <c r="S21" i="40" s="1"/>
  <c r="AM20" i="40"/>
  <c r="AL20" i="40"/>
  <c r="R20" i="40"/>
  <c r="U20" i="40" s="1"/>
  <c r="V20" i="40" s="1"/>
  <c r="W20" i="40" s="1"/>
  <c r="O8" i="40"/>
  <c r="AI344" i="39"/>
  <c r="AJ344" i="39" s="1"/>
  <c r="R344" i="39"/>
  <c r="S344" i="39" s="1"/>
  <c r="AI343" i="39"/>
  <c r="AL343" i="39" s="1"/>
  <c r="AM343" i="39" s="1"/>
  <c r="R343" i="39"/>
  <c r="U343" i="39" s="1"/>
  <c r="V343" i="39" s="1"/>
  <c r="R340" i="39"/>
  <c r="U340" i="39" s="1"/>
  <c r="AI340" i="39"/>
  <c r="AJ340" i="39" s="1"/>
  <c r="R341" i="39"/>
  <c r="U341" i="39" s="1"/>
  <c r="AI341" i="39"/>
  <c r="AJ341" i="39" s="1"/>
  <c r="R342" i="39"/>
  <c r="U342" i="39" s="1"/>
  <c r="V342" i="39" s="1"/>
  <c r="AI342" i="39"/>
  <c r="AJ342" i="39" s="1"/>
  <c r="R334" i="39"/>
  <c r="U334" i="39" s="1"/>
  <c r="V334" i="39" s="1"/>
  <c r="AI334" i="39"/>
  <c r="AJ334" i="39" s="1"/>
  <c r="R335" i="39"/>
  <c r="U335" i="39" s="1"/>
  <c r="V335" i="39" s="1"/>
  <c r="AI335" i="39"/>
  <c r="AJ335" i="39" s="1"/>
  <c r="R332" i="39"/>
  <c r="U332" i="39" s="1"/>
  <c r="AI332" i="39"/>
  <c r="AJ332" i="39" s="1"/>
  <c r="R333" i="39"/>
  <c r="U333" i="39" s="1"/>
  <c r="V333" i="39" s="1"/>
  <c r="AI333" i="39"/>
  <c r="AJ333" i="39" s="1"/>
  <c r="R330" i="39"/>
  <c r="S330" i="39" s="1"/>
  <c r="AI330" i="39"/>
  <c r="AJ330" i="39" s="1"/>
  <c r="R331" i="39"/>
  <c r="S331" i="39" s="1"/>
  <c r="AI331" i="39"/>
  <c r="AJ331" i="39" s="1"/>
  <c r="R328" i="39"/>
  <c r="U328" i="39" s="1"/>
  <c r="V328" i="39" s="1"/>
  <c r="AI328" i="39"/>
  <c r="AJ328" i="39" s="1"/>
  <c r="R329" i="39"/>
  <c r="U329" i="39" s="1"/>
  <c r="V329" i="39" s="1"/>
  <c r="AI329" i="39"/>
  <c r="AJ329" i="39" s="1"/>
  <c r="R326" i="39"/>
  <c r="U326" i="39" s="1"/>
  <c r="V326" i="39" s="1"/>
  <c r="AI326" i="39"/>
  <c r="AJ326" i="39" s="1"/>
  <c r="R327" i="39"/>
  <c r="U327" i="39" s="1"/>
  <c r="V327" i="39" s="1"/>
  <c r="AI327" i="39"/>
  <c r="AJ327" i="39" s="1"/>
  <c r="R324" i="39"/>
  <c r="U324" i="39" s="1"/>
  <c r="AI324" i="39"/>
  <c r="AJ324" i="39" s="1"/>
  <c r="R325" i="39"/>
  <c r="U325" i="39" s="1"/>
  <c r="V325" i="39" s="1"/>
  <c r="AI325" i="39"/>
  <c r="AJ325" i="39" s="1"/>
  <c r="R322" i="39"/>
  <c r="U322" i="39" s="1"/>
  <c r="AI322" i="39"/>
  <c r="AJ322" i="39" s="1"/>
  <c r="R323" i="39"/>
  <c r="U323" i="39" s="1"/>
  <c r="AI323" i="39"/>
  <c r="AJ323" i="39" s="1"/>
  <c r="R320" i="39"/>
  <c r="U320" i="39" s="1"/>
  <c r="V320" i="39" s="1"/>
  <c r="AI320" i="39"/>
  <c r="AJ320" i="39" s="1"/>
  <c r="R321" i="39"/>
  <c r="U321" i="39" s="1"/>
  <c r="V321" i="39" s="1"/>
  <c r="AI321" i="39"/>
  <c r="AJ321" i="39" s="1"/>
  <c r="R318" i="39"/>
  <c r="U318" i="39" s="1"/>
  <c r="V318" i="39" s="1"/>
  <c r="AI318" i="39"/>
  <c r="AJ318" i="39" s="1"/>
  <c r="R319" i="39"/>
  <c r="U319" i="39" s="1"/>
  <c r="AI319" i="39"/>
  <c r="AJ319" i="39" s="1"/>
  <c r="R316" i="39"/>
  <c r="U316" i="39" s="1"/>
  <c r="V316" i="39" s="1"/>
  <c r="AI316" i="39"/>
  <c r="AJ316" i="39" s="1"/>
  <c r="R317" i="39"/>
  <c r="U317" i="39" s="1"/>
  <c r="V317" i="39" s="1"/>
  <c r="AI317" i="39"/>
  <c r="AJ317" i="39" s="1"/>
  <c r="R315" i="39"/>
  <c r="U315" i="39" s="1"/>
  <c r="AI315" i="39"/>
  <c r="AJ315" i="39" s="1"/>
  <c r="R313" i="39"/>
  <c r="U313" i="39" s="1"/>
  <c r="V313" i="39" s="1"/>
  <c r="AI313" i="39"/>
  <c r="AJ313" i="39" s="1"/>
  <c r="R312" i="39"/>
  <c r="S312" i="39" s="1"/>
  <c r="AI312" i="39"/>
  <c r="AJ312" i="39" s="1"/>
  <c r="AI311" i="39"/>
  <c r="AL311" i="39" s="1"/>
  <c r="AM311" i="39" s="1"/>
  <c r="R311" i="39"/>
  <c r="S311" i="39" s="1"/>
  <c r="AI314" i="39"/>
  <c r="R314" i="39"/>
  <c r="S314" i="39" s="1"/>
  <c r="AI310" i="39"/>
  <c r="R310" i="39"/>
  <c r="S310" i="39" s="1"/>
  <c r="AI309" i="39"/>
  <c r="AL309" i="39" s="1"/>
  <c r="AM309" i="39" s="1"/>
  <c r="R309" i="39"/>
  <c r="U309" i="39" s="1"/>
  <c r="V309" i="39" s="1"/>
  <c r="AI308" i="39"/>
  <c r="AL308" i="39" s="1"/>
  <c r="AM308" i="39" s="1"/>
  <c r="R308" i="39"/>
  <c r="S308" i="39" s="1"/>
  <c r="AI307" i="39"/>
  <c r="AL307" i="39" s="1"/>
  <c r="AM307" i="39" s="1"/>
  <c r="R307" i="39"/>
  <c r="U307" i="39" s="1"/>
  <c r="AI306" i="39"/>
  <c r="AL306" i="39" s="1"/>
  <c r="AM306" i="39" s="1"/>
  <c r="R306" i="39"/>
  <c r="U306" i="39" s="1"/>
  <c r="V306" i="39" s="1"/>
  <c r="AI305" i="39"/>
  <c r="AL305" i="39" s="1"/>
  <c r="AM305" i="39" s="1"/>
  <c r="R305" i="39"/>
  <c r="U305" i="39" s="1"/>
  <c r="V305" i="39" s="1"/>
  <c r="AI304" i="39"/>
  <c r="AL304" i="39" s="1"/>
  <c r="AM304" i="39" s="1"/>
  <c r="R304" i="39"/>
  <c r="U304" i="39" s="1"/>
  <c r="V304" i="39" s="1"/>
  <c r="AI303" i="39"/>
  <c r="AL303" i="39" s="1"/>
  <c r="AM303" i="39" s="1"/>
  <c r="R303" i="39"/>
  <c r="U303" i="39" s="1"/>
  <c r="AI302" i="39"/>
  <c r="AL302" i="39" s="1"/>
  <c r="AM302" i="39" s="1"/>
  <c r="R302" i="39"/>
  <c r="S302" i="39" s="1"/>
  <c r="AI301" i="39"/>
  <c r="AL301" i="39" s="1"/>
  <c r="AM301" i="39" s="1"/>
  <c r="R301" i="39"/>
  <c r="U301" i="39" s="1"/>
  <c r="V301" i="39" s="1"/>
  <c r="AI300" i="39"/>
  <c r="AL300" i="39" s="1"/>
  <c r="AM300" i="39" s="1"/>
  <c r="R300" i="39"/>
  <c r="U300" i="39" s="1"/>
  <c r="AI299" i="39"/>
  <c r="AJ299" i="39" s="1"/>
  <c r="R299" i="39"/>
  <c r="S299" i="39" s="1"/>
  <c r="AI298" i="39"/>
  <c r="AL298" i="39" s="1"/>
  <c r="AM298" i="39" s="1"/>
  <c r="R298" i="39"/>
  <c r="U298" i="39" s="1"/>
  <c r="V298" i="39" s="1"/>
  <c r="AI297" i="39"/>
  <c r="AL297" i="39" s="1"/>
  <c r="AM297" i="39" s="1"/>
  <c r="R297" i="39"/>
  <c r="S297" i="39" s="1"/>
  <c r="AI296" i="39"/>
  <c r="AJ296" i="39" s="1"/>
  <c r="R296" i="39"/>
  <c r="S296" i="39" s="1"/>
  <c r="AI295" i="39"/>
  <c r="AL295" i="39" s="1"/>
  <c r="AM295" i="39" s="1"/>
  <c r="R295" i="39"/>
  <c r="S295" i="39" s="1"/>
  <c r="AI294" i="39"/>
  <c r="AL294" i="39" s="1"/>
  <c r="AM294" i="39" s="1"/>
  <c r="R294" i="39"/>
  <c r="S294" i="39" s="1"/>
  <c r="AI293" i="39"/>
  <c r="AJ293" i="39" s="1"/>
  <c r="R293" i="39"/>
  <c r="U293" i="39" s="1"/>
  <c r="V293" i="39" s="1"/>
  <c r="AI292" i="39"/>
  <c r="AL292" i="39" s="1"/>
  <c r="AM292" i="39" s="1"/>
  <c r="R292" i="39"/>
  <c r="U292" i="39" s="1"/>
  <c r="AI291" i="39"/>
  <c r="AJ291" i="39" s="1"/>
  <c r="R291" i="39"/>
  <c r="S291" i="39" s="1"/>
  <c r="AI290" i="39"/>
  <c r="AL290" i="39" s="1"/>
  <c r="AM290" i="39" s="1"/>
  <c r="R290" i="39"/>
  <c r="U290" i="39" s="1"/>
  <c r="V290" i="39" s="1"/>
  <c r="AI289" i="39"/>
  <c r="AL289" i="39" s="1"/>
  <c r="AM289" i="39" s="1"/>
  <c r="R289" i="39"/>
  <c r="U289" i="39" s="1"/>
  <c r="V289" i="39" s="1"/>
  <c r="AI288" i="39"/>
  <c r="AL288" i="39" s="1"/>
  <c r="AM288" i="39" s="1"/>
  <c r="R288" i="39"/>
  <c r="S288" i="39" s="1"/>
  <c r="AI287" i="39"/>
  <c r="AL287" i="39" s="1"/>
  <c r="AM287" i="39" s="1"/>
  <c r="R287" i="39"/>
  <c r="U287" i="39" s="1"/>
  <c r="AI286" i="39"/>
  <c r="AL286" i="39" s="1"/>
  <c r="AM286" i="39" s="1"/>
  <c r="R286" i="39"/>
  <c r="S286" i="39" s="1"/>
  <c r="AI285" i="39"/>
  <c r="AL285" i="39" s="1"/>
  <c r="AM285" i="39" s="1"/>
  <c r="R285" i="39"/>
  <c r="U285" i="39" s="1"/>
  <c r="V285" i="39" s="1"/>
  <c r="AI284" i="39"/>
  <c r="AL284" i="39" s="1"/>
  <c r="AM284" i="39" s="1"/>
  <c r="R284" i="39"/>
  <c r="S284" i="39" s="1"/>
  <c r="AI283" i="39"/>
  <c r="AL283" i="39" s="1"/>
  <c r="AM283" i="39" s="1"/>
  <c r="R283" i="39"/>
  <c r="S283" i="39" s="1"/>
  <c r="AI282" i="39"/>
  <c r="AJ282" i="39" s="1"/>
  <c r="R282" i="39"/>
  <c r="U282" i="39" s="1"/>
  <c r="V282" i="39" s="1"/>
  <c r="AI281" i="39"/>
  <c r="AL281" i="39" s="1"/>
  <c r="AM281" i="39" s="1"/>
  <c r="R281" i="39"/>
  <c r="U281" i="39" s="1"/>
  <c r="V281" i="39" s="1"/>
  <c r="AI280" i="39"/>
  <c r="AL280" i="39" s="1"/>
  <c r="AM280" i="39" s="1"/>
  <c r="R280" i="39"/>
  <c r="S280" i="39" s="1"/>
  <c r="AI279" i="39"/>
  <c r="AJ279" i="39" s="1"/>
  <c r="R279" i="39"/>
  <c r="S279" i="39" s="1"/>
  <c r="AI278" i="39"/>
  <c r="AL278" i="39" s="1"/>
  <c r="AM278" i="39" s="1"/>
  <c r="R278" i="39"/>
  <c r="S278" i="39" s="1"/>
  <c r="AI277" i="39"/>
  <c r="AL277" i="39" s="1"/>
  <c r="AM277" i="39" s="1"/>
  <c r="R277" i="39"/>
  <c r="S277" i="39" s="1"/>
  <c r="AI276" i="39"/>
  <c r="AL276" i="39" s="1"/>
  <c r="AM276" i="39" s="1"/>
  <c r="R276" i="39"/>
  <c r="U276" i="39" s="1"/>
  <c r="AI275" i="39"/>
  <c r="AJ275" i="39" s="1"/>
  <c r="R275" i="39"/>
  <c r="S275" i="39" s="1"/>
  <c r="AI274" i="39"/>
  <c r="AL274" i="39" s="1"/>
  <c r="AM274" i="39" s="1"/>
  <c r="R274" i="39"/>
  <c r="U274" i="39" s="1"/>
  <c r="V274" i="39" s="1"/>
  <c r="AI273" i="39"/>
  <c r="AJ273" i="39" s="1"/>
  <c r="R273" i="39"/>
  <c r="U273" i="39" s="1"/>
  <c r="V273" i="39" s="1"/>
  <c r="AI272" i="39"/>
  <c r="AJ272" i="39" s="1"/>
  <c r="R272" i="39"/>
  <c r="S272" i="39" s="1"/>
  <c r="AI271" i="39"/>
  <c r="AL271" i="39" s="1"/>
  <c r="AM271" i="39" s="1"/>
  <c r="R271" i="39"/>
  <c r="S271" i="39" s="1"/>
  <c r="AI270" i="39"/>
  <c r="AJ270" i="39" s="1"/>
  <c r="R270" i="39"/>
  <c r="U270" i="39" s="1"/>
  <c r="V270" i="39" s="1"/>
  <c r="AI269" i="39"/>
  <c r="AL269" i="39" s="1"/>
  <c r="AM269" i="39" s="1"/>
  <c r="R269" i="39"/>
  <c r="S269" i="39" s="1"/>
  <c r="AI268" i="39"/>
  <c r="AL268" i="39" s="1"/>
  <c r="AM268" i="39" s="1"/>
  <c r="R268" i="39"/>
  <c r="S268" i="39" s="1"/>
  <c r="AI267" i="39"/>
  <c r="AJ267" i="39" s="1"/>
  <c r="R267" i="39"/>
  <c r="U267" i="39" s="1"/>
  <c r="AI266" i="39"/>
  <c r="AL266" i="39" s="1"/>
  <c r="AM266" i="39" s="1"/>
  <c r="R266" i="39"/>
  <c r="S266" i="39" s="1"/>
  <c r="AI265" i="39"/>
  <c r="AL265" i="39" s="1"/>
  <c r="AM265" i="39" s="1"/>
  <c r="R265" i="39"/>
  <c r="U265" i="39" s="1"/>
  <c r="V265" i="39" s="1"/>
  <c r="AI264" i="39"/>
  <c r="AJ264" i="39" s="1"/>
  <c r="R264" i="39"/>
  <c r="U264" i="39" s="1"/>
  <c r="V264" i="39" s="1"/>
  <c r="AI263" i="39"/>
  <c r="AJ263" i="39" s="1"/>
  <c r="R263" i="39"/>
  <c r="U263" i="39" s="1"/>
  <c r="AI262" i="39"/>
  <c r="AL262" i="39" s="1"/>
  <c r="AM262" i="39" s="1"/>
  <c r="R262" i="39"/>
  <c r="U262" i="39" s="1"/>
  <c r="V262" i="39" s="1"/>
  <c r="AI261" i="39"/>
  <c r="AJ261" i="39" s="1"/>
  <c r="R261" i="39"/>
  <c r="U261" i="39" s="1"/>
  <c r="V261" i="39" s="1"/>
  <c r="AI260" i="39"/>
  <c r="AL260" i="39" s="1"/>
  <c r="AM260" i="39" s="1"/>
  <c r="R260" i="39"/>
  <c r="U260" i="39" s="1"/>
  <c r="V260" i="39" s="1"/>
  <c r="AI259" i="39"/>
  <c r="AL259" i="39" s="1"/>
  <c r="AM259" i="39" s="1"/>
  <c r="R259" i="39"/>
  <c r="U259" i="39" s="1"/>
  <c r="AI258" i="39"/>
  <c r="AJ258" i="39" s="1"/>
  <c r="R258" i="39"/>
  <c r="U258" i="39" s="1"/>
  <c r="V258" i="39" s="1"/>
  <c r="AI257" i="39"/>
  <c r="AL257" i="39" s="1"/>
  <c r="AM257" i="39" s="1"/>
  <c r="R257" i="39"/>
  <c r="S257" i="39" s="1"/>
  <c r="AI256" i="39"/>
  <c r="AL256" i="39" s="1"/>
  <c r="AM256" i="39" s="1"/>
  <c r="R256" i="39"/>
  <c r="S256" i="39" s="1"/>
  <c r="AI255" i="39"/>
  <c r="AJ255" i="39" s="1"/>
  <c r="R255" i="39"/>
  <c r="S255" i="39" s="1"/>
  <c r="AI254" i="39"/>
  <c r="AL254" i="39" s="1"/>
  <c r="AM254" i="39" s="1"/>
  <c r="R254" i="39"/>
  <c r="U254" i="39" s="1"/>
  <c r="V254" i="39" s="1"/>
  <c r="AI253" i="39"/>
  <c r="AJ253" i="39" s="1"/>
  <c r="R253" i="39"/>
  <c r="U253" i="39" s="1"/>
  <c r="V253" i="39" s="1"/>
  <c r="AI252" i="39"/>
  <c r="AJ252" i="39" s="1"/>
  <c r="R252" i="39"/>
  <c r="U252" i="39" s="1"/>
  <c r="AI247" i="39"/>
  <c r="AL247" i="39" s="1"/>
  <c r="AM247" i="39" s="1"/>
  <c r="R247" i="39"/>
  <c r="S247" i="39" s="1"/>
  <c r="AI246" i="39"/>
  <c r="AL246" i="39" s="1"/>
  <c r="AM246" i="39" s="1"/>
  <c r="R246" i="39"/>
  <c r="U246" i="39" s="1"/>
  <c r="V246" i="39" s="1"/>
  <c r="AI245" i="39"/>
  <c r="AJ245" i="39" s="1"/>
  <c r="R245" i="39"/>
  <c r="U245" i="39" s="1"/>
  <c r="V245" i="39" s="1"/>
  <c r="AI244" i="39"/>
  <c r="AL244" i="39" s="1"/>
  <c r="AM244" i="39" s="1"/>
  <c r="R244" i="39"/>
  <c r="S244" i="39" s="1"/>
  <c r="AI243" i="39"/>
  <c r="AL243" i="39" s="1"/>
  <c r="AM243" i="39" s="1"/>
  <c r="R243" i="39"/>
  <c r="S243" i="39" s="1"/>
  <c r="AI242" i="39"/>
  <c r="AJ242" i="39" s="1"/>
  <c r="R242" i="39"/>
  <c r="U242" i="39" s="1"/>
  <c r="V242" i="39" s="1"/>
  <c r="AI241" i="39"/>
  <c r="AJ241" i="39" s="1"/>
  <c r="R241" i="39"/>
  <c r="U241" i="39" s="1"/>
  <c r="V241" i="39" s="1"/>
  <c r="AI240" i="39"/>
  <c r="AL240" i="39" s="1"/>
  <c r="AM240" i="39" s="1"/>
  <c r="R240" i="39"/>
  <c r="U240" i="39" s="1"/>
  <c r="V240" i="39" s="1"/>
  <c r="AI239" i="39"/>
  <c r="AJ239" i="39" s="1"/>
  <c r="R239" i="39"/>
  <c r="U239" i="39" s="1"/>
  <c r="AI238" i="39"/>
  <c r="AJ238" i="39" s="1"/>
  <c r="R238" i="39"/>
  <c r="U238" i="39" s="1"/>
  <c r="V238" i="39" s="1"/>
  <c r="AI237" i="39"/>
  <c r="AL237" i="39" s="1"/>
  <c r="AM237" i="39" s="1"/>
  <c r="R237" i="39"/>
  <c r="U237" i="39" s="1"/>
  <c r="V237" i="39" s="1"/>
  <c r="AI236" i="39"/>
  <c r="AJ236" i="39" s="1"/>
  <c r="R236" i="39"/>
  <c r="U236" i="39" s="1"/>
  <c r="V236" i="39" s="1"/>
  <c r="AI235" i="39"/>
  <c r="AL235" i="39" s="1"/>
  <c r="AM235" i="39" s="1"/>
  <c r="R235" i="39"/>
  <c r="S235" i="39" s="1"/>
  <c r="AI234" i="39"/>
  <c r="AJ234" i="39" s="1"/>
  <c r="R234" i="39"/>
  <c r="U234" i="39" s="1"/>
  <c r="V234" i="39" s="1"/>
  <c r="AI233" i="39"/>
  <c r="AJ233" i="39" s="1"/>
  <c r="R233" i="39"/>
  <c r="U233" i="39" s="1"/>
  <c r="V233" i="39" s="1"/>
  <c r="AI232" i="39"/>
  <c r="AL232" i="39" s="1"/>
  <c r="AM232" i="39" s="1"/>
  <c r="R232" i="39"/>
  <c r="S232" i="39" s="1"/>
  <c r="AI231" i="39"/>
  <c r="AJ231" i="39" s="1"/>
  <c r="R231" i="39"/>
  <c r="S231" i="39" s="1"/>
  <c r="AI230" i="39"/>
  <c r="AJ230" i="39" s="1"/>
  <c r="R230" i="39"/>
  <c r="U230" i="39" s="1"/>
  <c r="V230" i="39" s="1"/>
  <c r="AI229" i="39"/>
  <c r="AL229" i="39" s="1"/>
  <c r="AM229" i="39" s="1"/>
  <c r="R229" i="39"/>
  <c r="S229" i="39" s="1"/>
  <c r="AI228" i="39"/>
  <c r="AL228" i="39" s="1"/>
  <c r="AM228" i="39" s="1"/>
  <c r="R228" i="39"/>
  <c r="S228" i="39" s="1"/>
  <c r="AI227" i="39"/>
  <c r="AJ227" i="39" s="1"/>
  <c r="R227" i="39"/>
  <c r="S227" i="39" s="1"/>
  <c r="AI226" i="39"/>
  <c r="AL226" i="39" s="1"/>
  <c r="AM226" i="39" s="1"/>
  <c r="R226" i="39"/>
  <c r="U226" i="39" s="1"/>
  <c r="V226" i="39" s="1"/>
  <c r="AI225" i="39"/>
  <c r="AJ225" i="39" s="1"/>
  <c r="R225" i="39"/>
  <c r="S225" i="39" s="1"/>
  <c r="AI224" i="39"/>
  <c r="AJ224" i="39" s="1"/>
  <c r="R224" i="39"/>
  <c r="U224" i="39" s="1"/>
  <c r="V224" i="39" s="1"/>
  <c r="AI223" i="39"/>
  <c r="AL223" i="39" s="1"/>
  <c r="AM223" i="39" s="1"/>
  <c r="R223" i="39"/>
  <c r="S223" i="39" s="1"/>
  <c r="AI222" i="39"/>
  <c r="AL222" i="39" s="1"/>
  <c r="AM222" i="39" s="1"/>
  <c r="R222" i="39"/>
  <c r="S222" i="39" s="1"/>
  <c r="AI221" i="39"/>
  <c r="AJ221" i="39" s="1"/>
  <c r="R221" i="39"/>
  <c r="U221" i="39" s="1"/>
  <c r="V221" i="39" s="1"/>
  <c r="AI220" i="39"/>
  <c r="AL220" i="39" s="1"/>
  <c r="AM220" i="39" s="1"/>
  <c r="R220" i="39"/>
  <c r="S220" i="39" s="1"/>
  <c r="AI219" i="39"/>
  <c r="AL219" i="39" s="1"/>
  <c r="AM219" i="39" s="1"/>
  <c r="R219" i="39"/>
  <c r="U219" i="39" s="1"/>
  <c r="AI218" i="39"/>
  <c r="AJ218" i="39" s="1"/>
  <c r="R218" i="39"/>
  <c r="U218" i="39" s="1"/>
  <c r="V218" i="39" s="1"/>
  <c r="AI217" i="39"/>
  <c r="AL217" i="39" s="1"/>
  <c r="AM217" i="39" s="1"/>
  <c r="R217" i="39"/>
  <c r="U217" i="39" s="1"/>
  <c r="V217" i="39" s="1"/>
  <c r="AI216" i="39"/>
  <c r="AJ216" i="39" s="1"/>
  <c r="R216" i="39"/>
  <c r="U216" i="39" s="1"/>
  <c r="V216" i="39" s="1"/>
  <c r="AI215" i="39"/>
  <c r="AJ215" i="39" s="1"/>
  <c r="R215" i="39"/>
  <c r="U215" i="39" s="1"/>
  <c r="AI214" i="39"/>
  <c r="AL214" i="39" s="1"/>
  <c r="AM214" i="39" s="1"/>
  <c r="R214" i="39"/>
  <c r="S214" i="39" s="1"/>
  <c r="AI213" i="39"/>
  <c r="AJ213" i="39" s="1"/>
  <c r="R213" i="39"/>
  <c r="U213" i="39" s="1"/>
  <c r="V213" i="39" s="1"/>
  <c r="AI212" i="39"/>
  <c r="AJ212" i="39" s="1"/>
  <c r="R212" i="39"/>
  <c r="S212" i="39" s="1"/>
  <c r="AI211" i="39"/>
  <c r="AL211" i="39" s="1"/>
  <c r="AM211" i="39" s="1"/>
  <c r="R211" i="39"/>
  <c r="S211" i="39" s="1"/>
  <c r="AI210" i="39"/>
  <c r="AL210" i="39" s="1"/>
  <c r="AM210" i="39" s="1"/>
  <c r="R210" i="39"/>
  <c r="U210" i="39" s="1"/>
  <c r="V210" i="39" s="1"/>
  <c r="AI209" i="39"/>
  <c r="AJ209" i="39" s="1"/>
  <c r="R209" i="39"/>
  <c r="U209" i="39" s="1"/>
  <c r="V209" i="39" s="1"/>
  <c r="AI208" i="39"/>
  <c r="AL208" i="39" s="1"/>
  <c r="AM208" i="39" s="1"/>
  <c r="R208" i="39"/>
  <c r="S208" i="39" s="1"/>
  <c r="AI207" i="39"/>
  <c r="AJ207" i="39" s="1"/>
  <c r="R207" i="39"/>
  <c r="S207" i="39" s="1"/>
  <c r="AI206" i="39"/>
  <c r="AJ206" i="39" s="1"/>
  <c r="R206" i="39"/>
  <c r="U206" i="39" s="1"/>
  <c r="V206" i="39" s="1"/>
  <c r="AI205" i="39"/>
  <c r="AL205" i="39" s="1"/>
  <c r="AM205" i="39" s="1"/>
  <c r="R205" i="39"/>
  <c r="S205" i="39" s="1"/>
  <c r="AI204" i="39"/>
  <c r="AL204" i="39" s="1"/>
  <c r="AM204" i="39" s="1"/>
  <c r="R204" i="39"/>
  <c r="U204" i="39" s="1"/>
  <c r="V204" i="39" s="1"/>
  <c r="AI203" i="39"/>
  <c r="AJ203" i="39" s="1"/>
  <c r="R203" i="39"/>
  <c r="U203" i="39" s="1"/>
  <c r="AI202" i="39"/>
  <c r="AJ202" i="39" s="1"/>
  <c r="R202" i="39"/>
  <c r="S202" i="39" s="1"/>
  <c r="AI201" i="39"/>
  <c r="AJ201" i="39" s="1"/>
  <c r="R201" i="39"/>
  <c r="U201" i="39" s="1"/>
  <c r="V201" i="39" s="1"/>
  <c r="AI200" i="39"/>
  <c r="AJ200" i="39" s="1"/>
  <c r="R200" i="39"/>
  <c r="S200" i="39" s="1"/>
  <c r="AI199" i="39"/>
  <c r="AL199" i="39" s="1"/>
  <c r="AM199" i="39" s="1"/>
  <c r="R199" i="39"/>
  <c r="S199" i="39" s="1"/>
  <c r="AI198" i="39"/>
  <c r="AJ198" i="39" s="1"/>
  <c r="R198" i="39"/>
  <c r="S198" i="39" s="1"/>
  <c r="AI197" i="39"/>
  <c r="AL197" i="39" s="1"/>
  <c r="AM197" i="39" s="1"/>
  <c r="R197" i="39"/>
  <c r="S197" i="39" s="1"/>
  <c r="AI196" i="39"/>
  <c r="AL196" i="39" s="1"/>
  <c r="AM196" i="39" s="1"/>
  <c r="R196" i="39"/>
  <c r="U196" i="39" s="1"/>
  <c r="V196" i="39" s="1"/>
  <c r="AI195" i="39"/>
  <c r="AJ195" i="39" s="1"/>
  <c r="R195" i="39"/>
  <c r="U195" i="39" s="1"/>
  <c r="AI194" i="39"/>
  <c r="AJ194" i="39" s="1"/>
  <c r="R194" i="39"/>
  <c r="U194" i="39" s="1"/>
  <c r="V194" i="39" s="1"/>
  <c r="AI193" i="39"/>
  <c r="AJ193" i="39" s="1"/>
  <c r="R193" i="39"/>
  <c r="S193" i="39" s="1"/>
  <c r="AI192" i="39"/>
  <c r="AL192" i="39" s="1"/>
  <c r="AM192" i="39" s="1"/>
  <c r="R192" i="39"/>
  <c r="S192" i="39" s="1"/>
  <c r="AI191" i="39"/>
  <c r="AJ191" i="39" s="1"/>
  <c r="R191" i="39"/>
  <c r="U191" i="39" s="1"/>
  <c r="V191" i="39" s="1"/>
  <c r="AI190" i="39"/>
  <c r="AJ190" i="39" s="1"/>
  <c r="R190" i="39"/>
  <c r="U190" i="39" s="1"/>
  <c r="V190" i="39" s="1"/>
  <c r="AI189" i="39"/>
  <c r="AL189" i="39" s="1"/>
  <c r="AM189" i="39" s="1"/>
  <c r="R189" i="39"/>
  <c r="U189" i="39" s="1"/>
  <c r="V189" i="39" s="1"/>
  <c r="AI188" i="39"/>
  <c r="AJ188" i="39" s="1"/>
  <c r="R188" i="39"/>
  <c r="U188" i="39" s="1"/>
  <c r="V188" i="39" s="1"/>
  <c r="AI187" i="39"/>
  <c r="AJ187" i="39" s="1"/>
  <c r="R187" i="39"/>
  <c r="U187" i="39" s="1"/>
  <c r="V187" i="39" s="1"/>
  <c r="AI186" i="39"/>
  <c r="AL186" i="39" s="1"/>
  <c r="AM186" i="39" s="1"/>
  <c r="R186" i="39"/>
  <c r="S186" i="39" s="1"/>
  <c r="AI185" i="39"/>
  <c r="AL185" i="39" s="1"/>
  <c r="AM185" i="39" s="1"/>
  <c r="R185" i="39"/>
  <c r="U185" i="39" s="1"/>
  <c r="V185" i="39" s="1"/>
  <c r="AI184" i="39"/>
  <c r="AJ184" i="39" s="1"/>
  <c r="R184" i="39"/>
  <c r="S184" i="39" s="1"/>
  <c r="AI183" i="39"/>
  <c r="AL183" i="39" s="1"/>
  <c r="AM183" i="39" s="1"/>
  <c r="R183" i="39"/>
  <c r="U183" i="39" s="1"/>
  <c r="V183" i="39" s="1"/>
  <c r="AI182" i="39"/>
  <c r="AJ182" i="39" s="1"/>
  <c r="R182" i="39"/>
  <c r="U182" i="39" s="1"/>
  <c r="V182" i="39" s="1"/>
  <c r="AI181" i="39"/>
  <c r="AJ181" i="39" s="1"/>
  <c r="R181" i="39"/>
  <c r="U181" i="39" s="1"/>
  <c r="V181" i="39" s="1"/>
  <c r="AI180" i="39"/>
  <c r="AJ180" i="39" s="1"/>
  <c r="R180" i="39"/>
  <c r="U180" i="39" s="1"/>
  <c r="V180" i="39" s="1"/>
  <c r="AI179" i="39"/>
  <c r="AJ179" i="39" s="1"/>
  <c r="R179" i="39"/>
  <c r="U179" i="39" s="1"/>
  <c r="V179" i="39" s="1"/>
  <c r="AI178" i="39"/>
  <c r="AJ178" i="39" s="1"/>
  <c r="R178" i="39"/>
  <c r="U178" i="39" s="1"/>
  <c r="V178" i="39" s="1"/>
  <c r="AI177" i="39"/>
  <c r="AL177" i="39" s="1"/>
  <c r="AM177" i="39" s="1"/>
  <c r="R177" i="39"/>
  <c r="U177" i="39" s="1"/>
  <c r="V177" i="39" s="1"/>
  <c r="AI176" i="39"/>
  <c r="AL176" i="39" s="1"/>
  <c r="AM176" i="39" s="1"/>
  <c r="R176" i="39"/>
  <c r="U176" i="39" s="1"/>
  <c r="V176" i="39" s="1"/>
  <c r="AI175" i="39"/>
  <c r="AJ175" i="39" s="1"/>
  <c r="R175" i="39"/>
  <c r="U175" i="39" s="1"/>
  <c r="V175" i="39" s="1"/>
  <c r="AI174" i="39"/>
  <c r="AL174" i="39" s="1"/>
  <c r="AM174" i="39" s="1"/>
  <c r="R174" i="39"/>
  <c r="U174" i="39" s="1"/>
  <c r="V174" i="39" s="1"/>
  <c r="AI173" i="39"/>
  <c r="AL173" i="39" s="1"/>
  <c r="AM173" i="39" s="1"/>
  <c r="R173" i="39"/>
  <c r="U173" i="39" s="1"/>
  <c r="V173" i="39" s="1"/>
  <c r="AI172" i="39"/>
  <c r="AL172" i="39" s="1"/>
  <c r="AM172" i="39" s="1"/>
  <c r="R172" i="39"/>
  <c r="U172" i="39" s="1"/>
  <c r="V172" i="39" s="1"/>
  <c r="AI171" i="39"/>
  <c r="AL171" i="39" s="1"/>
  <c r="AM171" i="39" s="1"/>
  <c r="R171" i="39"/>
  <c r="S171" i="39" s="1"/>
  <c r="AI170" i="39"/>
  <c r="AL170" i="39" s="1"/>
  <c r="AM170" i="39" s="1"/>
  <c r="R170" i="39"/>
  <c r="U170" i="39" s="1"/>
  <c r="V170" i="39" s="1"/>
  <c r="AI169" i="39"/>
  <c r="AL169" i="39" s="1"/>
  <c r="AM169" i="39" s="1"/>
  <c r="R169" i="39"/>
  <c r="U169" i="39" s="1"/>
  <c r="V169" i="39" s="1"/>
  <c r="AI168" i="39"/>
  <c r="AL168" i="39" s="1"/>
  <c r="AM168" i="39" s="1"/>
  <c r="R168" i="39"/>
  <c r="U168" i="39" s="1"/>
  <c r="V168" i="39" s="1"/>
  <c r="AI167" i="39"/>
  <c r="AL167" i="39" s="1"/>
  <c r="AM167" i="39" s="1"/>
  <c r="R167" i="39"/>
  <c r="U167" i="39" s="1"/>
  <c r="AI166" i="39"/>
  <c r="AJ166" i="39" s="1"/>
  <c r="R166" i="39"/>
  <c r="S166" i="39" s="1"/>
  <c r="AI165" i="39"/>
  <c r="AJ165" i="39" s="1"/>
  <c r="R165" i="39"/>
  <c r="U165" i="39" s="1"/>
  <c r="V165" i="39" s="1"/>
  <c r="AI164" i="39"/>
  <c r="AJ164" i="39" s="1"/>
  <c r="R164" i="39"/>
  <c r="S164" i="39" s="1"/>
  <c r="AI163" i="39"/>
  <c r="AJ163" i="39" s="1"/>
  <c r="R163" i="39"/>
  <c r="S163" i="39" s="1"/>
  <c r="AI162" i="39"/>
  <c r="AL162" i="39" s="1"/>
  <c r="AM162" i="39" s="1"/>
  <c r="R162" i="39"/>
  <c r="S162" i="39" s="1"/>
  <c r="AI161" i="39"/>
  <c r="AL161" i="39" s="1"/>
  <c r="AM161" i="39" s="1"/>
  <c r="R161" i="39"/>
  <c r="S161" i="39" s="1"/>
  <c r="AI160" i="39"/>
  <c r="AL160" i="39" s="1"/>
  <c r="AM160" i="39" s="1"/>
  <c r="R160" i="39"/>
  <c r="S160" i="39" s="1"/>
  <c r="AI159" i="39"/>
  <c r="AL159" i="39" s="1"/>
  <c r="AM159" i="39" s="1"/>
  <c r="R159" i="39"/>
  <c r="S159" i="39" s="1"/>
  <c r="AI158" i="39"/>
  <c r="AL158" i="39" s="1"/>
  <c r="AM158" i="39" s="1"/>
  <c r="R158" i="39"/>
  <c r="U158" i="39" s="1"/>
  <c r="V158" i="39" s="1"/>
  <c r="AI157" i="39"/>
  <c r="AJ157" i="39" s="1"/>
  <c r="R157" i="39"/>
  <c r="S157" i="39" s="1"/>
  <c r="AI156" i="39"/>
  <c r="AL156" i="39" s="1"/>
  <c r="AM156" i="39" s="1"/>
  <c r="R156" i="39"/>
  <c r="U156" i="39" s="1"/>
  <c r="V156" i="39" s="1"/>
  <c r="AI155" i="39"/>
  <c r="AJ155" i="39" s="1"/>
  <c r="R155" i="39"/>
  <c r="U155" i="39" s="1"/>
  <c r="AI154" i="39"/>
  <c r="AL154" i="39" s="1"/>
  <c r="AM154" i="39" s="1"/>
  <c r="R154" i="39"/>
  <c r="U154" i="39" s="1"/>
  <c r="V154" i="39" s="1"/>
  <c r="AI153" i="39"/>
  <c r="AJ153" i="39" s="1"/>
  <c r="R153" i="39"/>
  <c r="S153" i="39" s="1"/>
  <c r="AI152" i="39"/>
  <c r="AJ152" i="39" s="1"/>
  <c r="R152" i="39"/>
  <c r="U152" i="39" s="1"/>
  <c r="V152" i="39" s="1"/>
  <c r="AI151" i="39"/>
  <c r="AJ151" i="39" s="1"/>
  <c r="R151" i="39"/>
  <c r="U151" i="39" s="1"/>
  <c r="AI150" i="39"/>
  <c r="AL150" i="39" s="1"/>
  <c r="AM150" i="39" s="1"/>
  <c r="R150" i="39"/>
  <c r="S150" i="39" s="1"/>
  <c r="AI149" i="39"/>
  <c r="AL149" i="39" s="1"/>
  <c r="AM149" i="39" s="1"/>
  <c r="R149" i="39"/>
  <c r="S149" i="39" s="1"/>
  <c r="AI148" i="39"/>
  <c r="AL148" i="39" s="1"/>
  <c r="AM148" i="39" s="1"/>
  <c r="R148" i="39"/>
  <c r="U148" i="39" s="1"/>
  <c r="V148" i="39" s="1"/>
  <c r="AI147" i="39"/>
  <c r="AL147" i="39" s="1"/>
  <c r="AM147" i="39" s="1"/>
  <c r="R147" i="39"/>
  <c r="U147" i="39" s="1"/>
  <c r="AI146" i="39"/>
  <c r="AJ146" i="39" s="1"/>
  <c r="R146" i="39"/>
  <c r="U146" i="39" s="1"/>
  <c r="V146" i="39" s="1"/>
  <c r="AI145" i="39"/>
  <c r="AJ145" i="39" s="1"/>
  <c r="R145" i="39"/>
  <c r="U145" i="39" s="1"/>
  <c r="V145" i="39" s="1"/>
  <c r="AI144" i="39"/>
  <c r="AL144" i="39" s="1"/>
  <c r="AM144" i="39" s="1"/>
  <c r="R144" i="39"/>
  <c r="U144" i="39" s="1"/>
  <c r="V144" i="39" s="1"/>
  <c r="AI143" i="39"/>
  <c r="AL143" i="39" s="1"/>
  <c r="AM143" i="39" s="1"/>
  <c r="R143" i="39"/>
  <c r="S143" i="39" s="1"/>
  <c r="AI142" i="39"/>
  <c r="AL142" i="39" s="1"/>
  <c r="AM142" i="39" s="1"/>
  <c r="R142" i="39"/>
  <c r="U142" i="39" s="1"/>
  <c r="V142" i="39" s="1"/>
  <c r="AI141" i="39"/>
  <c r="AL141" i="39" s="1"/>
  <c r="AM141" i="39" s="1"/>
  <c r="R141" i="39"/>
  <c r="S141" i="39" s="1"/>
  <c r="AI140" i="39"/>
  <c r="AJ140" i="39" s="1"/>
  <c r="R140" i="39"/>
  <c r="U140" i="39" s="1"/>
  <c r="V140" i="39" s="1"/>
  <c r="AI139" i="39"/>
  <c r="AJ139" i="39" s="1"/>
  <c r="R139" i="39"/>
  <c r="S139" i="39" s="1"/>
  <c r="AI138" i="39"/>
  <c r="AJ138" i="39" s="1"/>
  <c r="R138" i="39"/>
  <c r="U138" i="39" s="1"/>
  <c r="V138" i="39" s="1"/>
  <c r="AI137" i="39"/>
  <c r="AL137" i="39" s="1"/>
  <c r="AM137" i="39" s="1"/>
  <c r="R137" i="39"/>
  <c r="U137" i="39" s="1"/>
  <c r="V137" i="39" s="1"/>
  <c r="AI136" i="39"/>
  <c r="AJ136" i="39" s="1"/>
  <c r="R136" i="39"/>
  <c r="U136" i="39" s="1"/>
  <c r="V136" i="39" s="1"/>
  <c r="AI135" i="39"/>
  <c r="AL135" i="39" s="1"/>
  <c r="AM135" i="39" s="1"/>
  <c r="R135" i="39"/>
  <c r="U135" i="39" s="1"/>
  <c r="AI134" i="39"/>
  <c r="AJ134" i="39" s="1"/>
  <c r="R134" i="39"/>
  <c r="U134" i="39" s="1"/>
  <c r="V134" i="39" s="1"/>
  <c r="AI133" i="39"/>
  <c r="AJ133" i="39" s="1"/>
  <c r="R133" i="39"/>
  <c r="U133" i="39" s="1"/>
  <c r="V133" i="39" s="1"/>
  <c r="AI132" i="39"/>
  <c r="AJ132" i="39" s="1"/>
  <c r="R132" i="39"/>
  <c r="U132" i="39" s="1"/>
  <c r="V132" i="39" s="1"/>
  <c r="AI131" i="39"/>
  <c r="AL131" i="39" s="1"/>
  <c r="AM131" i="39" s="1"/>
  <c r="R131" i="39"/>
  <c r="U131" i="39" s="1"/>
  <c r="AI130" i="39"/>
  <c r="AL130" i="39" s="1"/>
  <c r="AM130" i="39" s="1"/>
  <c r="R130" i="39"/>
  <c r="S130" i="39" s="1"/>
  <c r="AI129" i="39"/>
  <c r="AJ129" i="39" s="1"/>
  <c r="R129" i="39"/>
  <c r="U129" i="39" s="1"/>
  <c r="V129" i="39" s="1"/>
  <c r="AI128" i="39"/>
  <c r="AL128" i="39" s="1"/>
  <c r="AM128" i="39" s="1"/>
  <c r="R128" i="39"/>
  <c r="S128" i="39" s="1"/>
  <c r="AI127" i="39"/>
  <c r="AJ127" i="39" s="1"/>
  <c r="R127" i="39"/>
  <c r="U127" i="39" s="1"/>
  <c r="AI126" i="39"/>
  <c r="AJ126" i="39" s="1"/>
  <c r="R126" i="39"/>
  <c r="U126" i="39" s="1"/>
  <c r="V126" i="39" s="1"/>
  <c r="AI125" i="39"/>
  <c r="AL125" i="39" s="1"/>
  <c r="AM125" i="39" s="1"/>
  <c r="R125" i="39"/>
  <c r="S125" i="39" s="1"/>
  <c r="AI124" i="39"/>
  <c r="AJ124" i="39" s="1"/>
  <c r="R124" i="39"/>
  <c r="U124" i="39" s="1"/>
  <c r="V124" i="39" s="1"/>
  <c r="AI123" i="39"/>
  <c r="AL123" i="39" s="1"/>
  <c r="AM123" i="39" s="1"/>
  <c r="R123" i="39"/>
  <c r="U123" i="39" s="1"/>
  <c r="AI122" i="39"/>
  <c r="AJ122" i="39" s="1"/>
  <c r="R122" i="39"/>
  <c r="U122" i="39" s="1"/>
  <c r="V122" i="39" s="1"/>
  <c r="AI121" i="39"/>
  <c r="AL121" i="39" s="1"/>
  <c r="AM121" i="39" s="1"/>
  <c r="R121" i="39"/>
  <c r="S121" i="39" s="1"/>
  <c r="AI120" i="39"/>
  <c r="AL120" i="39" s="1"/>
  <c r="AM120" i="39" s="1"/>
  <c r="R120" i="39"/>
  <c r="U120" i="39" s="1"/>
  <c r="AI119" i="39"/>
  <c r="AL119" i="39" s="1"/>
  <c r="AM119" i="39" s="1"/>
  <c r="R119" i="39"/>
  <c r="S119" i="39" s="1"/>
  <c r="AI118" i="39"/>
  <c r="AL118" i="39" s="1"/>
  <c r="AM118" i="39" s="1"/>
  <c r="R118" i="39"/>
  <c r="S118" i="39" s="1"/>
  <c r="AI117" i="39"/>
  <c r="AL117" i="39" s="1"/>
  <c r="AM117" i="39" s="1"/>
  <c r="R117" i="39"/>
  <c r="S117" i="39" s="1"/>
  <c r="AI116" i="39"/>
  <c r="AJ116" i="39" s="1"/>
  <c r="R116" i="39"/>
  <c r="S116" i="39" s="1"/>
  <c r="AI115" i="39"/>
  <c r="AJ115" i="39" s="1"/>
  <c r="R115" i="39"/>
  <c r="S115" i="39" s="1"/>
  <c r="AI114" i="39"/>
  <c r="AL114" i="39" s="1"/>
  <c r="AM114" i="39" s="1"/>
  <c r="R114" i="39"/>
  <c r="S114" i="39" s="1"/>
  <c r="AI113" i="39"/>
  <c r="AJ113" i="39" s="1"/>
  <c r="R113" i="39"/>
  <c r="U113" i="39" s="1"/>
  <c r="V113" i="39" s="1"/>
  <c r="AI112" i="39"/>
  <c r="AJ112" i="39" s="1"/>
  <c r="R112" i="39"/>
  <c r="U112" i="39" s="1"/>
  <c r="V112" i="39" s="1"/>
  <c r="AI111" i="39"/>
  <c r="AL111" i="39" s="1"/>
  <c r="AM111" i="39" s="1"/>
  <c r="R111" i="39"/>
  <c r="U111" i="39" s="1"/>
  <c r="AI110" i="39"/>
  <c r="AJ110" i="39" s="1"/>
  <c r="R110" i="39"/>
  <c r="S110" i="39" s="1"/>
  <c r="AI109" i="39"/>
  <c r="AJ109" i="39" s="1"/>
  <c r="R109" i="39"/>
  <c r="U109" i="39" s="1"/>
  <c r="V109" i="39" s="1"/>
  <c r="AI108" i="39"/>
  <c r="AL108" i="39" s="1"/>
  <c r="AM108" i="39" s="1"/>
  <c r="R108" i="39"/>
  <c r="U108" i="39" s="1"/>
  <c r="V108" i="39" s="1"/>
  <c r="AI107" i="39"/>
  <c r="AL107" i="39" s="1"/>
  <c r="AM107" i="39" s="1"/>
  <c r="R107" i="39"/>
  <c r="S107" i="39" s="1"/>
  <c r="AI106" i="39"/>
  <c r="AL106" i="39" s="1"/>
  <c r="AM106" i="39" s="1"/>
  <c r="R106" i="39"/>
  <c r="S106" i="39" s="1"/>
  <c r="AI105" i="39"/>
  <c r="AL105" i="39" s="1"/>
  <c r="AM105" i="39" s="1"/>
  <c r="R105" i="39"/>
  <c r="U105" i="39" s="1"/>
  <c r="V105" i="39" s="1"/>
  <c r="AI104" i="39"/>
  <c r="AL104" i="39" s="1"/>
  <c r="AM104" i="39" s="1"/>
  <c r="R104" i="39"/>
  <c r="S104" i="39" s="1"/>
  <c r="AI103" i="39"/>
  <c r="AJ103" i="39" s="1"/>
  <c r="R103" i="39"/>
  <c r="U103" i="39" s="1"/>
  <c r="AI102" i="39"/>
  <c r="AL102" i="39" s="1"/>
  <c r="AM102" i="39" s="1"/>
  <c r="R102" i="39"/>
  <c r="U102" i="39" s="1"/>
  <c r="V102" i="39" s="1"/>
  <c r="AI101" i="39"/>
  <c r="AL101" i="39" s="1"/>
  <c r="AM101" i="39" s="1"/>
  <c r="R101" i="39"/>
  <c r="U101" i="39" s="1"/>
  <c r="V101" i="39" s="1"/>
  <c r="AI100" i="39"/>
  <c r="AJ100" i="39" s="1"/>
  <c r="R100" i="39"/>
  <c r="U100" i="39" s="1"/>
  <c r="V100" i="39" s="1"/>
  <c r="AI99" i="39"/>
  <c r="AL99" i="39" s="1"/>
  <c r="AM99" i="39" s="1"/>
  <c r="R99" i="39"/>
  <c r="U99" i="39" s="1"/>
  <c r="AI98" i="39"/>
  <c r="AJ98" i="39" s="1"/>
  <c r="R98" i="39"/>
  <c r="S98" i="39" s="1"/>
  <c r="AI97" i="39"/>
  <c r="AL97" i="39" s="1"/>
  <c r="AM97" i="39" s="1"/>
  <c r="R97" i="39"/>
  <c r="U97" i="39" s="1"/>
  <c r="V97" i="39" s="1"/>
  <c r="AI96" i="39"/>
  <c r="AL96" i="39" s="1"/>
  <c r="AM96" i="39" s="1"/>
  <c r="R96" i="39"/>
  <c r="U96" i="39" s="1"/>
  <c r="V96" i="39" s="1"/>
  <c r="AI95" i="39"/>
  <c r="AL95" i="39" s="1"/>
  <c r="AM95" i="39" s="1"/>
  <c r="R95" i="39"/>
  <c r="S95" i="39" s="1"/>
  <c r="AI94" i="39"/>
  <c r="AJ94" i="39" s="1"/>
  <c r="R94" i="39"/>
  <c r="U94" i="39" s="1"/>
  <c r="V94" i="39" s="1"/>
  <c r="AI93" i="39"/>
  <c r="AL93" i="39" s="1"/>
  <c r="AM93" i="39" s="1"/>
  <c r="R93" i="39"/>
  <c r="S93" i="39" s="1"/>
  <c r="AI92" i="39"/>
  <c r="AL92" i="39" s="1"/>
  <c r="AM92" i="39" s="1"/>
  <c r="R92" i="39"/>
  <c r="U92" i="39" s="1"/>
  <c r="V92" i="39" s="1"/>
  <c r="AI91" i="39"/>
  <c r="AJ91" i="39" s="1"/>
  <c r="R91" i="39"/>
  <c r="S91" i="39" s="1"/>
  <c r="AI90" i="39"/>
  <c r="AL90" i="39" s="1"/>
  <c r="AM90" i="39" s="1"/>
  <c r="R90" i="39"/>
  <c r="U90" i="39" s="1"/>
  <c r="V90" i="39" s="1"/>
  <c r="AI89" i="39"/>
  <c r="AL89" i="39" s="1"/>
  <c r="AM89" i="39" s="1"/>
  <c r="R89" i="39"/>
  <c r="S89" i="39" s="1"/>
  <c r="AI88" i="39"/>
  <c r="AJ88" i="39" s="1"/>
  <c r="R88" i="39"/>
  <c r="U88" i="39" s="1"/>
  <c r="V88" i="39" s="1"/>
  <c r="AI87" i="39"/>
  <c r="AJ87" i="39" s="1"/>
  <c r="R87" i="39"/>
  <c r="U87" i="39" s="1"/>
  <c r="AI86" i="39"/>
  <c r="AL86" i="39" s="1"/>
  <c r="AM86" i="39" s="1"/>
  <c r="R86" i="39"/>
  <c r="S86" i="39" s="1"/>
  <c r="AI85" i="39"/>
  <c r="AL85" i="39" s="1"/>
  <c r="AM85" i="39" s="1"/>
  <c r="R85" i="39"/>
  <c r="S85" i="39" s="1"/>
  <c r="AI84" i="39"/>
  <c r="AJ84" i="39" s="1"/>
  <c r="R84" i="39"/>
  <c r="U84" i="39" s="1"/>
  <c r="V84" i="39" s="1"/>
  <c r="AI83" i="39"/>
  <c r="AJ83" i="39" s="1"/>
  <c r="R83" i="39"/>
  <c r="U83" i="39" s="1"/>
  <c r="AI82" i="39"/>
  <c r="AL82" i="39" s="1"/>
  <c r="AM82" i="39" s="1"/>
  <c r="R82" i="39"/>
  <c r="S82" i="39" s="1"/>
  <c r="AI81" i="39"/>
  <c r="AL81" i="39" s="1"/>
  <c r="AM81" i="39" s="1"/>
  <c r="R81" i="39"/>
  <c r="S81" i="39" s="1"/>
  <c r="AI80" i="39"/>
  <c r="AL80" i="39" s="1"/>
  <c r="AM80" i="39" s="1"/>
  <c r="R80" i="39"/>
  <c r="S80" i="39" s="1"/>
  <c r="AI79" i="39"/>
  <c r="AL79" i="39" s="1"/>
  <c r="AM79" i="39" s="1"/>
  <c r="R79" i="39"/>
  <c r="U79" i="39" s="1"/>
  <c r="AI78" i="39"/>
  <c r="AL78" i="39" s="1"/>
  <c r="AM78" i="39" s="1"/>
  <c r="R78" i="39"/>
  <c r="S78" i="39" s="1"/>
  <c r="AI77" i="39"/>
  <c r="AJ77" i="39" s="1"/>
  <c r="R77" i="39"/>
  <c r="U77" i="39" s="1"/>
  <c r="V77" i="39" s="1"/>
  <c r="AI76" i="39"/>
  <c r="AL76" i="39" s="1"/>
  <c r="AM76" i="39" s="1"/>
  <c r="R76" i="39"/>
  <c r="U76" i="39" s="1"/>
  <c r="V76" i="39" s="1"/>
  <c r="AI75" i="39"/>
  <c r="AL75" i="39" s="1"/>
  <c r="AM75" i="39" s="1"/>
  <c r="R75" i="39"/>
  <c r="U75" i="39" s="1"/>
  <c r="V75" i="39" s="1"/>
  <c r="AI74" i="39"/>
  <c r="AJ74" i="39" s="1"/>
  <c r="R74" i="39"/>
  <c r="U74" i="39" s="1"/>
  <c r="V74" i="39" s="1"/>
  <c r="AI73" i="39"/>
  <c r="AL73" i="39" s="1"/>
  <c r="AM73" i="39" s="1"/>
  <c r="R73" i="39"/>
  <c r="S73" i="39" s="1"/>
  <c r="AI72" i="39"/>
  <c r="AL72" i="39" s="1"/>
  <c r="AM72" i="39" s="1"/>
  <c r="R72" i="39"/>
  <c r="S72" i="39" s="1"/>
  <c r="AI71" i="39"/>
  <c r="AJ71" i="39" s="1"/>
  <c r="R71" i="39"/>
  <c r="S71" i="39" s="1"/>
  <c r="AI70" i="39"/>
  <c r="AL70" i="39" s="1"/>
  <c r="AM70" i="39" s="1"/>
  <c r="R70" i="39"/>
  <c r="U70" i="39" s="1"/>
  <c r="V70" i="39" s="1"/>
  <c r="AI69" i="39"/>
  <c r="AJ69" i="39" s="1"/>
  <c r="R69" i="39"/>
  <c r="U69" i="39" s="1"/>
  <c r="V69" i="39" s="1"/>
  <c r="AI68" i="39"/>
  <c r="AL68" i="39" s="1"/>
  <c r="AM68" i="39" s="1"/>
  <c r="R68" i="39"/>
  <c r="U68" i="39" s="1"/>
  <c r="V68" i="39" s="1"/>
  <c r="AI67" i="39"/>
  <c r="AL67" i="39" s="1"/>
  <c r="AM67" i="39" s="1"/>
  <c r="R67" i="39"/>
  <c r="U67" i="39" s="1"/>
  <c r="V67" i="39" s="1"/>
  <c r="AI66" i="39"/>
  <c r="AJ66" i="39" s="1"/>
  <c r="R66" i="39"/>
  <c r="S66" i="39" s="1"/>
  <c r="AI65" i="39"/>
  <c r="AL65" i="39" s="1"/>
  <c r="AM65" i="39" s="1"/>
  <c r="R65" i="39"/>
  <c r="S65" i="39" s="1"/>
  <c r="AI64" i="39"/>
  <c r="AL64" i="39" s="1"/>
  <c r="AM64" i="39" s="1"/>
  <c r="R64" i="39"/>
  <c r="U64" i="39" s="1"/>
  <c r="V64" i="39" s="1"/>
  <c r="AI63" i="39"/>
  <c r="AL63" i="39" s="1"/>
  <c r="AM63" i="39" s="1"/>
  <c r="R63" i="39"/>
  <c r="U63" i="39" s="1"/>
  <c r="AI62" i="39"/>
  <c r="AJ62" i="39" s="1"/>
  <c r="R62" i="39"/>
  <c r="U62" i="39" s="1"/>
  <c r="V62" i="39" s="1"/>
  <c r="AI61" i="39"/>
  <c r="AL61" i="39" s="1"/>
  <c r="AM61" i="39" s="1"/>
  <c r="R61" i="39"/>
  <c r="S61" i="39" s="1"/>
  <c r="AI60" i="39"/>
  <c r="AL60" i="39" s="1"/>
  <c r="AM60" i="39" s="1"/>
  <c r="R60" i="39"/>
  <c r="S60" i="39" s="1"/>
  <c r="AI59" i="39"/>
  <c r="AL59" i="39" s="1"/>
  <c r="AM59" i="39" s="1"/>
  <c r="R59" i="39"/>
  <c r="U59" i="39" s="1"/>
  <c r="V59" i="39" s="1"/>
  <c r="AI58" i="39"/>
  <c r="AL58" i="39" s="1"/>
  <c r="AM58" i="39" s="1"/>
  <c r="R58" i="39"/>
  <c r="U58" i="39" s="1"/>
  <c r="V58" i="39" s="1"/>
  <c r="AI57" i="39"/>
  <c r="AL57" i="39" s="1"/>
  <c r="AM57" i="39" s="1"/>
  <c r="R57" i="39"/>
  <c r="S57" i="39" s="1"/>
  <c r="AI56" i="39"/>
  <c r="AJ56" i="39" s="1"/>
  <c r="R56" i="39"/>
  <c r="S56" i="39" s="1"/>
  <c r="AI55" i="39"/>
  <c r="AJ55" i="39" s="1"/>
  <c r="R55" i="39"/>
  <c r="U55" i="39" s="1"/>
  <c r="AI54" i="39"/>
  <c r="AL54" i="39" s="1"/>
  <c r="AM54" i="39" s="1"/>
  <c r="R54" i="39"/>
  <c r="U54" i="39" s="1"/>
  <c r="V54" i="39" s="1"/>
  <c r="AI53" i="39"/>
  <c r="AL53" i="39" s="1"/>
  <c r="AM53" i="39" s="1"/>
  <c r="R53" i="39"/>
  <c r="U53" i="39" s="1"/>
  <c r="V53" i="39" s="1"/>
  <c r="AI52" i="39"/>
  <c r="AL52" i="39" s="1"/>
  <c r="AM52" i="39" s="1"/>
  <c r="R52" i="39"/>
  <c r="U52" i="39" s="1"/>
  <c r="V52" i="39" s="1"/>
  <c r="AI51" i="39"/>
  <c r="AL51" i="39" s="1"/>
  <c r="AM51" i="39" s="1"/>
  <c r="R51" i="39"/>
  <c r="U51" i="39" s="1"/>
  <c r="V51" i="39" s="1"/>
  <c r="AI50" i="39"/>
  <c r="AL50" i="39" s="1"/>
  <c r="AM50" i="39" s="1"/>
  <c r="R50" i="39"/>
  <c r="S50" i="39" s="1"/>
  <c r="AI49" i="39"/>
  <c r="AJ49" i="39" s="1"/>
  <c r="R49" i="39"/>
  <c r="U49" i="39" s="1"/>
  <c r="V49" i="39" s="1"/>
  <c r="AI48" i="39"/>
  <c r="AJ48" i="39" s="1"/>
  <c r="R48" i="39"/>
  <c r="U48" i="39" s="1"/>
  <c r="AI47" i="39"/>
  <c r="AL47" i="39" s="1"/>
  <c r="AM47" i="39" s="1"/>
  <c r="R47" i="39"/>
  <c r="U47" i="39" s="1"/>
  <c r="AI46" i="39"/>
  <c r="AL46" i="39" s="1"/>
  <c r="AM46" i="39" s="1"/>
  <c r="R46" i="39"/>
  <c r="U46" i="39" s="1"/>
  <c r="V46" i="39" s="1"/>
  <c r="AI45" i="39"/>
  <c r="AL45" i="39" s="1"/>
  <c r="AM45" i="39" s="1"/>
  <c r="R45" i="39"/>
  <c r="S45" i="39" s="1"/>
  <c r="AI44" i="39"/>
  <c r="AJ44" i="39" s="1"/>
  <c r="R44" i="39"/>
  <c r="U44" i="39" s="1"/>
  <c r="AI43" i="39"/>
  <c r="AL43" i="39" s="1"/>
  <c r="AM43" i="39" s="1"/>
  <c r="R43" i="39"/>
  <c r="S43" i="39" s="1"/>
  <c r="AI42" i="39"/>
  <c r="AJ42" i="39" s="1"/>
  <c r="R42" i="39"/>
  <c r="U42" i="39" s="1"/>
  <c r="V42" i="39" s="1"/>
  <c r="AI40" i="39"/>
  <c r="AJ40" i="39" s="1"/>
  <c r="R40" i="39"/>
  <c r="U40" i="39" s="1"/>
  <c r="V40" i="39" s="1"/>
  <c r="AI38" i="39"/>
  <c r="AJ38" i="39" s="1"/>
  <c r="R38" i="39"/>
  <c r="U38" i="39" s="1"/>
  <c r="AI37" i="39"/>
  <c r="AJ37" i="39" s="1"/>
  <c r="R37" i="39"/>
  <c r="U37" i="39" s="1"/>
  <c r="V37" i="39" s="1"/>
  <c r="AI36" i="39"/>
  <c r="AL36" i="39" s="1"/>
  <c r="AM36" i="39" s="1"/>
  <c r="R36" i="39"/>
  <c r="S36" i="39" s="1"/>
  <c r="AI35" i="39"/>
  <c r="AL35" i="39" s="1"/>
  <c r="AM35" i="39" s="1"/>
  <c r="R35" i="39"/>
  <c r="S35" i="39" s="1"/>
  <c r="AI34" i="39"/>
  <c r="AL34" i="39" s="1"/>
  <c r="AM34" i="39" s="1"/>
  <c r="R34" i="39"/>
  <c r="U34" i="39" s="1"/>
  <c r="V34" i="39" s="1"/>
  <c r="AI33" i="39"/>
  <c r="AL33" i="39" s="1"/>
  <c r="AM33" i="39" s="1"/>
  <c r="R33" i="39"/>
  <c r="U33" i="39" s="1"/>
  <c r="AI32" i="39"/>
  <c r="AJ32" i="39" s="1"/>
  <c r="R32" i="39"/>
  <c r="U32" i="39" s="1"/>
  <c r="V32" i="39" s="1"/>
  <c r="AI31" i="39"/>
  <c r="AL31" i="39" s="1"/>
  <c r="AM31" i="39" s="1"/>
  <c r="R31" i="39"/>
  <c r="S31" i="39" s="1"/>
  <c r="AI30" i="39"/>
  <c r="AL30" i="39" s="1"/>
  <c r="AM30" i="39" s="1"/>
  <c r="R30" i="39"/>
  <c r="S30" i="39" s="1"/>
  <c r="AI29" i="39"/>
  <c r="AJ29" i="39" s="1"/>
  <c r="R29" i="39"/>
  <c r="U29" i="39" s="1"/>
  <c r="V29" i="39" s="1"/>
  <c r="AI28" i="39"/>
  <c r="AL28" i="39" s="1"/>
  <c r="AM28" i="39" s="1"/>
  <c r="R28" i="39"/>
  <c r="U28" i="39" s="1"/>
  <c r="V28" i="39" s="1"/>
  <c r="AI27" i="39"/>
  <c r="AL27" i="39" s="1"/>
  <c r="AM27" i="39" s="1"/>
  <c r="R27" i="39"/>
  <c r="U27" i="39" s="1"/>
  <c r="V27" i="39" s="1"/>
  <c r="AI26" i="39"/>
  <c r="AJ26" i="39" s="1"/>
  <c r="R26" i="39"/>
  <c r="S26" i="39" s="1"/>
  <c r="AI25" i="39"/>
  <c r="AL25" i="39" s="1"/>
  <c r="AM25" i="39" s="1"/>
  <c r="R25" i="39"/>
  <c r="U25" i="39" s="1"/>
  <c r="AI24" i="39"/>
  <c r="AJ24" i="39" s="1"/>
  <c r="R24" i="39"/>
  <c r="U24" i="39" s="1"/>
  <c r="V24" i="39" s="1"/>
  <c r="AI23" i="39"/>
  <c r="AJ23" i="39" s="1"/>
  <c r="R23" i="39"/>
  <c r="U23" i="39" s="1"/>
  <c r="AI22" i="39"/>
  <c r="AJ22" i="39" s="1"/>
  <c r="R22" i="39"/>
  <c r="U22" i="39" s="1"/>
  <c r="AI21" i="39"/>
  <c r="AL21" i="39" s="1"/>
  <c r="AM21" i="39" s="1"/>
  <c r="R21" i="39"/>
  <c r="S21" i="39" s="1"/>
  <c r="AI20" i="39"/>
  <c r="AJ20" i="39" s="1"/>
  <c r="R20" i="39"/>
  <c r="S20" i="39" s="1"/>
  <c r="V44" i="39" l="1"/>
  <c r="W44" i="39" s="1"/>
  <c r="U338" i="39"/>
  <c r="V338" i="39" s="1"/>
  <c r="V319" i="39"/>
  <c r="W319" i="39" s="1"/>
  <c r="V303" i="39"/>
  <c r="W303" i="39" s="1"/>
  <c r="V287" i="39"/>
  <c r="W287" i="39" s="1"/>
  <c r="V263" i="39"/>
  <c r="W263" i="39" s="1"/>
  <c r="V219" i="39"/>
  <c r="W219" i="39" s="1"/>
  <c r="V203" i="39"/>
  <c r="W203" i="39" s="1"/>
  <c r="V195" i="39"/>
  <c r="W195" i="39" s="1"/>
  <c r="V155" i="39"/>
  <c r="W155" i="39" s="1"/>
  <c r="V147" i="39"/>
  <c r="W147" i="39" s="1"/>
  <c r="V131" i="39"/>
  <c r="W131" i="39" s="1"/>
  <c r="V123" i="39"/>
  <c r="W123" i="39" s="1"/>
  <c r="V99" i="39"/>
  <c r="W99" i="39" s="1"/>
  <c r="V83" i="39"/>
  <c r="W83" i="39" s="1"/>
  <c r="W51" i="39"/>
  <c r="W59" i="39"/>
  <c r="W67" i="39"/>
  <c r="W75" i="39"/>
  <c r="V341" i="39"/>
  <c r="W341" i="39" s="1"/>
  <c r="W76" i="39"/>
  <c r="W108" i="39"/>
  <c r="W304" i="39"/>
  <c r="W327" i="39"/>
  <c r="W335" i="39"/>
  <c r="V340" i="39"/>
  <c r="W340" i="39" s="1"/>
  <c r="V332" i="39"/>
  <c r="W332" i="39" s="1"/>
  <c r="V324" i="39"/>
  <c r="W324" i="39" s="1"/>
  <c r="V33" i="39"/>
  <c r="W33" i="39" s="1"/>
  <c r="V25" i="39"/>
  <c r="W25" i="39" s="1"/>
  <c r="W100" i="39"/>
  <c r="W140" i="39"/>
  <c r="W156" i="39"/>
  <c r="W172" i="39"/>
  <c r="W204" i="39"/>
  <c r="W236" i="39"/>
  <c r="W343" i="39"/>
  <c r="V339" i="39"/>
  <c r="W339" i="39" s="1"/>
  <c r="V300" i="39"/>
  <c r="W300" i="39" s="1"/>
  <c r="V292" i="39"/>
  <c r="W292" i="39" s="1"/>
  <c r="V276" i="39"/>
  <c r="W276" i="39" s="1"/>
  <c r="V252" i="39"/>
  <c r="W252" i="39" s="1"/>
  <c r="V120" i="39"/>
  <c r="W120" i="39" s="1"/>
  <c r="V48" i="39"/>
  <c r="W48" i="39" s="1"/>
  <c r="W68" i="39"/>
  <c r="W92" i="39"/>
  <c r="W49" i="39"/>
  <c r="W97" i="39"/>
  <c r="W105" i="39"/>
  <c r="W113" i="39"/>
  <c r="W129" i="39"/>
  <c r="W137" i="39"/>
  <c r="W145" i="39"/>
  <c r="W169" i="39"/>
  <c r="W201" i="39"/>
  <c r="W209" i="39"/>
  <c r="W217" i="39"/>
  <c r="W233" i="39"/>
  <c r="W241" i="39"/>
  <c r="W253" i="39"/>
  <c r="W261" i="39"/>
  <c r="W285" i="39"/>
  <c r="W293" i="39"/>
  <c r="W301" i="39"/>
  <c r="W309" i="39"/>
  <c r="W317" i="39"/>
  <c r="W326" i="39"/>
  <c r="W334" i="39"/>
  <c r="AJ339" i="39"/>
  <c r="V323" i="39"/>
  <c r="W323" i="39" s="1"/>
  <c r="V315" i="39"/>
  <c r="W315" i="39" s="1"/>
  <c r="V307" i="39"/>
  <c r="W307" i="39" s="1"/>
  <c r="V267" i="39"/>
  <c r="W267" i="39" s="1"/>
  <c r="V259" i="39"/>
  <c r="W259" i="39" s="1"/>
  <c r="V239" i="39"/>
  <c r="W239" i="39" s="1"/>
  <c r="V215" i="39"/>
  <c r="W215" i="39" s="1"/>
  <c r="V167" i="39"/>
  <c r="W167" i="39" s="1"/>
  <c r="V151" i="39"/>
  <c r="W151" i="39" s="1"/>
  <c r="V135" i="39"/>
  <c r="W135" i="39" s="1"/>
  <c r="V127" i="39"/>
  <c r="W127" i="39" s="1"/>
  <c r="V111" i="39"/>
  <c r="W111" i="39" s="1"/>
  <c r="V103" i="39"/>
  <c r="W103" i="39" s="1"/>
  <c r="V87" i="39"/>
  <c r="W87" i="39" s="1"/>
  <c r="V79" i="39"/>
  <c r="W79" i="39" s="1"/>
  <c r="V63" i="39"/>
  <c r="W63" i="39" s="1"/>
  <c r="V55" i="39"/>
  <c r="W55" i="39" s="1"/>
  <c r="V47" i="39"/>
  <c r="W47" i="39" s="1"/>
  <c r="V23" i="39"/>
  <c r="W23" i="39" s="1"/>
  <c r="W84" i="39"/>
  <c r="W96" i="39"/>
  <c r="W124" i="39"/>
  <c r="W136" i="39"/>
  <c r="W144" i="39"/>
  <c r="W152" i="39"/>
  <c r="W168" i="39"/>
  <c r="W196" i="39"/>
  <c r="W216" i="39"/>
  <c r="W224" i="39"/>
  <c r="W240" i="39"/>
  <c r="W264" i="39"/>
  <c r="V337" i="39"/>
  <c r="W337" i="39" s="1"/>
  <c r="V322" i="39"/>
  <c r="W322" i="39" s="1"/>
  <c r="V38" i="39"/>
  <c r="W38" i="39" s="1"/>
  <c r="V22" i="39"/>
  <c r="W22" i="39" s="1"/>
  <c r="W52" i="39"/>
  <c r="W88" i="39"/>
  <c r="W112" i="39"/>
  <c r="W132" i="39"/>
  <c r="W148" i="39"/>
  <c r="W260" i="39"/>
  <c r="W318" i="39"/>
  <c r="W28" i="39"/>
  <c r="W46" i="39"/>
  <c r="W54" i="39"/>
  <c r="W58" i="39"/>
  <c r="W62" i="39"/>
  <c r="W70" i="39"/>
  <c r="W90" i="39"/>
  <c r="W94" i="39"/>
  <c r="W102" i="39"/>
  <c r="W122" i="39"/>
  <c r="W126" i="39"/>
  <c r="W134" i="39"/>
  <c r="W138" i="39"/>
  <c r="W142" i="39"/>
  <c r="W146" i="39"/>
  <c r="W154" i="39"/>
  <c r="W158" i="39"/>
  <c r="W170" i="39"/>
  <c r="W174" i="39"/>
  <c r="W190" i="39"/>
  <c r="W194" i="39"/>
  <c r="W206" i="39"/>
  <c r="W210" i="39"/>
  <c r="W218" i="39"/>
  <c r="W230" i="39"/>
  <c r="W234" i="39"/>
  <c r="W238" i="39"/>
  <c r="W242" i="39"/>
  <c r="W246" i="39"/>
  <c r="W258" i="39"/>
  <c r="W274" i="39"/>
  <c r="W282" i="39"/>
  <c r="W290" i="39"/>
  <c r="W306" i="39"/>
  <c r="W316" i="39"/>
  <c r="W329" i="39"/>
  <c r="W342" i="39"/>
  <c r="W29" i="39"/>
  <c r="W313" i="39"/>
  <c r="W328" i="39"/>
  <c r="W338" i="39"/>
  <c r="W37" i="39"/>
  <c r="W53" i="39"/>
  <c r="W69" i="39"/>
  <c r="W77" i="39"/>
  <c r="W165" i="39"/>
  <c r="W213" i="39"/>
  <c r="W221" i="39"/>
  <c r="W237" i="39"/>
  <c r="W245" i="39"/>
  <c r="W265" i="39"/>
  <c r="W273" i="39"/>
  <c r="W281" i="39"/>
  <c r="W289" i="39"/>
  <c r="W305" i="39"/>
  <c r="W321" i="39"/>
  <c r="W336" i="39"/>
  <c r="W101" i="39"/>
  <c r="W109" i="39"/>
  <c r="W133" i="39"/>
  <c r="W254" i="39"/>
  <c r="W262" i="39"/>
  <c r="W270" i="39"/>
  <c r="W320" i="39"/>
  <c r="W325" i="39"/>
  <c r="W333" i="39"/>
  <c r="W40" i="39"/>
  <c r="W32" i="39"/>
  <c r="W34" i="39"/>
  <c r="W24" i="39"/>
  <c r="W27" i="39"/>
  <c r="W42" i="39"/>
  <c r="S339" i="39"/>
  <c r="AJ338" i="39"/>
  <c r="S337" i="39"/>
  <c r="AJ337" i="39"/>
  <c r="AL336" i="39"/>
  <c r="AM336" i="39" s="1"/>
  <c r="S336" i="39"/>
  <c r="AL41" i="39"/>
  <c r="AM41" i="39" s="1"/>
  <c r="S48" i="40"/>
  <c r="AJ51" i="40"/>
  <c r="AL24" i="40"/>
  <c r="AM24" i="40" s="1"/>
  <c r="U30" i="40"/>
  <c r="V30" i="40" s="1"/>
  <c r="W30" i="40" s="1"/>
  <c r="AL42" i="40"/>
  <c r="AM42" i="40" s="1"/>
  <c r="AJ23" i="40"/>
  <c r="S25" i="40"/>
  <c r="AL26" i="40"/>
  <c r="AM26" i="40" s="1"/>
  <c r="S38" i="40"/>
  <c r="U22" i="40"/>
  <c r="V22" i="40" s="1"/>
  <c r="W22" i="40" s="1"/>
  <c r="AL29" i="40"/>
  <c r="AM29" i="40" s="1"/>
  <c r="AL30" i="40"/>
  <c r="AM30" i="40" s="1"/>
  <c r="U46" i="40"/>
  <c r="V46" i="40" s="1"/>
  <c r="W46" i="40" s="1"/>
  <c r="AL47" i="40"/>
  <c r="AM47" i="40" s="1"/>
  <c r="AL49" i="40"/>
  <c r="AM49" i="40" s="1"/>
  <c r="U84" i="40"/>
  <c r="V84" i="40" s="1"/>
  <c r="W84" i="40" s="1"/>
  <c r="U97" i="40"/>
  <c r="V97" i="40" s="1"/>
  <c r="W97" i="40" s="1"/>
  <c r="U105" i="40"/>
  <c r="V105" i="40" s="1"/>
  <c r="W105" i="40" s="1"/>
  <c r="AL133" i="40"/>
  <c r="AM133" i="40" s="1"/>
  <c r="U154" i="40"/>
  <c r="V154" i="40" s="1"/>
  <c r="W154" i="40" s="1"/>
  <c r="U169" i="40"/>
  <c r="V169" i="40" s="1"/>
  <c r="W169" i="40" s="1"/>
  <c r="AL190" i="40"/>
  <c r="AM190" i="40" s="1"/>
  <c r="AL201" i="40"/>
  <c r="AM201" i="40" s="1"/>
  <c r="U205" i="40"/>
  <c r="V205" i="40" s="1"/>
  <c r="W205" i="40" s="1"/>
  <c r="U206" i="40"/>
  <c r="V206" i="40" s="1"/>
  <c r="W206" i="40" s="1"/>
  <c r="U214" i="40"/>
  <c r="V214" i="40" s="1"/>
  <c r="W214" i="40" s="1"/>
  <c r="U219" i="40"/>
  <c r="V219" i="40" s="1"/>
  <c r="W219" i="40" s="1"/>
  <c r="U221" i="40"/>
  <c r="V221" i="40" s="1"/>
  <c r="W221" i="40" s="1"/>
  <c r="U229" i="40"/>
  <c r="V229" i="40" s="1"/>
  <c r="W229" i="40" s="1"/>
  <c r="U235" i="40"/>
  <c r="V235" i="40" s="1"/>
  <c r="W235" i="40" s="1"/>
  <c r="U241" i="40"/>
  <c r="V241" i="40" s="1"/>
  <c r="W241" i="40" s="1"/>
  <c r="U246" i="40"/>
  <c r="V246" i="40" s="1"/>
  <c r="W246" i="40" s="1"/>
  <c r="U253" i="40"/>
  <c r="V253" i="40" s="1"/>
  <c r="W253" i="40" s="1"/>
  <c r="AL265" i="40"/>
  <c r="AM265" i="40" s="1"/>
  <c r="AL277" i="40"/>
  <c r="AM277" i="40" s="1"/>
  <c r="AL285" i="40"/>
  <c r="AM285" i="40" s="1"/>
  <c r="U311" i="40"/>
  <c r="V311" i="40" s="1"/>
  <c r="W311" i="40" s="1"/>
  <c r="AL318" i="40"/>
  <c r="AM318" i="40" s="1"/>
  <c r="U333" i="40"/>
  <c r="V333" i="40" s="1"/>
  <c r="W333" i="40" s="1"/>
  <c r="S349" i="40"/>
  <c r="U114" i="40"/>
  <c r="V114" i="40" s="1"/>
  <c r="W114" i="40" s="1"/>
  <c r="U130" i="40"/>
  <c r="V130" i="40" s="1"/>
  <c r="W130" i="40" s="1"/>
  <c r="S136" i="40"/>
  <c r="AJ164" i="40"/>
  <c r="AJ176" i="40"/>
  <c r="S189" i="40"/>
  <c r="AL192" i="40"/>
  <c r="AM192" i="40" s="1"/>
  <c r="AL230" i="40"/>
  <c r="AM230" i="40" s="1"/>
  <c r="U258" i="40"/>
  <c r="V258" i="40" s="1"/>
  <c r="W258" i="40" s="1"/>
  <c r="S271" i="40"/>
  <c r="S280" i="40"/>
  <c r="S287" i="40"/>
  <c r="U290" i="40"/>
  <c r="V290" i="40" s="1"/>
  <c r="W290" i="40" s="1"/>
  <c r="AL315" i="40"/>
  <c r="AM315" i="40" s="1"/>
  <c r="U326" i="40"/>
  <c r="V326" i="40" s="1"/>
  <c r="W326" i="40" s="1"/>
  <c r="S331" i="40"/>
  <c r="U338" i="40"/>
  <c r="V338" i="40" s="1"/>
  <c r="W338" i="40" s="1"/>
  <c r="S343" i="40"/>
  <c r="AL346" i="40"/>
  <c r="AM346" i="40" s="1"/>
  <c r="U21" i="40"/>
  <c r="V21" i="40" s="1"/>
  <c r="W21" i="40" s="1"/>
  <c r="AJ37" i="40"/>
  <c r="AJ39" i="40"/>
  <c r="AJ41" i="40"/>
  <c r="AJ45" i="40"/>
  <c r="AJ46" i="40"/>
  <c r="U50" i="40"/>
  <c r="V50" i="40" s="1"/>
  <c r="W50" i="40" s="1"/>
  <c r="S54" i="40"/>
  <c r="U60" i="40"/>
  <c r="V60" i="40" s="1"/>
  <c r="W60" i="40" s="1"/>
  <c r="S80" i="40"/>
  <c r="AJ84" i="40"/>
  <c r="U90" i="40"/>
  <c r="V90" i="40" s="1"/>
  <c r="W90" i="40" s="1"/>
  <c r="AJ92" i="40"/>
  <c r="U94" i="40"/>
  <c r="V94" i="40" s="1"/>
  <c r="W94" i="40" s="1"/>
  <c r="U98" i="40"/>
  <c r="V98" i="40" s="1"/>
  <c r="W98" i="40" s="1"/>
  <c r="AJ109" i="40"/>
  <c r="AJ114" i="40"/>
  <c r="AJ116" i="40"/>
  <c r="S120" i="40"/>
  <c r="AJ124" i="40"/>
  <c r="AJ130" i="40"/>
  <c r="AJ141" i="40"/>
  <c r="S143" i="40"/>
  <c r="S147" i="40"/>
  <c r="U149" i="40"/>
  <c r="V149" i="40" s="1"/>
  <c r="W149" i="40" s="1"/>
  <c r="AJ153" i="40"/>
  <c r="U165" i="40"/>
  <c r="V165" i="40" s="1"/>
  <c r="W165" i="40" s="1"/>
  <c r="AJ168" i="40"/>
  <c r="S177" i="40"/>
  <c r="AL187" i="40"/>
  <c r="AM187" i="40" s="1"/>
  <c r="AL191" i="40"/>
  <c r="AM191" i="40" s="1"/>
  <c r="S193" i="40"/>
  <c r="AJ198" i="40"/>
  <c r="S201" i="40"/>
  <c r="S202" i="40"/>
  <c r="S204" i="40"/>
  <c r="AJ206" i="40"/>
  <c r="S218" i="40"/>
  <c r="AL224" i="40"/>
  <c r="AM224" i="40" s="1"/>
  <c r="S231" i="40"/>
  <c r="S236" i="40"/>
  <c r="AJ237" i="40"/>
  <c r="AJ246" i="40"/>
  <c r="AL251" i="40"/>
  <c r="AM251" i="40" s="1"/>
  <c r="AJ253" i="40"/>
  <c r="S261" i="40"/>
  <c r="S277" i="40"/>
  <c r="U278" i="40"/>
  <c r="V278" i="40" s="1"/>
  <c r="W278" i="40" s="1"/>
  <c r="U282" i="40"/>
  <c r="V282" i="40" s="1"/>
  <c r="W282" i="40" s="1"/>
  <c r="U286" i="40"/>
  <c r="V286" i="40" s="1"/>
  <c r="W286" i="40" s="1"/>
  <c r="S303" i="40"/>
  <c r="U310" i="40"/>
  <c r="V310" i="40" s="1"/>
  <c r="W310" i="40" s="1"/>
  <c r="U314" i="40"/>
  <c r="V314" i="40" s="1"/>
  <c r="W314" i="40" s="1"/>
  <c r="U323" i="40"/>
  <c r="V323" i="40" s="1"/>
  <c r="W323" i="40" s="1"/>
  <c r="AL326" i="40"/>
  <c r="AM326" i="40" s="1"/>
  <c r="S328" i="40"/>
  <c r="AL331" i="40"/>
  <c r="AM331" i="40" s="1"/>
  <c r="S340" i="40"/>
  <c r="AJ341" i="40"/>
  <c r="AJ76" i="40"/>
  <c r="AL81" i="40"/>
  <c r="AM81" i="40" s="1"/>
  <c r="AJ96" i="40"/>
  <c r="AJ104" i="40"/>
  <c r="S113" i="40"/>
  <c r="AL118" i="40"/>
  <c r="AM118" i="40" s="1"/>
  <c r="AJ126" i="40"/>
  <c r="AJ134" i="40"/>
  <c r="AJ154" i="40"/>
  <c r="AL181" i="40"/>
  <c r="AM181" i="40" s="1"/>
  <c r="S185" i="40"/>
  <c r="S190" i="40"/>
  <c r="S194" i="40"/>
  <c r="AJ205" i="40"/>
  <c r="S208" i="40"/>
  <c r="S212" i="40"/>
  <c r="AJ213" i="40"/>
  <c r="S215" i="40"/>
  <c r="S217" i="40"/>
  <c r="AL223" i="40"/>
  <c r="AM223" i="40" s="1"/>
  <c r="AJ245" i="40"/>
  <c r="S249" i="40"/>
  <c r="S265" i="40"/>
  <c r="S269" i="40"/>
  <c r="U270" i="40"/>
  <c r="V270" i="40" s="1"/>
  <c r="W270" i="40" s="1"/>
  <c r="S272" i="40"/>
  <c r="AJ273" i="40"/>
  <c r="S285" i="40"/>
  <c r="S288" i="40"/>
  <c r="AJ290" i="40"/>
  <c r="S293" i="40"/>
  <c r="U294" i="40"/>
  <c r="V294" i="40" s="1"/>
  <c r="W294" i="40" s="1"/>
  <c r="U318" i="40"/>
  <c r="V318" i="40" s="1"/>
  <c r="W318" i="40" s="1"/>
  <c r="AJ321" i="40"/>
  <c r="U330" i="40"/>
  <c r="V330" i="40" s="1"/>
  <c r="W330" i="40" s="1"/>
  <c r="AJ338" i="40"/>
  <c r="AJ102" i="40"/>
  <c r="AL106" i="40"/>
  <c r="AM106" i="40" s="1"/>
  <c r="AJ108" i="40"/>
  <c r="AL195" i="40"/>
  <c r="AM195" i="40" s="1"/>
  <c r="AL210" i="40"/>
  <c r="AM210" i="40" s="1"/>
  <c r="AL220" i="40"/>
  <c r="AM220" i="40" s="1"/>
  <c r="AL228" i="40"/>
  <c r="AM228" i="40" s="1"/>
  <c r="AJ234" i="40"/>
  <c r="AL243" i="40"/>
  <c r="AM243" i="40" s="1"/>
  <c r="S256" i="40"/>
  <c r="S263" i="40"/>
  <c r="AL266" i="40"/>
  <c r="AM266" i="40" s="1"/>
  <c r="AL278" i="40"/>
  <c r="AM278" i="40" s="1"/>
  <c r="U298" i="40"/>
  <c r="V298" i="40" s="1"/>
  <c r="W298" i="40" s="1"/>
  <c r="U302" i="40"/>
  <c r="V302" i="40" s="1"/>
  <c r="W302" i="40" s="1"/>
  <c r="AL310" i="40"/>
  <c r="AM310" i="40" s="1"/>
  <c r="AL323" i="40"/>
  <c r="AM323" i="40" s="1"/>
  <c r="S42" i="40"/>
  <c r="AJ59" i="40"/>
  <c r="AJ73" i="40"/>
  <c r="U75" i="40"/>
  <c r="V75" i="40" s="1"/>
  <c r="S77" i="40"/>
  <c r="U82" i="40"/>
  <c r="V82" i="40" s="1"/>
  <c r="W82" i="40" s="1"/>
  <c r="U346" i="40"/>
  <c r="V346" i="40" s="1"/>
  <c r="W346" i="40" s="1"/>
  <c r="S51" i="40"/>
  <c r="S57" i="40"/>
  <c r="AJ69" i="40"/>
  <c r="AJ80" i="40"/>
  <c r="S95" i="40"/>
  <c r="S103" i="40"/>
  <c r="S123" i="40"/>
  <c r="U142" i="40"/>
  <c r="V142" i="40" s="1"/>
  <c r="W142" i="40" s="1"/>
  <c r="AL199" i="40"/>
  <c r="AM199" i="40" s="1"/>
  <c r="S211" i="40"/>
  <c r="AL215" i="40"/>
  <c r="AM215" i="40" s="1"/>
  <c r="S224" i="40"/>
  <c r="U254" i="40"/>
  <c r="V254" i="40" s="1"/>
  <c r="W254" i="40" s="1"/>
  <c r="S260" i="40"/>
  <c r="S295" i="40"/>
  <c r="AL330" i="40"/>
  <c r="AM330" i="40" s="1"/>
  <c r="AJ350" i="40"/>
  <c r="U41" i="39"/>
  <c r="AJ82" i="40"/>
  <c r="AJ90" i="40"/>
  <c r="S162" i="40"/>
  <c r="AL252" i="40"/>
  <c r="AM252" i="40" s="1"/>
  <c r="AJ252" i="40"/>
  <c r="S23" i="40"/>
  <c r="S59" i="40"/>
  <c r="S107" i="40"/>
  <c r="S40" i="40"/>
  <c r="S128" i="40"/>
  <c r="U216" i="40"/>
  <c r="V216" i="40" s="1"/>
  <c r="W216" i="40" s="1"/>
  <c r="S216" i="40"/>
  <c r="U267" i="40"/>
  <c r="V267" i="40" s="1"/>
  <c r="W267" i="40" s="1"/>
  <c r="AJ291" i="40"/>
  <c r="AL291" i="40"/>
  <c r="AM291" i="40" s="1"/>
  <c r="AL32" i="40"/>
  <c r="AM32" i="40" s="1"/>
  <c r="S45" i="40"/>
  <c r="U45" i="40"/>
  <c r="V45" i="40" s="1"/>
  <c r="W45" i="40" s="1"/>
  <c r="AL103" i="40"/>
  <c r="AM103" i="40" s="1"/>
  <c r="AL115" i="40"/>
  <c r="AM115" i="40" s="1"/>
  <c r="AJ121" i="40"/>
  <c r="S135" i="40"/>
  <c r="S146" i="40"/>
  <c r="AJ298" i="40"/>
  <c r="S20" i="40"/>
  <c r="S27" i="40"/>
  <c r="S31" i="40"/>
  <c r="S47" i="40"/>
  <c r="S63" i="40"/>
  <c r="U91" i="40"/>
  <c r="V91" i="40" s="1"/>
  <c r="W91" i="40" s="1"/>
  <c r="S91" i="40"/>
  <c r="AL107" i="40"/>
  <c r="AM107" i="40" s="1"/>
  <c r="S112" i="40"/>
  <c r="AJ113" i="40"/>
  <c r="S126" i="40"/>
  <c r="U126" i="40"/>
  <c r="V126" i="40" s="1"/>
  <c r="W126" i="40" s="1"/>
  <c r="AJ167" i="40"/>
  <c r="S178" i="40"/>
  <c r="U178" i="40"/>
  <c r="V178" i="40" s="1"/>
  <c r="S186" i="40"/>
  <c r="U248" i="40"/>
  <c r="V248" i="40" s="1"/>
  <c r="W248" i="40" s="1"/>
  <c r="S248" i="40"/>
  <c r="S33" i="40"/>
  <c r="AJ34" i="40"/>
  <c r="S37" i="40"/>
  <c r="AJ38" i="40"/>
  <c r="S49" i="40"/>
  <c r="AJ50" i="40"/>
  <c r="S53" i="40"/>
  <c r="AJ54" i="40"/>
  <c r="S65" i="40"/>
  <c r="AJ66" i="40"/>
  <c r="S69" i="40"/>
  <c r="AJ70" i="40"/>
  <c r="S87" i="40"/>
  <c r="AL95" i="40"/>
  <c r="AM95" i="40" s="1"/>
  <c r="AJ97" i="40"/>
  <c r="AL97" i="40"/>
  <c r="AM97" i="40" s="1"/>
  <c r="U116" i="40"/>
  <c r="V116" i="40" s="1"/>
  <c r="W116" i="40" s="1"/>
  <c r="S116" i="40"/>
  <c r="S156" i="40"/>
  <c r="AL200" i="40"/>
  <c r="AM200" i="40" s="1"/>
  <c r="S223" i="40"/>
  <c r="U243" i="40"/>
  <c r="V243" i="40" s="1"/>
  <c r="W243" i="40" s="1"/>
  <c r="AL248" i="40"/>
  <c r="AM248" i="40" s="1"/>
  <c r="AJ248" i="40"/>
  <c r="AL262" i="40"/>
  <c r="AM262" i="40" s="1"/>
  <c r="AJ282" i="40"/>
  <c r="U344" i="40"/>
  <c r="V344" i="40" s="1"/>
  <c r="W344" i="40" s="1"/>
  <c r="S344" i="40"/>
  <c r="AL72" i="40"/>
  <c r="AM72" i="40" s="1"/>
  <c r="S79" i="40"/>
  <c r="U110" i="40"/>
  <c r="V110" i="40" s="1"/>
  <c r="W110" i="40" s="1"/>
  <c r="U122" i="40"/>
  <c r="V122" i="40" s="1"/>
  <c r="W122" i="40" s="1"/>
  <c r="AL163" i="40"/>
  <c r="AM163" i="40" s="1"/>
  <c r="U168" i="40"/>
  <c r="V168" i="40" s="1"/>
  <c r="W168" i="40" s="1"/>
  <c r="S168" i="40"/>
  <c r="AL172" i="40"/>
  <c r="AM172" i="40" s="1"/>
  <c r="AJ172" i="40"/>
  <c r="S176" i="40"/>
  <c r="AL226" i="40"/>
  <c r="AM226" i="40" s="1"/>
  <c r="AL238" i="40"/>
  <c r="AM238" i="40" s="1"/>
  <c r="AJ238" i="40"/>
  <c r="AL260" i="40"/>
  <c r="AM260" i="40" s="1"/>
  <c r="AJ260" i="40"/>
  <c r="AL304" i="40"/>
  <c r="AM304" i="40" s="1"/>
  <c r="AJ304" i="40"/>
  <c r="AL311" i="40"/>
  <c r="AM311" i="40" s="1"/>
  <c r="U312" i="40"/>
  <c r="V312" i="40" s="1"/>
  <c r="W312" i="40" s="1"/>
  <c r="S312" i="40"/>
  <c r="AJ31" i="40"/>
  <c r="AJ79" i="40"/>
  <c r="AL79" i="40"/>
  <c r="AM79" i="40" s="1"/>
  <c r="AJ22" i="40"/>
  <c r="U71" i="40"/>
  <c r="V71" i="40" s="1"/>
  <c r="W71" i="40" s="1"/>
  <c r="AJ77" i="40"/>
  <c r="U92" i="40"/>
  <c r="V92" i="40" s="1"/>
  <c r="W92" i="40" s="1"/>
  <c r="AJ98" i="40"/>
  <c r="AJ110" i="40"/>
  <c r="S127" i="40"/>
  <c r="AL131" i="40"/>
  <c r="AM131" i="40" s="1"/>
  <c r="AJ131" i="40"/>
  <c r="AL142" i="40"/>
  <c r="AM142" i="40" s="1"/>
  <c r="U145" i="40"/>
  <c r="V145" i="40" s="1"/>
  <c r="W145" i="40" s="1"/>
  <c r="S145" i="40"/>
  <c r="AL150" i="40"/>
  <c r="AM150" i="40" s="1"/>
  <c r="AL170" i="40"/>
  <c r="AM170" i="40" s="1"/>
  <c r="S173" i="40"/>
  <c r="AJ179" i="40"/>
  <c r="U239" i="40"/>
  <c r="V239" i="40" s="1"/>
  <c r="W239" i="40" s="1"/>
  <c r="AL300" i="40"/>
  <c r="AM300" i="40" s="1"/>
  <c r="AJ300" i="40"/>
  <c r="AL28" i="40"/>
  <c r="AM28" i="40" s="1"/>
  <c r="S291" i="40"/>
  <c r="U291" i="40"/>
  <c r="V291" i="40" s="1"/>
  <c r="W291" i="40" s="1"/>
  <c r="S36" i="40"/>
  <c r="U43" i="40"/>
  <c r="V43" i="40" s="1"/>
  <c r="W43" i="40" s="1"/>
  <c r="S52" i="40"/>
  <c r="AJ125" i="40"/>
  <c r="AL132" i="40"/>
  <c r="AM132" i="40" s="1"/>
  <c r="U191" i="40"/>
  <c r="V191" i="40" s="1"/>
  <c r="W191" i="40" s="1"/>
  <c r="U29" i="40"/>
  <c r="V29" i="40" s="1"/>
  <c r="W29" i="40" s="1"/>
  <c r="S29" i="40"/>
  <c r="U56" i="40"/>
  <c r="V56" i="40" s="1"/>
  <c r="W56" i="40" s="1"/>
  <c r="S61" i="40"/>
  <c r="U61" i="40"/>
  <c r="V61" i="40" s="1"/>
  <c r="W61" i="40" s="1"/>
  <c r="AL64" i="40"/>
  <c r="AM64" i="40" s="1"/>
  <c r="AL27" i="40"/>
  <c r="AM27" i="40" s="1"/>
  <c r="AJ27" i="40"/>
  <c r="U196" i="40"/>
  <c r="V196" i="40" s="1"/>
  <c r="W196" i="40" s="1"/>
  <c r="S196" i="40"/>
  <c r="U347" i="40"/>
  <c r="V347" i="40" s="1"/>
  <c r="W347" i="40" s="1"/>
  <c r="S347" i="40"/>
  <c r="AL75" i="40"/>
  <c r="AM75" i="40" s="1"/>
  <c r="U227" i="40"/>
  <c r="V227" i="40" s="1"/>
  <c r="W227" i="40" s="1"/>
  <c r="AJ263" i="40"/>
  <c r="AL263" i="40"/>
  <c r="AM263" i="40" s="1"/>
  <c r="U283" i="40"/>
  <c r="V283" i="40" s="1"/>
  <c r="W283" i="40" s="1"/>
  <c r="AJ306" i="40"/>
  <c r="AL334" i="40"/>
  <c r="AM334" i="40" s="1"/>
  <c r="AL138" i="40"/>
  <c r="AM138" i="40" s="1"/>
  <c r="AJ138" i="40"/>
  <c r="AJ239" i="40"/>
  <c r="AL239" i="40"/>
  <c r="AM239" i="40" s="1"/>
  <c r="AL256" i="40"/>
  <c r="AM256" i="40" s="1"/>
  <c r="AJ256" i="40"/>
  <c r="AL322" i="40"/>
  <c r="AM322" i="40" s="1"/>
  <c r="AJ322" i="40"/>
  <c r="S86" i="40"/>
  <c r="U86" i="40"/>
  <c r="V86" i="40" s="1"/>
  <c r="W86" i="40" s="1"/>
  <c r="AJ21" i="40"/>
  <c r="S99" i="40"/>
  <c r="AL44" i="40"/>
  <c r="AM44" i="40" s="1"/>
  <c r="AL60" i="40"/>
  <c r="AM60" i="40" s="1"/>
  <c r="S68" i="40"/>
  <c r="S72" i="40"/>
  <c r="S124" i="40"/>
  <c r="AJ147" i="40"/>
  <c r="AJ177" i="40"/>
  <c r="AJ188" i="40"/>
  <c r="U200" i="40"/>
  <c r="V200" i="40" s="1"/>
  <c r="W200" i="40" s="1"/>
  <c r="S200" i="40"/>
  <c r="AJ254" i="40"/>
  <c r="AL254" i="40"/>
  <c r="AM254" i="40" s="1"/>
  <c r="AL48" i="40"/>
  <c r="AM48" i="40" s="1"/>
  <c r="U133" i="40"/>
  <c r="V133" i="40" s="1"/>
  <c r="W133" i="40" s="1"/>
  <c r="S133" i="40"/>
  <c r="U137" i="40"/>
  <c r="V137" i="40" s="1"/>
  <c r="W137" i="40" s="1"/>
  <c r="U144" i="40"/>
  <c r="V144" i="40" s="1"/>
  <c r="W144" i="40" s="1"/>
  <c r="S144" i="40"/>
  <c r="AJ204" i="40"/>
  <c r="AL204" i="40"/>
  <c r="AM204" i="40" s="1"/>
  <c r="S73" i="40"/>
  <c r="U73" i="40"/>
  <c r="V73" i="40" s="1"/>
  <c r="W73" i="40" s="1"/>
  <c r="U164" i="40"/>
  <c r="V164" i="40" s="1"/>
  <c r="W164" i="40" s="1"/>
  <c r="S164" i="40"/>
  <c r="AJ202" i="40"/>
  <c r="AL202" i="40"/>
  <c r="AM202" i="40" s="1"/>
  <c r="S39" i="40"/>
  <c r="U39" i="40"/>
  <c r="V39" i="40" s="1"/>
  <c r="W39" i="40" s="1"/>
  <c r="S55" i="40"/>
  <c r="U55" i="40"/>
  <c r="V55" i="40" s="1"/>
  <c r="W55" i="40" s="1"/>
  <c r="AL87" i="40"/>
  <c r="AM87" i="40" s="1"/>
  <c r="S96" i="40"/>
  <c r="U102" i="40"/>
  <c r="V102" i="40" s="1"/>
  <c r="W102" i="40" s="1"/>
  <c r="AJ122" i="40"/>
  <c r="AL152" i="40"/>
  <c r="AM152" i="40" s="1"/>
  <c r="AJ156" i="40"/>
  <c r="AL156" i="40"/>
  <c r="AM156" i="40" s="1"/>
  <c r="AJ174" i="40"/>
  <c r="AL123" i="40"/>
  <c r="AM123" i="40" s="1"/>
  <c r="AJ123" i="40"/>
  <c r="AL127" i="40"/>
  <c r="AM127" i="40" s="1"/>
  <c r="AJ127" i="40"/>
  <c r="AL129" i="40"/>
  <c r="AM129" i="40" s="1"/>
  <c r="AJ129" i="40"/>
  <c r="AL258" i="40"/>
  <c r="AM258" i="40" s="1"/>
  <c r="AJ258" i="40"/>
  <c r="AL276" i="40"/>
  <c r="AM276" i="40" s="1"/>
  <c r="AJ276" i="40"/>
  <c r="U148" i="40"/>
  <c r="V148" i="40" s="1"/>
  <c r="W148" i="40" s="1"/>
  <c r="S148" i="40"/>
  <c r="AL162" i="40"/>
  <c r="AM162" i="40" s="1"/>
  <c r="AJ162" i="40"/>
  <c r="AJ160" i="40"/>
  <c r="AL178" i="40"/>
  <c r="AM178" i="40" s="1"/>
  <c r="AJ178" i="40"/>
  <c r="AJ182" i="40"/>
  <c r="AJ186" i="40"/>
  <c r="S199" i="40"/>
  <c r="U203" i="40"/>
  <c r="V203" i="40" s="1"/>
  <c r="W203" i="40" s="1"/>
  <c r="U228" i="40"/>
  <c r="V228" i="40" s="1"/>
  <c r="W228" i="40" s="1"/>
  <c r="S228" i="40"/>
  <c r="AL235" i="40"/>
  <c r="AM235" i="40" s="1"/>
  <c r="U240" i="40"/>
  <c r="V240" i="40" s="1"/>
  <c r="W240" i="40" s="1"/>
  <c r="S240" i="40"/>
  <c r="S259" i="40"/>
  <c r="U259" i="40"/>
  <c r="V259" i="40" s="1"/>
  <c r="W259" i="40" s="1"/>
  <c r="AL268" i="40"/>
  <c r="AM268" i="40" s="1"/>
  <c r="AJ268" i="40"/>
  <c r="AL272" i="40"/>
  <c r="AM272" i="40" s="1"/>
  <c r="AJ272" i="40"/>
  <c r="S279" i="40"/>
  <c r="S315" i="40"/>
  <c r="S319" i="40"/>
  <c r="AJ347" i="40"/>
  <c r="AL347" i="40"/>
  <c r="AM347" i="40" s="1"/>
  <c r="AL40" i="40"/>
  <c r="AM40" i="40" s="1"/>
  <c r="AL56" i="40"/>
  <c r="AM56" i="40" s="1"/>
  <c r="AJ74" i="40"/>
  <c r="S88" i="40"/>
  <c r="AJ94" i="40"/>
  <c r="AL99" i="40"/>
  <c r="AM99" i="40" s="1"/>
  <c r="U106" i="40"/>
  <c r="V106" i="40" s="1"/>
  <c r="W106" i="40" s="1"/>
  <c r="S111" i="40"/>
  <c r="AJ117" i="40"/>
  <c r="AL135" i="40"/>
  <c r="AM135" i="40" s="1"/>
  <c r="AL139" i="40"/>
  <c r="AM139" i="40" s="1"/>
  <c r="AL146" i="40"/>
  <c r="AM146" i="40" s="1"/>
  <c r="AL148" i="40"/>
  <c r="AM148" i="40" s="1"/>
  <c r="AJ148" i="40"/>
  <c r="S163" i="40"/>
  <c r="AL166" i="40"/>
  <c r="AM166" i="40" s="1"/>
  <c r="S170" i="40"/>
  <c r="AJ171" i="40"/>
  <c r="AJ180" i="40"/>
  <c r="U187" i="40"/>
  <c r="V187" i="40" s="1"/>
  <c r="S187" i="40"/>
  <c r="AJ189" i="40"/>
  <c r="AL189" i="40"/>
  <c r="AM189" i="40" s="1"/>
  <c r="AL212" i="40"/>
  <c r="AM212" i="40" s="1"/>
  <c r="S232" i="40"/>
  <c r="AJ250" i="40"/>
  <c r="AJ259" i="40"/>
  <c r="AL259" i="40"/>
  <c r="AM259" i="40" s="1"/>
  <c r="AJ279" i="40"/>
  <c r="AL279" i="40"/>
  <c r="AM279" i="40" s="1"/>
  <c r="AL292" i="40"/>
  <c r="AM292" i="40" s="1"/>
  <c r="AJ292" i="40"/>
  <c r="AL294" i="40"/>
  <c r="AM294" i="40" s="1"/>
  <c r="U299" i="40"/>
  <c r="V299" i="40" s="1"/>
  <c r="W299" i="40" s="1"/>
  <c r="U308" i="40"/>
  <c r="V308" i="40" s="1"/>
  <c r="W308" i="40" s="1"/>
  <c r="S308" i="40"/>
  <c r="AJ319" i="40"/>
  <c r="AL319" i="40"/>
  <c r="AM319" i="40" s="1"/>
  <c r="S324" i="40"/>
  <c r="AL342" i="40"/>
  <c r="AM342" i="40" s="1"/>
  <c r="U157" i="40"/>
  <c r="V157" i="40" s="1"/>
  <c r="W157" i="40" s="1"/>
  <c r="S157" i="40"/>
  <c r="U140" i="40"/>
  <c r="V140" i="40" s="1"/>
  <c r="W140" i="40" s="1"/>
  <c r="S140" i="40"/>
  <c r="S275" i="40"/>
  <c r="U275" i="40"/>
  <c r="V275" i="40" s="1"/>
  <c r="W275" i="40" s="1"/>
  <c r="AL284" i="40"/>
  <c r="AM284" i="40" s="1"/>
  <c r="AJ284" i="40"/>
  <c r="AL288" i="40"/>
  <c r="AM288" i="40" s="1"/>
  <c r="AJ288" i="40"/>
  <c r="AL308" i="40"/>
  <c r="AM308" i="40" s="1"/>
  <c r="AJ308" i="40"/>
  <c r="AL336" i="40"/>
  <c r="AM336" i="40" s="1"/>
  <c r="AJ336" i="40"/>
  <c r="AL340" i="40"/>
  <c r="AM340" i="40" s="1"/>
  <c r="AJ340" i="40"/>
  <c r="AJ227" i="40"/>
  <c r="AL227" i="40"/>
  <c r="AM227" i="40" s="1"/>
  <c r="U244" i="40"/>
  <c r="V244" i="40" s="1"/>
  <c r="W244" i="40" s="1"/>
  <c r="S244" i="40"/>
  <c r="AL36" i="40"/>
  <c r="AM36" i="40" s="1"/>
  <c r="AL52" i="40"/>
  <c r="AM52" i="40" s="1"/>
  <c r="AL68" i="40"/>
  <c r="AM68" i="40" s="1"/>
  <c r="AL111" i="40"/>
  <c r="AM111" i="40" s="1"/>
  <c r="U118" i="40"/>
  <c r="V118" i="40" s="1"/>
  <c r="W118" i="40" s="1"/>
  <c r="S138" i="40"/>
  <c r="S152" i="40"/>
  <c r="AL155" i="40"/>
  <c r="AM155" i="40" s="1"/>
  <c r="AJ155" i="40"/>
  <c r="U172" i="40"/>
  <c r="V172" i="40" s="1"/>
  <c r="W172" i="40" s="1"/>
  <c r="S172" i="40"/>
  <c r="AJ218" i="40"/>
  <c r="AL218" i="40"/>
  <c r="AM218" i="40" s="1"/>
  <c r="AL236" i="40"/>
  <c r="AM236" i="40" s="1"/>
  <c r="AJ236" i="40"/>
  <c r="U251" i="40"/>
  <c r="V251" i="40" s="1"/>
  <c r="W251" i="40" s="1"/>
  <c r="AJ275" i="40"/>
  <c r="AL275" i="40"/>
  <c r="AM275" i="40" s="1"/>
  <c r="AJ295" i="40"/>
  <c r="AL295" i="40"/>
  <c r="AM295" i="40" s="1"/>
  <c r="U332" i="40"/>
  <c r="V332" i="40" s="1"/>
  <c r="W332" i="40" s="1"/>
  <c r="S332" i="40"/>
  <c r="U220" i="40"/>
  <c r="V220" i="40" s="1"/>
  <c r="W220" i="40" s="1"/>
  <c r="S220" i="40"/>
  <c r="AL232" i="40"/>
  <c r="AM232" i="40" s="1"/>
  <c r="AJ232" i="40"/>
  <c r="U316" i="40"/>
  <c r="V316" i="40" s="1"/>
  <c r="W316" i="40" s="1"/>
  <c r="S316" i="40"/>
  <c r="AL240" i="40"/>
  <c r="AM240" i="40" s="1"/>
  <c r="AJ240" i="40"/>
  <c r="AJ255" i="40"/>
  <c r="AL255" i="40"/>
  <c r="AM255" i="40" s="1"/>
  <c r="AJ271" i="40"/>
  <c r="AL271" i="40"/>
  <c r="AM271" i="40" s="1"/>
  <c r="AJ287" i="40"/>
  <c r="AL287" i="40"/>
  <c r="AM287" i="40" s="1"/>
  <c r="AJ303" i="40"/>
  <c r="AL303" i="40"/>
  <c r="AM303" i="40" s="1"/>
  <c r="AL320" i="40"/>
  <c r="AM320" i="40" s="1"/>
  <c r="AJ320" i="40"/>
  <c r="AL324" i="40"/>
  <c r="AM324" i="40" s="1"/>
  <c r="AJ324" i="40"/>
  <c r="U252" i="40"/>
  <c r="V252" i="40" s="1"/>
  <c r="W252" i="40" s="1"/>
  <c r="S252" i="40"/>
  <c r="U268" i="40"/>
  <c r="V268" i="40" s="1"/>
  <c r="W268" i="40" s="1"/>
  <c r="S268" i="40"/>
  <c r="U284" i="40"/>
  <c r="V284" i="40" s="1"/>
  <c r="W284" i="40" s="1"/>
  <c r="S284" i="40"/>
  <c r="U300" i="40"/>
  <c r="V300" i="40" s="1"/>
  <c r="W300" i="40" s="1"/>
  <c r="S300" i="40"/>
  <c r="AJ335" i="40"/>
  <c r="AL335" i="40"/>
  <c r="AM335" i="40" s="1"/>
  <c r="AL185" i="40"/>
  <c r="AM185" i="40" s="1"/>
  <c r="AJ185" i="40"/>
  <c r="AL244" i="40"/>
  <c r="AM244" i="40" s="1"/>
  <c r="AJ244" i="40"/>
  <c r="AL264" i="40"/>
  <c r="AM264" i="40" s="1"/>
  <c r="AJ264" i="40"/>
  <c r="AL280" i="40"/>
  <c r="AM280" i="40" s="1"/>
  <c r="AJ280" i="40"/>
  <c r="AL296" i="40"/>
  <c r="AM296" i="40" s="1"/>
  <c r="AJ296" i="40"/>
  <c r="AL312" i="40"/>
  <c r="AM312" i="40" s="1"/>
  <c r="AJ312" i="40"/>
  <c r="AL328" i="40"/>
  <c r="AM328" i="40" s="1"/>
  <c r="AJ328" i="40"/>
  <c r="AL344" i="40"/>
  <c r="AM344" i="40" s="1"/>
  <c r="AJ344" i="40"/>
  <c r="S304" i="40"/>
  <c r="AL316" i="40"/>
  <c r="AM316" i="40" s="1"/>
  <c r="AJ316" i="40"/>
  <c r="S320" i="40"/>
  <c r="AL332" i="40"/>
  <c r="AM332" i="40" s="1"/>
  <c r="AJ332" i="40"/>
  <c r="S336" i="40"/>
  <c r="S351" i="40"/>
  <c r="AJ348" i="40"/>
  <c r="S350" i="40"/>
  <c r="AJ351" i="40"/>
  <c r="U344" i="39"/>
  <c r="AL344" i="39"/>
  <c r="AM344" i="39" s="1"/>
  <c r="AJ343" i="39"/>
  <c r="S343" i="39"/>
  <c r="AJ149" i="39"/>
  <c r="AL279" i="39"/>
  <c r="AM279" i="39" s="1"/>
  <c r="AJ86" i="39"/>
  <c r="AL263" i="39"/>
  <c r="AM263" i="39" s="1"/>
  <c r="AJ156" i="39"/>
  <c r="AJ302" i="39"/>
  <c r="AL181" i="39"/>
  <c r="AM181" i="39" s="1"/>
  <c r="AJ219" i="39"/>
  <c r="AJ303" i="39"/>
  <c r="AL255" i="39"/>
  <c r="AM255" i="39" s="1"/>
  <c r="AL126" i="39"/>
  <c r="AM126" i="39" s="1"/>
  <c r="AJ278" i="39"/>
  <c r="AJ286" i="39"/>
  <c r="AL227" i="39"/>
  <c r="AM227" i="39" s="1"/>
  <c r="AL55" i="39"/>
  <c r="AM55" i="39" s="1"/>
  <c r="AL157" i="39"/>
  <c r="AM157" i="39" s="1"/>
  <c r="AJ141" i="39"/>
  <c r="AJ118" i="39"/>
  <c r="AL69" i="39"/>
  <c r="AM69" i="39" s="1"/>
  <c r="AL164" i="39"/>
  <c r="AM164" i="39" s="1"/>
  <c r="AL212" i="39"/>
  <c r="AM212" i="39" s="1"/>
  <c r="AJ192" i="39"/>
  <c r="AJ142" i="39"/>
  <c r="AJ79" i="39"/>
  <c r="AL134" i="39"/>
  <c r="AM134" i="39" s="1"/>
  <c r="AJ287" i="39"/>
  <c r="AL110" i="39"/>
  <c r="AM110" i="39" s="1"/>
  <c r="AL132" i="39"/>
  <c r="AM132" i="39" s="1"/>
  <c r="AL124" i="39"/>
  <c r="AM124" i="39" s="1"/>
  <c r="AJ119" i="39"/>
  <c r="AJ228" i="39"/>
  <c r="AL48" i="39"/>
  <c r="AM48" i="39" s="1"/>
  <c r="AL272" i="39"/>
  <c r="AM272" i="39" s="1"/>
  <c r="AJ64" i="39"/>
  <c r="AJ111" i="39"/>
  <c r="AL56" i="39"/>
  <c r="AM56" i="39" s="1"/>
  <c r="AJ204" i="39"/>
  <c r="AL103" i="39"/>
  <c r="AM103" i="39" s="1"/>
  <c r="AJ174" i="39"/>
  <c r="AL182" i="39"/>
  <c r="AM182" i="39" s="1"/>
  <c r="AJ72" i="39"/>
  <c r="AJ95" i="39"/>
  <c r="AL40" i="39"/>
  <c r="AM40" i="39" s="1"/>
  <c r="AJ244" i="39"/>
  <c r="AJ294" i="39"/>
  <c r="AJ285" i="39"/>
  <c r="AJ176" i="39"/>
  <c r="AJ226" i="39"/>
  <c r="AJ300" i="39"/>
  <c r="AJ45" i="39"/>
  <c r="AL203" i="39"/>
  <c r="AM203" i="39" s="1"/>
  <c r="AJ51" i="39"/>
  <c r="AJ309" i="39"/>
  <c r="AJ301" i="39"/>
  <c r="AJ186" i="39"/>
  <c r="AL230" i="39"/>
  <c r="AM230" i="39" s="1"/>
  <c r="AJ130" i="39"/>
  <c r="AJ27" i="39"/>
  <c r="AJ222" i="39"/>
  <c r="AJ292" i="39"/>
  <c r="AL153" i="39"/>
  <c r="AM153" i="39" s="1"/>
  <c r="AL138" i="39"/>
  <c r="AM138" i="39" s="1"/>
  <c r="AL77" i="39"/>
  <c r="AM77" i="39" s="1"/>
  <c r="AJ254" i="39"/>
  <c r="AJ211" i="39"/>
  <c r="AJ243" i="39"/>
  <c r="AJ160" i="39"/>
  <c r="AL163" i="39"/>
  <c r="AM163" i="39" s="1"/>
  <c r="AL152" i="39"/>
  <c r="AM152" i="39" s="1"/>
  <c r="AJ246" i="39"/>
  <c r="AL84" i="39"/>
  <c r="AM84" i="39" s="1"/>
  <c r="AJ36" i="39"/>
  <c r="AJ162" i="39"/>
  <c r="AJ298" i="39"/>
  <c r="AL139" i="39"/>
  <c r="AM139" i="39" s="1"/>
  <c r="AJ169" i="39"/>
  <c r="AL122" i="39"/>
  <c r="AM122" i="39" s="1"/>
  <c r="AJ61" i="39"/>
  <c r="AL234" i="39"/>
  <c r="AM234" i="39" s="1"/>
  <c r="AJ199" i="39"/>
  <c r="AL293" i="39"/>
  <c r="AM293" i="39" s="1"/>
  <c r="AJ167" i="39"/>
  <c r="AJ107" i="39"/>
  <c r="AJ257" i="39"/>
  <c r="AJ205" i="39"/>
  <c r="AJ34" i="39"/>
  <c r="AL245" i="39"/>
  <c r="AM245" i="39" s="1"/>
  <c r="AJ229" i="39"/>
  <c r="AJ265" i="39"/>
  <c r="AJ159" i="39"/>
  <c r="AL221" i="39"/>
  <c r="AM221" i="39" s="1"/>
  <c r="AL213" i="39"/>
  <c r="AM213" i="39" s="1"/>
  <c r="AL175" i="39"/>
  <c r="AM175" i="39" s="1"/>
  <c r="AJ81" i="39"/>
  <c r="AJ57" i="39"/>
  <c r="AJ73" i="39"/>
  <c r="AJ65" i="39"/>
  <c r="AL49" i="39"/>
  <c r="AM49" i="39" s="1"/>
  <c r="AL88" i="39"/>
  <c r="AM88" i="39" s="1"/>
  <c r="AJ104" i="39"/>
  <c r="AJ33" i="39"/>
  <c r="AJ281" i="39"/>
  <c r="AL165" i="39"/>
  <c r="AM165" i="39" s="1"/>
  <c r="AJ277" i="39"/>
  <c r="AL225" i="39"/>
  <c r="AM225" i="39" s="1"/>
  <c r="AJ171" i="39"/>
  <c r="AL151" i="39"/>
  <c r="AM151" i="39" s="1"/>
  <c r="AJ269" i="39"/>
  <c r="AL241" i="39"/>
  <c r="AM241" i="39" s="1"/>
  <c r="S242" i="39"/>
  <c r="U308" i="39"/>
  <c r="U161" i="39"/>
  <c r="S241" i="39"/>
  <c r="AL178" i="39"/>
  <c r="AM178" i="39" s="1"/>
  <c r="AJ101" i="39"/>
  <c r="S179" i="39"/>
  <c r="U297" i="39"/>
  <c r="U130" i="39"/>
  <c r="S167" i="39"/>
  <c r="U114" i="39"/>
  <c r="AJ307" i="39"/>
  <c r="S120" i="39"/>
  <c r="U291" i="39"/>
  <c r="U98" i="39"/>
  <c r="S34" i="39"/>
  <c r="U275" i="39"/>
  <c r="U35" i="39"/>
  <c r="U223" i="39"/>
  <c r="AJ46" i="39"/>
  <c r="S325" i="39"/>
  <c r="U208" i="39"/>
  <c r="S324" i="39"/>
  <c r="U207" i="39"/>
  <c r="AL299" i="39"/>
  <c r="AM299" i="39" s="1"/>
  <c r="AJ70" i="39"/>
  <c r="S309" i="39"/>
  <c r="U193" i="39"/>
  <c r="U312" i="39"/>
  <c r="AJ284" i="39"/>
  <c r="S265" i="39"/>
  <c r="S206" i="39"/>
  <c r="S135" i="39"/>
  <c r="S64" i="39"/>
  <c r="U229" i="39"/>
  <c r="U198" i="39"/>
  <c r="U104" i="39"/>
  <c r="U73" i="39"/>
  <c r="U57" i="39"/>
  <c r="AJ185" i="39"/>
  <c r="S264" i="39"/>
  <c r="S134" i="39"/>
  <c r="S47" i="39"/>
  <c r="U296" i="39"/>
  <c r="U280" i="39"/>
  <c r="U244" i="39"/>
  <c r="U228" i="39"/>
  <c r="U212" i="39"/>
  <c r="U197" i="39"/>
  <c r="U166" i="39"/>
  <c r="V166" i="39" s="1"/>
  <c r="U150" i="39"/>
  <c r="U119" i="39"/>
  <c r="U72" i="39"/>
  <c r="U56" i="39"/>
  <c r="S318" i="39"/>
  <c r="S263" i="39"/>
  <c r="S194" i="39"/>
  <c r="S133" i="39"/>
  <c r="S39" i="39"/>
  <c r="U311" i="39"/>
  <c r="U295" i="39"/>
  <c r="U279" i="39"/>
  <c r="U243" i="39"/>
  <c r="V243" i="39" s="1"/>
  <c r="U227" i="39"/>
  <c r="U211" i="39"/>
  <c r="V211" i="39" s="1"/>
  <c r="U149" i="39"/>
  <c r="U118" i="39"/>
  <c r="U86" i="39"/>
  <c r="U71" i="39"/>
  <c r="S132" i="39"/>
  <c r="S38" i="39"/>
  <c r="U310" i="39"/>
  <c r="U294" i="39"/>
  <c r="U278" i="39"/>
  <c r="U164" i="39"/>
  <c r="U117" i="39"/>
  <c r="S127" i="39"/>
  <c r="S37" i="39"/>
  <c r="U331" i="39"/>
  <c r="U277" i="39"/>
  <c r="U225" i="39"/>
  <c r="U163" i="39"/>
  <c r="U116" i="39"/>
  <c r="U85" i="39"/>
  <c r="AL206" i="39"/>
  <c r="AM206" i="39" s="1"/>
  <c r="AJ177" i="39"/>
  <c r="S126" i="39"/>
  <c r="U330" i="39"/>
  <c r="U162" i="39"/>
  <c r="U115" i="39"/>
  <c r="U36" i="39"/>
  <c r="AJ148" i="39"/>
  <c r="AL264" i="39"/>
  <c r="AM264" i="39" s="1"/>
  <c r="S303" i="39"/>
  <c r="S238" i="39"/>
  <c r="S33" i="39"/>
  <c r="U222" i="39"/>
  <c r="U192" i="39"/>
  <c r="U160" i="39"/>
  <c r="U82" i="39"/>
  <c r="U66" i="39"/>
  <c r="U50" i="39"/>
  <c r="S237" i="39"/>
  <c r="S27" i="39"/>
  <c r="U257" i="39"/>
  <c r="U205" i="39"/>
  <c r="U159" i="39"/>
  <c r="U143" i="39"/>
  <c r="U128" i="39"/>
  <c r="U81" i="39"/>
  <c r="U65" i="39"/>
  <c r="AJ170" i="39"/>
  <c r="AJ237" i="39"/>
  <c r="AJ256" i="39"/>
  <c r="AL231" i="39"/>
  <c r="AM231" i="39" s="1"/>
  <c r="S236" i="39"/>
  <c r="S76" i="39"/>
  <c r="U288" i="39"/>
  <c r="U272" i="39"/>
  <c r="U256" i="39"/>
  <c r="U220" i="39"/>
  <c r="U95" i="39"/>
  <c r="U80" i="39"/>
  <c r="S341" i="39"/>
  <c r="S74" i="39"/>
  <c r="U271" i="39"/>
  <c r="U255" i="39"/>
  <c r="U235" i="39"/>
  <c r="U157" i="39"/>
  <c r="U141" i="39"/>
  <c r="U110" i="39"/>
  <c r="U31" i="39"/>
  <c r="U302" i="39"/>
  <c r="U286" i="39"/>
  <c r="U202" i="39"/>
  <c r="U125" i="39"/>
  <c r="U93" i="39"/>
  <c r="U78" i="39"/>
  <c r="U30" i="39"/>
  <c r="AJ214" i="39"/>
  <c r="S335" i="39"/>
  <c r="U269" i="39"/>
  <c r="U171" i="39"/>
  <c r="U139" i="39"/>
  <c r="U61" i="39"/>
  <c r="U45" i="39"/>
  <c r="S334" i="39"/>
  <c r="U314" i="39"/>
  <c r="U284" i="39"/>
  <c r="U268" i="39"/>
  <c r="U232" i="39"/>
  <c r="U200" i="39"/>
  <c r="V200" i="39" s="1"/>
  <c r="U186" i="39"/>
  <c r="V186" i="39" s="1"/>
  <c r="U107" i="39"/>
  <c r="U91" i="39"/>
  <c r="U60" i="39"/>
  <c r="AL140" i="39"/>
  <c r="AM140" i="39" s="1"/>
  <c r="AL193" i="39"/>
  <c r="AM193" i="39" s="1"/>
  <c r="U299" i="39"/>
  <c r="U283" i="39"/>
  <c r="U247" i="39"/>
  <c r="U231" i="39"/>
  <c r="U199" i="39"/>
  <c r="U153" i="39"/>
  <c r="U106" i="39"/>
  <c r="U43" i="39"/>
  <c r="AJ125" i="39"/>
  <c r="U266" i="39"/>
  <c r="U214" i="39"/>
  <c r="U184" i="39"/>
  <c r="V184" i="39" s="1"/>
  <c r="U121" i="39"/>
  <c r="U89" i="39"/>
  <c r="V89" i="39" s="1"/>
  <c r="U26" i="39"/>
  <c r="AJ25" i="39"/>
  <c r="U20" i="39"/>
  <c r="V20" i="39" s="1"/>
  <c r="W20" i="39" s="1"/>
  <c r="U21" i="39"/>
  <c r="S281" i="39"/>
  <c r="S75" i="39"/>
  <c r="AJ105" i="39"/>
  <c r="AJ75" i="39"/>
  <c r="AL296" i="39"/>
  <c r="AM296" i="39" s="1"/>
  <c r="AJ68" i="39"/>
  <c r="S273" i="39"/>
  <c r="S158" i="39"/>
  <c r="AJ305" i="39"/>
  <c r="AL238" i="39"/>
  <c r="AM238" i="39" s="1"/>
  <c r="AJ260" i="39"/>
  <c r="S151" i="39"/>
  <c r="AL291" i="39"/>
  <c r="AM291" i="39" s="1"/>
  <c r="S165" i="39"/>
  <c r="AJ297" i="39"/>
  <c r="AL83" i="39"/>
  <c r="AM83" i="39" s="1"/>
  <c r="AJ114" i="39"/>
  <c r="AJ158" i="39"/>
  <c r="AL233" i="39"/>
  <c r="AM233" i="39" s="1"/>
  <c r="AJ196" i="39"/>
  <c r="AJ121" i="39"/>
  <c r="AJ54" i="39"/>
  <c r="AJ304" i="39"/>
  <c r="AL187" i="39"/>
  <c r="AM187" i="39" s="1"/>
  <c r="AJ97" i="39"/>
  <c r="AL253" i="39"/>
  <c r="AM253" i="39" s="1"/>
  <c r="S323" i="39"/>
  <c r="S62" i="39"/>
  <c r="AL267" i="39"/>
  <c r="AM267" i="39" s="1"/>
  <c r="AJ266" i="39"/>
  <c r="AJ150" i="39"/>
  <c r="AJ268" i="39"/>
  <c r="AJ78" i="39"/>
  <c r="AL191" i="39"/>
  <c r="AM191" i="39" s="1"/>
  <c r="S293" i="39"/>
  <c r="AL224" i="39"/>
  <c r="AM224" i="39" s="1"/>
  <c r="AJ259" i="39"/>
  <c r="AL87" i="39"/>
  <c r="AM87" i="39" s="1"/>
  <c r="AL239" i="39"/>
  <c r="AM239" i="39" s="1"/>
  <c r="AL273" i="39"/>
  <c r="AM273" i="39" s="1"/>
  <c r="AL155" i="39"/>
  <c r="AM155" i="39" s="1"/>
  <c r="AJ143" i="39"/>
  <c r="AJ208" i="39"/>
  <c r="AJ223" i="39"/>
  <c r="AJ144" i="39"/>
  <c r="AJ240" i="39"/>
  <c r="AL201" i="39"/>
  <c r="AM201" i="39" s="1"/>
  <c r="AL116" i="39"/>
  <c r="AM116" i="39" s="1"/>
  <c r="S321" i="39"/>
  <c r="S292" i="39"/>
  <c r="S221" i="39"/>
  <c r="S178" i="39"/>
  <c r="S147" i="39"/>
  <c r="S113" i="39"/>
  <c r="S24" i="39"/>
  <c r="AL215" i="39"/>
  <c r="AM215" i="39" s="1"/>
  <c r="S340" i="39"/>
  <c r="AL91" i="39"/>
  <c r="AM91" i="39" s="1"/>
  <c r="AL282" i="39"/>
  <c r="AM282" i="39" s="1"/>
  <c r="AL66" i="39"/>
  <c r="AM66" i="39" s="1"/>
  <c r="AL202" i="39"/>
  <c r="AM202" i="39" s="1"/>
  <c r="S304" i="39"/>
  <c r="AJ135" i="39"/>
  <c r="AL129" i="39"/>
  <c r="AM129" i="39" s="1"/>
  <c r="AL44" i="39"/>
  <c r="AM44" i="39" s="1"/>
  <c r="S32" i="39"/>
  <c r="AL22" i="39"/>
  <c r="AM22" i="39" s="1"/>
  <c r="AL198" i="39"/>
  <c r="AM198" i="39" s="1"/>
  <c r="AJ183" i="39"/>
  <c r="AJ108" i="39"/>
  <c r="AL115" i="39"/>
  <c r="AM115" i="39" s="1"/>
  <c r="S262" i="39"/>
  <c r="S182" i="39"/>
  <c r="AL270" i="39"/>
  <c r="AM270" i="39" s="1"/>
  <c r="AJ82" i="39"/>
  <c r="AL190" i="39"/>
  <c r="AM190" i="39" s="1"/>
  <c r="AJ147" i="39"/>
  <c r="AL20" i="39"/>
  <c r="AM20" i="39" s="1"/>
  <c r="S322" i="39"/>
  <c r="S261" i="39"/>
  <c r="S148" i="39"/>
  <c r="AL136" i="39"/>
  <c r="AM136" i="39" s="1"/>
  <c r="AJ288" i="39"/>
  <c r="AL216" i="39"/>
  <c r="AM216" i="39" s="1"/>
  <c r="AJ128" i="39"/>
  <c r="AL195" i="39"/>
  <c r="AM195" i="39" s="1"/>
  <c r="AJ217" i="39"/>
  <c r="AJ93" i="39"/>
  <c r="S320" i="39"/>
  <c r="S213" i="39"/>
  <c r="S177" i="39"/>
  <c r="S146" i="39"/>
  <c r="S112" i="39"/>
  <c r="S59" i="39"/>
  <c r="S23" i="39"/>
  <c r="AJ172" i="39"/>
  <c r="AJ289" i="39"/>
  <c r="S70" i="39"/>
  <c r="AJ90" i="39"/>
  <c r="AJ117" i="39"/>
  <c r="AJ85" i="39"/>
  <c r="AJ60" i="39"/>
  <c r="S226" i="39"/>
  <c r="S183" i="39"/>
  <c r="S29" i="39"/>
  <c r="AJ99" i="39"/>
  <c r="AJ89" i="39"/>
  <c r="AL62" i="39"/>
  <c r="AM62" i="39" s="1"/>
  <c r="AJ50" i="39"/>
  <c r="AJ30" i="39"/>
  <c r="AL24" i="39"/>
  <c r="AM24" i="39" s="1"/>
  <c r="AL74" i="39"/>
  <c r="AM74" i="39" s="1"/>
  <c r="AJ31" i="39"/>
  <c r="AL242" i="39"/>
  <c r="AM242" i="39" s="1"/>
  <c r="AL71" i="39"/>
  <c r="AM71" i="39" s="1"/>
  <c r="AJ47" i="39"/>
  <c r="AJ235" i="39"/>
  <c r="AL209" i="39"/>
  <c r="AM209" i="39" s="1"/>
  <c r="AJ137" i="39"/>
  <c r="AJ189" i="39"/>
  <c r="AL145" i="39"/>
  <c r="AM145" i="39" s="1"/>
  <c r="S319" i="39"/>
  <c r="S287" i="39"/>
  <c r="S245" i="39"/>
  <c r="S172" i="39"/>
  <c r="S142" i="39"/>
  <c r="S111" i="39"/>
  <c r="S22" i="39"/>
  <c r="S136" i="39"/>
  <c r="S195" i="39"/>
  <c r="S260" i="39"/>
  <c r="S131" i="39"/>
  <c r="S274" i="39"/>
  <c r="S129" i="39"/>
  <c r="S174" i="39"/>
  <c r="S219" i="39"/>
  <c r="S270" i="39"/>
  <c r="S254" i="39"/>
  <c r="S234" i="39"/>
  <c r="S218" i="39"/>
  <c r="S188" i="39"/>
  <c r="S156" i="39"/>
  <c r="S140" i="39"/>
  <c r="S109" i="39"/>
  <c r="S145" i="39"/>
  <c r="S329" i="39"/>
  <c r="S315" i="39"/>
  <c r="S301" i="39"/>
  <c r="S285" i="39"/>
  <c r="S253" i="39"/>
  <c r="S233" i="39"/>
  <c r="S217" i="39"/>
  <c r="S201" i="39"/>
  <c r="S187" i="39"/>
  <c r="S155" i="39"/>
  <c r="S124" i="39"/>
  <c r="S108" i="39"/>
  <c r="S180" i="39"/>
  <c r="S209" i="39"/>
  <c r="S240" i="39"/>
  <c r="S307" i="39"/>
  <c r="S333" i="39"/>
  <c r="S290" i="39"/>
  <c r="S317" i="39"/>
  <c r="S190" i="39"/>
  <c r="S316" i="39"/>
  <c r="S203" i="39"/>
  <c r="S189" i="39"/>
  <c r="S173" i="39"/>
  <c r="S328" i="39"/>
  <c r="S300" i="39"/>
  <c r="S252" i="39"/>
  <c r="S216" i="39"/>
  <c r="S170" i="39"/>
  <c r="S154" i="39"/>
  <c r="S123" i="39"/>
  <c r="S196" i="39"/>
  <c r="S210" i="39"/>
  <c r="S276" i="39"/>
  <c r="S224" i="39"/>
  <c r="S239" i="39"/>
  <c r="S306" i="39"/>
  <c r="S258" i="39"/>
  <c r="S332" i="39"/>
  <c r="S305" i="39"/>
  <c r="S175" i="39"/>
  <c r="S204" i="39"/>
  <c r="S327" i="39"/>
  <c r="S267" i="39"/>
  <c r="S215" i="39"/>
  <c r="S185" i="39"/>
  <c r="S169" i="39"/>
  <c r="S138" i="39"/>
  <c r="S122" i="39"/>
  <c r="S181" i="39"/>
  <c r="S259" i="39"/>
  <c r="S176" i="39"/>
  <c r="S144" i="39"/>
  <c r="S289" i="39"/>
  <c r="S191" i="39"/>
  <c r="S326" i="39"/>
  <c r="S313" i="39"/>
  <c r="S298" i="39"/>
  <c r="S282" i="39"/>
  <c r="S246" i="39"/>
  <c r="S230" i="39"/>
  <c r="S168" i="39"/>
  <c r="S152" i="39"/>
  <c r="S137" i="39"/>
  <c r="S105" i="39"/>
  <c r="S103" i="39"/>
  <c r="S102" i="39"/>
  <c r="S101" i="39"/>
  <c r="S100" i="39"/>
  <c r="S99" i="39"/>
  <c r="S97" i="39"/>
  <c r="S96" i="39"/>
  <c r="S94" i="39"/>
  <c r="S92" i="39"/>
  <c r="S90" i="39"/>
  <c r="S88" i="39"/>
  <c r="S87" i="39"/>
  <c r="S84" i="39"/>
  <c r="S83" i="39"/>
  <c r="S79" i="39"/>
  <c r="S77" i="39"/>
  <c r="S69" i="39"/>
  <c r="S68" i="39"/>
  <c r="S67" i="39"/>
  <c r="S63" i="39"/>
  <c r="S58" i="39"/>
  <c r="S342" i="39"/>
  <c r="S55" i="39"/>
  <c r="S54" i="39"/>
  <c r="S53" i="39"/>
  <c r="S52" i="39"/>
  <c r="S51" i="39"/>
  <c r="S49" i="39"/>
  <c r="S48" i="39"/>
  <c r="S46" i="39"/>
  <c r="S44" i="39"/>
  <c r="S42" i="39"/>
  <c r="S40" i="39"/>
  <c r="S28" i="39"/>
  <c r="S25" i="39"/>
  <c r="AJ247" i="39"/>
  <c r="AJ131" i="39"/>
  <c r="AL218" i="39"/>
  <c r="AM218" i="39" s="1"/>
  <c r="AJ123" i="39"/>
  <c r="AJ21" i="39"/>
  <c r="AL113" i="39"/>
  <c r="AM113" i="39" s="1"/>
  <c r="AL98" i="39"/>
  <c r="AM98" i="39" s="1"/>
  <c r="AJ283" i="39"/>
  <c r="AJ102" i="39"/>
  <c r="AL184" i="39"/>
  <c r="AM184" i="39" s="1"/>
  <c r="AL127" i="39"/>
  <c r="AM127" i="39" s="1"/>
  <c r="AL38" i="39"/>
  <c r="AM38" i="39" s="1"/>
  <c r="AL207" i="39"/>
  <c r="AM207" i="39" s="1"/>
  <c r="AJ80" i="39"/>
  <c r="AL32" i="39"/>
  <c r="AM32" i="39" s="1"/>
  <c r="AJ232" i="39"/>
  <c r="AJ280" i="39"/>
  <c r="AJ290" i="39"/>
  <c r="AL94" i="39"/>
  <c r="AM94" i="39" s="1"/>
  <c r="AJ262" i="39"/>
  <c r="AL180" i="39"/>
  <c r="AM180" i="39" s="1"/>
  <c r="AL200" i="39"/>
  <c r="AM200" i="39" s="1"/>
  <c r="AJ308" i="39"/>
  <c r="AJ28" i="39"/>
  <c r="AJ53" i="39"/>
  <c r="AJ120" i="39"/>
  <c r="AL236" i="39"/>
  <c r="AM236" i="39" s="1"/>
  <c r="AL166" i="39"/>
  <c r="AM166" i="39" s="1"/>
  <c r="AJ276" i="39"/>
  <c r="AJ76" i="39"/>
  <c r="AL188" i="39"/>
  <c r="AM188" i="39" s="1"/>
  <c r="AJ63" i="39"/>
  <c r="AJ271" i="39"/>
  <c r="AJ43" i="39"/>
  <c r="AL275" i="39"/>
  <c r="AM275" i="39" s="1"/>
  <c r="AJ173" i="39"/>
  <c r="AL26" i="39"/>
  <c r="AM26" i="39" s="1"/>
  <c r="AL133" i="39"/>
  <c r="AM133" i="39" s="1"/>
  <c r="AJ52" i="39"/>
  <c r="AL194" i="39"/>
  <c r="AM194" i="39" s="1"/>
  <c r="AJ306" i="39"/>
  <c r="AL100" i="39"/>
  <c r="AM100" i="39" s="1"/>
  <c r="AL109" i="39"/>
  <c r="AM109" i="39" s="1"/>
  <c r="AJ59" i="39"/>
  <c r="AJ168" i="39"/>
  <c r="AL261" i="39"/>
  <c r="AM261" i="39" s="1"/>
  <c r="AJ92" i="39"/>
  <c r="AL258" i="39"/>
  <c r="AM258" i="39" s="1"/>
  <c r="AJ161" i="39"/>
  <c r="AL252" i="39"/>
  <c r="AM252" i="39" s="1"/>
  <c r="AL112" i="39"/>
  <c r="AM112" i="39" s="1"/>
  <c r="AJ210" i="39"/>
  <c r="AL179" i="39"/>
  <c r="AM179" i="39" s="1"/>
  <c r="AJ96" i="39"/>
  <c r="AJ295" i="39"/>
  <c r="AJ67" i="39"/>
  <c r="AJ220" i="39"/>
  <c r="AJ106" i="39"/>
  <c r="AJ39" i="39"/>
  <c r="AJ197" i="39"/>
  <c r="AL37" i="39"/>
  <c r="AM37" i="39" s="1"/>
  <c r="AJ35" i="39"/>
  <c r="AL23" i="39"/>
  <c r="AM23" i="39" s="1"/>
  <c r="AL29" i="39"/>
  <c r="AM29" i="39" s="1"/>
  <c r="AJ274" i="39"/>
  <c r="AJ154" i="39"/>
  <c r="AL42" i="39"/>
  <c r="AM42" i="39" s="1"/>
  <c r="AJ58" i="39"/>
  <c r="AL146" i="39"/>
  <c r="AM146" i="39" s="1"/>
  <c r="AJ311" i="39"/>
  <c r="AL312" i="39"/>
  <c r="AM312" i="39" s="1"/>
  <c r="AL313" i="39"/>
  <c r="AM313" i="39" s="1"/>
  <c r="AL315" i="39"/>
  <c r="AM315" i="39" s="1"/>
  <c r="AL317" i="39"/>
  <c r="AM317" i="39" s="1"/>
  <c r="AL316" i="39"/>
  <c r="AM316" i="39" s="1"/>
  <c r="AL319" i="39"/>
  <c r="AM319" i="39" s="1"/>
  <c r="AL318" i="39"/>
  <c r="AM318" i="39" s="1"/>
  <c r="AL321" i="39"/>
  <c r="AM321" i="39" s="1"/>
  <c r="AL320" i="39"/>
  <c r="AM320" i="39" s="1"/>
  <c r="AL323" i="39"/>
  <c r="AM323" i="39" s="1"/>
  <c r="AL322" i="39"/>
  <c r="AM322" i="39" s="1"/>
  <c r="AL325" i="39"/>
  <c r="AM325" i="39" s="1"/>
  <c r="AL324" i="39"/>
  <c r="AM324" i="39" s="1"/>
  <c r="AL327" i="39"/>
  <c r="AM327" i="39" s="1"/>
  <c r="AL326" i="39"/>
  <c r="AM326" i="39" s="1"/>
  <c r="AL329" i="39"/>
  <c r="AM329" i="39" s="1"/>
  <c r="AL328" i="39"/>
  <c r="AM328" i="39" s="1"/>
  <c r="AL331" i="39"/>
  <c r="AM331" i="39" s="1"/>
  <c r="AL330" i="39"/>
  <c r="AM330" i="39" s="1"/>
  <c r="AL333" i="39"/>
  <c r="AM333" i="39" s="1"/>
  <c r="AL332" i="39"/>
  <c r="AM332" i="39" s="1"/>
  <c r="AL335" i="39"/>
  <c r="AM335" i="39" s="1"/>
  <c r="AL334" i="39"/>
  <c r="AM334" i="39" s="1"/>
  <c r="AL342" i="39"/>
  <c r="AM342" i="39" s="1"/>
  <c r="AL341" i="39"/>
  <c r="AM341" i="39" s="1"/>
  <c r="AL340" i="39"/>
  <c r="AM340" i="39" s="1"/>
  <c r="AL310" i="39"/>
  <c r="AM310" i="39" s="1"/>
  <c r="AJ310" i="39"/>
  <c r="AL314" i="39"/>
  <c r="AM314" i="39" s="1"/>
  <c r="AJ314" i="39"/>
  <c r="V30" i="39" l="1"/>
  <c r="W30" i="39" s="1"/>
  <c r="V36" i="39"/>
  <c r="W36" i="39" s="1"/>
  <c r="V78" i="39"/>
  <c r="W78" i="39" s="1"/>
  <c r="V278" i="39"/>
  <c r="W278" i="39" s="1"/>
  <c r="V214" i="39"/>
  <c r="W214" i="39" s="1"/>
  <c r="V247" i="39"/>
  <c r="W247" i="39" s="1"/>
  <c r="V61" i="39"/>
  <c r="W61" i="39" s="1"/>
  <c r="V93" i="39"/>
  <c r="W93" i="39" s="1"/>
  <c r="V157" i="39"/>
  <c r="W157" i="39" s="1"/>
  <c r="V220" i="39"/>
  <c r="W220" i="39" s="1"/>
  <c r="V257" i="39"/>
  <c r="W257" i="39" s="1"/>
  <c r="V222" i="39"/>
  <c r="W222" i="39" s="1"/>
  <c r="V162" i="39"/>
  <c r="W162" i="39" s="1"/>
  <c r="V225" i="39"/>
  <c r="W225" i="39" s="1"/>
  <c r="V294" i="39"/>
  <c r="W294" i="39" s="1"/>
  <c r="V197" i="39"/>
  <c r="W197" i="39" s="1"/>
  <c r="V275" i="39"/>
  <c r="W275" i="39" s="1"/>
  <c r="V130" i="39"/>
  <c r="W130" i="39" s="1"/>
  <c r="V41" i="39"/>
  <c r="W41" i="39" s="1"/>
  <c r="V164" i="39"/>
  <c r="W164" i="39" s="1"/>
  <c r="V229" i="39"/>
  <c r="W229" i="39" s="1"/>
  <c r="V139" i="39"/>
  <c r="W139" i="39" s="1"/>
  <c r="V125" i="39"/>
  <c r="W125" i="39" s="1"/>
  <c r="V235" i="39"/>
  <c r="W235" i="39" s="1"/>
  <c r="V256" i="39"/>
  <c r="W256" i="39" s="1"/>
  <c r="V330" i="39"/>
  <c r="W330" i="39" s="1"/>
  <c r="V277" i="39"/>
  <c r="W277" i="39" s="1"/>
  <c r="V310" i="39"/>
  <c r="W310" i="39" s="1"/>
  <c r="V227" i="39"/>
  <c r="W227" i="39" s="1"/>
  <c r="V212" i="39"/>
  <c r="W212" i="39" s="1"/>
  <c r="V207" i="39"/>
  <c r="W207" i="39" s="1"/>
  <c r="V297" i="39"/>
  <c r="W297" i="39" s="1"/>
  <c r="V344" i="39"/>
  <c r="W344" i="39" s="1"/>
  <c r="V199" i="39"/>
  <c r="W199" i="39" s="1"/>
  <c r="V91" i="39"/>
  <c r="W91" i="39" s="1"/>
  <c r="V80" i="39"/>
  <c r="W80" i="39" s="1"/>
  <c r="V159" i="39"/>
  <c r="W159" i="39" s="1"/>
  <c r="V160" i="39"/>
  <c r="W160" i="39" s="1"/>
  <c r="V118" i="39"/>
  <c r="W118" i="39" s="1"/>
  <c r="V150" i="39"/>
  <c r="W150" i="39" s="1"/>
  <c r="V223" i="39"/>
  <c r="W223" i="39" s="1"/>
  <c r="V107" i="39"/>
  <c r="W107" i="39" s="1"/>
  <c r="V95" i="39"/>
  <c r="W95" i="39" s="1"/>
  <c r="V115" i="39"/>
  <c r="W115" i="39" s="1"/>
  <c r="V149" i="39"/>
  <c r="W149" i="39" s="1"/>
  <c r="V35" i="39"/>
  <c r="W35" i="39" s="1"/>
  <c r="V308" i="39"/>
  <c r="W308" i="39" s="1"/>
  <c r="V266" i="39"/>
  <c r="W266" i="39" s="1"/>
  <c r="V299" i="39"/>
  <c r="W299" i="39" s="1"/>
  <c r="V232" i="39"/>
  <c r="W232" i="39" s="1"/>
  <c r="V171" i="39"/>
  <c r="W171" i="39" s="1"/>
  <c r="V202" i="39"/>
  <c r="W202" i="39" s="1"/>
  <c r="V255" i="39"/>
  <c r="W255" i="39" s="1"/>
  <c r="V272" i="39"/>
  <c r="W272" i="39" s="1"/>
  <c r="V65" i="39"/>
  <c r="W65" i="39" s="1"/>
  <c r="V331" i="39"/>
  <c r="W331" i="39" s="1"/>
  <c r="V228" i="39"/>
  <c r="W228" i="39" s="1"/>
  <c r="V57" i="39"/>
  <c r="W57" i="39" s="1"/>
  <c r="V98" i="39"/>
  <c r="W98" i="39" s="1"/>
  <c r="V45" i="39"/>
  <c r="W45" i="39" s="1"/>
  <c r="V163" i="39"/>
  <c r="W163" i="39" s="1"/>
  <c r="V283" i="39"/>
  <c r="W283" i="39" s="1"/>
  <c r="V43" i="39"/>
  <c r="W43" i="39" s="1"/>
  <c r="V268" i="39"/>
  <c r="W268" i="39" s="1"/>
  <c r="V269" i="39"/>
  <c r="W269" i="39" s="1"/>
  <c r="V286" i="39"/>
  <c r="W286" i="39" s="1"/>
  <c r="V271" i="39"/>
  <c r="W271" i="39" s="1"/>
  <c r="V288" i="39"/>
  <c r="W288" i="39" s="1"/>
  <c r="V81" i="39"/>
  <c r="W81" i="39" s="1"/>
  <c r="V50" i="39"/>
  <c r="W50" i="39" s="1"/>
  <c r="V279" i="39"/>
  <c r="W279" i="39" s="1"/>
  <c r="V56" i="39"/>
  <c r="W56" i="39" s="1"/>
  <c r="V244" i="39"/>
  <c r="W244" i="39" s="1"/>
  <c r="V73" i="39"/>
  <c r="W73" i="39" s="1"/>
  <c r="V208" i="39"/>
  <c r="W208" i="39" s="1"/>
  <c r="V291" i="39"/>
  <c r="W291" i="39" s="1"/>
  <c r="V121" i="39"/>
  <c r="W121" i="39" s="1"/>
  <c r="V110" i="39"/>
  <c r="W110" i="39" s="1"/>
  <c r="V116" i="39"/>
  <c r="W116" i="39" s="1"/>
  <c r="V161" i="39"/>
  <c r="W161" i="39" s="1"/>
  <c r="V205" i="39"/>
  <c r="W205" i="39" s="1"/>
  <c r="V21" i="39"/>
  <c r="W21" i="39" s="1"/>
  <c r="V26" i="39"/>
  <c r="W26" i="39" s="1"/>
  <c r="V106" i="39"/>
  <c r="W106" i="39" s="1"/>
  <c r="V284" i="39"/>
  <c r="W284" i="39" s="1"/>
  <c r="V302" i="39"/>
  <c r="W302" i="39" s="1"/>
  <c r="V128" i="39"/>
  <c r="W128" i="39" s="1"/>
  <c r="V66" i="39"/>
  <c r="W66" i="39" s="1"/>
  <c r="V71" i="39"/>
  <c r="W71" i="39" s="1"/>
  <c r="V295" i="39"/>
  <c r="W295" i="39" s="1"/>
  <c r="V72" i="39"/>
  <c r="W72" i="39" s="1"/>
  <c r="V280" i="39"/>
  <c r="W280" i="39" s="1"/>
  <c r="V104" i="39"/>
  <c r="W104" i="39" s="1"/>
  <c r="V312" i="39"/>
  <c r="W312" i="39" s="1"/>
  <c r="V114" i="39"/>
  <c r="W114" i="39" s="1"/>
  <c r="V231" i="39"/>
  <c r="W231" i="39" s="1"/>
  <c r="V141" i="39"/>
  <c r="W141" i="39" s="1"/>
  <c r="V192" i="39"/>
  <c r="W192" i="39" s="1"/>
  <c r="V153" i="39"/>
  <c r="W153" i="39" s="1"/>
  <c r="V60" i="39"/>
  <c r="W60" i="39" s="1"/>
  <c r="V314" i="39"/>
  <c r="W314" i="39" s="1"/>
  <c r="V31" i="39"/>
  <c r="W31" i="39" s="1"/>
  <c r="V143" i="39"/>
  <c r="W143" i="39" s="1"/>
  <c r="V82" i="39"/>
  <c r="W82" i="39" s="1"/>
  <c r="V85" i="39"/>
  <c r="W85" i="39" s="1"/>
  <c r="V117" i="39"/>
  <c r="W117" i="39" s="1"/>
  <c r="V86" i="39"/>
  <c r="W86" i="39" s="1"/>
  <c r="V311" i="39"/>
  <c r="W311" i="39" s="1"/>
  <c r="V119" i="39"/>
  <c r="W119" i="39" s="1"/>
  <c r="V296" i="39"/>
  <c r="W296" i="39" s="1"/>
  <c r="V198" i="39"/>
  <c r="W198" i="39" s="1"/>
  <c r="V193" i="39"/>
  <c r="W193"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Carolina Medina</author>
    <author>QHSE</author>
  </authors>
  <commentList>
    <comment ref="AG18" authorId="0" shapeId="0" xr:uid="{AACC16BF-53F2-43B0-85F4-498C6FA4C5C8}">
      <text>
        <r>
          <rPr>
            <b/>
            <sz val="9"/>
            <color indexed="81"/>
            <rFont val="Tahoma"/>
            <family val="2"/>
          </rPr>
          <t xml:space="preserve">Nivel de deficiencia:
Muy alto = 10 </t>
        </r>
        <r>
          <rPr>
            <sz val="7"/>
            <color indexed="81"/>
            <rFont val="Tahoma"/>
            <family val="2"/>
          </rPr>
          <t>Se ha(n) detectado peligro(s) que determina(n) como posible la generación de incidentes o consecuencias muy significativas, o la eficacia del conjunto de medidas preventivas existentes respecto al riesgo es nula o no existe, o ambos.</t>
        </r>
        <r>
          <rPr>
            <b/>
            <sz val="9"/>
            <color indexed="81"/>
            <rFont val="Tahoma"/>
            <family val="2"/>
          </rPr>
          <t xml:space="preserve">
Alto = 6 </t>
        </r>
        <r>
          <rPr>
            <sz val="7"/>
            <color indexed="81"/>
            <rFont val="Tahoma"/>
            <family val="2"/>
          </rPr>
          <t>Se ha(n) detectado algún(os) peligro(s) que pueden dar lugar a consecuencias significativa(s), o la eficacia del conjunto de medidas  preventivas existentes es baja, o ambos.</t>
        </r>
        <r>
          <rPr>
            <b/>
            <sz val="9"/>
            <color indexed="81"/>
            <rFont val="Tahoma"/>
            <family val="2"/>
          </rPr>
          <t xml:space="preserve">
Medio = 2 </t>
        </r>
        <r>
          <rPr>
            <sz val="7"/>
            <color indexed="81"/>
            <rFont val="Tahoma"/>
            <family val="2"/>
          </rPr>
          <t>Se han detectado peligros que pueden dar lugar a consecuencias poco significativa(s) o de menor importancia, o la eficacia del conjunto de medidas preventivas existentes es moderada, o ambos.</t>
        </r>
        <r>
          <rPr>
            <b/>
            <sz val="9"/>
            <color indexed="81"/>
            <rFont val="Tahoma"/>
            <family val="2"/>
          </rPr>
          <t xml:space="preserve">
Bajo = No se asigna valor</t>
        </r>
        <r>
          <rPr>
            <sz val="7"/>
            <color indexed="81"/>
            <rFont val="Tahoma"/>
            <family val="2"/>
          </rPr>
          <t xml:space="preserve"> No se ha detectado consecuencia alguna, o la eficacia del conjunto de medidas preventivas existentes es alta, o ambos. El riesgo está controlado.</t>
        </r>
      </text>
    </comment>
    <comment ref="AH18" authorId="0" shapeId="0" xr:uid="{AEFFF1D8-F4C0-45B3-AC60-FF2D2F1A174D}">
      <text>
        <r>
          <rPr>
            <b/>
            <sz val="9"/>
            <color indexed="81"/>
            <rFont val="Tahoma"/>
            <family val="2"/>
          </rPr>
          <t xml:space="preserve">Nivel de exposición:
Continua = 4 </t>
        </r>
        <r>
          <rPr>
            <sz val="7"/>
            <color indexed="81"/>
            <rFont val="Tahoma"/>
            <family val="2"/>
          </rPr>
          <t>La situación de exposición se presenta sin interrupción o varias veces con tiempo prolongado durante la jornada laboral.</t>
        </r>
        <r>
          <rPr>
            <b/>
            <sz val="9"/>
            <color indexed="81"/>
            <rFont val="Tahoma"/>
            <family val="2"/>
          </rPr>
          <t xml:space="preserve">
Frecuente = 3 </t>
        </r>
        <r>
          <rPr>
            <sz val="7"/>
            <color indexed="81"/>
            <rFont val="Tahoma"/>
            <family val="2"/>
          </rPr>
          <t>La situación de exposición se presenta varias veces durante la jornada laboral por tiempos cortos.</t>
        </r>
        <r>
          <rPr>
            <b/>
            <sz val="9"/>
            <color indexed="81"/>
            <rFont val="Tahoma"/>
            <family val="2"/>
          </rPr>
          <t xml:space="preserve">
Ocacional = 2 </t>
        </r>
        <r>
          <rPr>
            <sz val="7"/>
            <color indexed="81"/>
            <rFont val="Tahoma"/>
            <family val="2"/>
          </rPr>
          <t>La situación de exposición se presenta alguna vez durante la jornada laboral y por un periodo de tiempo corto.</t>
        </r>
        <r>
          <rPr>
            <b/>
            <sz val="9"/>
            <color indexed="81"/>
            <rFont val="Tahoma"/>
            <family val="2"/>
          </rPr>
          <t xml:space="preserve">
Esporadica = 1 </t>
        </r>
        <r>
          <rPr>
            <sz val="7"/>
            <color indexed="81"/>
            <rFont val="Tahoma"/>
            <family val="2"/>
          </rPr>
          <t>La situación de exposición se presenta de manera eventual.</t>
        </r>
        <r>
          <rPr>
            <sz val="9"/>
            <color indexed="81"/>
            <rFont val="Tahoma"/>
            <family val="2"/>
          </rPr>
          <t xml:space="preserve">
</t>
        </r>
      </text>
    </comment>
    <comment ref="AJ18" authorId="0" shapeId="0" xr:uid="{39A368F5-94F9-400E-9DAC-7DD975A9D334}">
      <text>
        <r>
          <rPr>
            <b/>
            <sz val="9"/>
            <color indexed="81"/>
            <rFont val="Tahoma"/>
            <family val="2"/>
          </rPr>
          <t>Nivel de probabilidad:</t>
        </r>
        <r>
          <rPr>
            <sz val="9"/>
            <color indexed="81"/>
            <rFont val="Tahoma"/>
            <family val="2"/>
          </rPr>
          <t xml:space="preserve">
</t>
        </r>
        <r>
          <rPr>
            <b/>
            <sz val="9"/>
            <color indexed="81"/>
            <rFont val="Tahoma"/>
            <family val="2"/>
          </rPr>
          <t xml:space="preserve">Muy Alto: </t>
        </r>
        <r>
          <rPr>
            <sz val="7"/>
            <color indexed="81"/>
            <rFont val="Tahoma"/>
            <family val="2"/>
          </rPr>
          <t xml:space="preserve">Situación deficiente con exposición continua, o muy deficiente con exposición frecuente. Normalmente la materialización del riesgo ocurre con frecuencia.
</t>
        </r>
        <r>
          <rPr>
            <b/>
            <sz val="9"/>
            <color indexed="81"/>
            <rFont val="Tahoma"/>
            <family val="2"/>
          </rPr>
          <t xml:space="preserve">Alto: </t>
        </r>
        <r>
          <rPr>
            <sz val="7"/>
            <color indexed="81"/>
            <rFont val="Tahoma"/>
            <family val="2"/>
          </rPr>
          <t xml:space="preserve">Situación deficiente con exposición frecuente u ocasional, o bien situación muy deficiente con exposición ocasional o esporádica. La materialización del Riesgo es posible que suceda varias veces en la vida laboral.
</t>
        </r>
        <r>
          <rPr>
            <b/>
            <sz val="9"/>
            <color indexed="81"/>
            <rFont val="Tahoma"/>
            <family val="2"/>
          </rPr>
          <t>Medio:</t>
        </r>
        <r>
          <rPr>
            <sz val="7"/>
            <color indexed="81"/>
            <rFont val="Tahoma"/>
            <family val="2"/>
          </rPr>
          <t xml:space="preserve"> Situación deficiente con exposición esporádica, o bien situación mejorable con exposición continuada o frecuente. Es posible que suceda el daño alguna vez.
</t>
        </r>
        <r>
          <rPr>
            <b/>
            <sz val="9"/>
            <color indexed="81"/>
            <rFont val="Tahoma"/>
            <family val="2"/>
          </rPr>
          <t xml:space="preserve">Bajo: </t>
        </r>
        <r>
          <rPr>
            <sz val="7"/>
            <color indexed="81"/>
            <rFont val="Tahoma"/>
            <family val="2"/>
          </rPr>
          <t>Situación mejorable con exposición ocasional o esporádica, o situación sin anomalía destacable con cualquier nivel de exposición. No es esperable que se materialice el riesgo, aunque puede ser concebible.</t>
        </r>
      </text>
    </comment>
    <comment ref="AK18" authorId="0" shapeId="0" xr:uid="{38181313-5D31-4DD7-A0EA-62B98FC8A2DE}">
      <text>
        <r>
          <rPr>
            <b/>
            <sz val="9"/>
            <color indexed="81"/>
            <rFont val="Tahoma"/>
            <family val="2"/>
          </rPr>
          <t xml:space="preserve">Nivel de consecuencia:
</t>
        </r>
        <r>
          <rPr>
            <sz val="9"/>
            <color indexed="81"/>
            <rFont val="Tahoma"/>
            <family val="2"/>
          </rPr>
          <t xml:space="preserve">
</t>
        </r>
        <r>
          <rPr>
            <b/>
            <sz val="9"/>
            <color indexed="81"/>
            <rFont val="Tahoma"/>
            <family val="2"/>
          </rPr>
          <t>Mortal o catastrofico = 100</t>
        </r>
        <r>
          <rPr>
            <sz val="9"/>
            <color indexed="81"/>
            <rFont val="Tahoma"/>
            <family val="2"/>
          </rPr>
          <t xml:space="preserve"> </t>
        </r>
        <r>
          <rPr>
            <sz val="7"/>
            <color indexed="81"/>
            <rFont val="Tahoma"/>
            <family val="2"/>
          </rPr>
          <t xml:space="preserve">Muerte (s).
</t>
        </r>
        <r>
          <rPr>
            <b/>
            <sz val="9"/>
            <color indexed="81"/>
            <rFont val="Tahoma"/>
            <family val="2"/>
          </rPr>
          <t>Muy grave = 60</t>
        </r>
        <r>
          <rPr>
            <sz val="7"/>
            <color indexed="81"/>
            <rFont val="Tahoma"/>
            <family val="2"/>
          </rPr>
          <t xml:space="preserve"> Lesiones o enfermedades graves irreparables (Incapacidad permanente parcial o invalidez).
</t>
        </r>
        <r>
          <rPr>
            <b/>
            <sz val="9"/>
            <color indexed="81"/>
            <rFont val="Tahoma"/>
            <family val="2"/>
          </rPr>
          <t>Grave = 25</t>
        </r>
        <r>
          <rPr>
            <sz val="7"/>
            <color indexed="81"/>
            <rFont val="Tahoma"/>
            <family val="2"/>
          </rPr>
          <t xml:space="preserve"> Lesiones o enfermedades con incapacidad laboral temporal (ILT).
</t>
        </r>
        <r>
          <rPr>
            <b/>
            <sz val="9"/>
            <color indexed="81"/>
            <rFont val="Tahoma"/>
            <family val="2"/>
          </rPr>
          <t>Leve = 10</t>
        </r>
        <r>
          <rPr>
            <sz val="7"/>
            <color indexed="81"/>
            <rFont val="Tahoma"/>
            <family val="2"/>
          </rPr>
          <t xml:space="preserve"> Lesiones o enfermedades que no requieren incapacidad.</t>
        </r>
      </text>
    </comment>
    <comment ref="P19" authorId="0" shapeId="0" xr:uid="{44F6B27D-379B-4E06-AF16-2ECC09F601F5}">
      <text>
        <r>
          <rPr>
            <b/>
            <sz val="9"/>
            <color indexed="81"/>
            <rFont val="Tahoma"/>
            <family val="2"/>
          </rPr>
          <t xml:space="preserve">Nivel de deficiencia:
Muy alto = 10 </t>
        </r>
        <r>
          <rPr>
            <sz val="7"/>
            <color indexed="81"/>
            <rFont val="Tahoma"/>
            <family val="2"/>
          </rPr>
          <t>Se ha(n) detectado peligro(s) que determina(n) como posible la generación de incidentes o consecuencias muy significativas, o la eficacia del conjunto de medidas preventivas existentes respecto al riesgo es nula o no existe, o ambos.</t>
        </r>
        <r>
          <rPr>
            <b/>
            <sz val="9"/>
            <color indexed="81"/>
            <rFont val="Tahoma"/>
            <family val="2"/>
          </rPr>
          <t xml:space="preserve">
Alto = 6 </t>
        </r>
        <r>
          <rPr>
            <sz val="7"/>
            <color indexed="81"/>
            <rFont val="Tahoma"/>
            <family val="2"/>
          </rPr>
          <t>Se ha(n) detectado algún(os) peligro(s) que pueden dar lugar a consecuencias significativa(s), o la eficacia del conjunto de medidas  preventivas existentes es baja, o ambos.</t>
        </r>
        <r>
          <rPr>
            <b/>
            <sz val="9"/>
            <color indexed="81"/>
            <rFont val="Tahoma"/>
            <family val="2"/>
          </rPr>
          <t xml:space="preserve">
Medio = 2 </t>
        </r>
        <r>
          <rPr>
            <sz val="7"/>
            <color indexed="81"/>
            <rFont val="Tahoma"/>
            <family val="2"/>
          </rPr>
          <t>Se han detectado peligros que pueden dar lugar a consecuencias poco significativa(s) o de menor importancia, o la eficacia del conjunto de medidas preventivas existentes es moderada, o ambos.</t>
        </r>
        <r>
          <rPr>
            <b/>
            <sz val="9"/>
            <color indexed="81"/>
            <rFont val="Tahoma"/>
            <family val="2"/>
          </rPr>
          <t xml:space="preserve">
Bajo = No se asigna valor</t>
        </r>
        <r>
          <rPr>
            <sz val="7"/>
            <color indexed="81"/>
            <rFont val="Tahoma"/>
            <family val="2"/>
          </rPr>
          <t xml:space="preserve"> No se ha detectado consecuencia alguna, o la eficacia del conjunto de medidas preventivas existentes es alta, o ambos. El riesgo está controlado.</t>
        </r>
      </text>
    </comment>
    <comment ref="Q19" authorId="0" shapeId="0" xr:uid="{96D16B25-903D-4A78-ACE8-890478755E1E}">
      <text>
        <r>
          <rPr>
            <b/>
            <sz val="9"/>
            <color indexed="81"/>
            <rFont val="Tahoma"/>
            <family val="2"/>
          </rPr>
          <t xml:space="preserve">Nivel de exposición:
Continua = 4 </t>
        </r>
        <r>
          <rPr>
            <sz val="7"/>
            <color indexed="81"/>
            <rFont val="Tahoma"/>
            <family val="2"/>
          </rPr>
          <t>La situación de exposición se presenta sin interrupción o varias veces con tiempo prolongado durante la jornada laboral.</t>
        </r>
        <r>
          <rPr>
            <b/>
            <sz val="9"/>
            <color indexed="81"/>
            <rFont val="Tahoma"/>
            <family val="2"/>
          </rPr>
          <t xml:space="preserve">
Frecuente = 3 </t>
        </r>
        <r>
          <rPr>
            <sz val="7"/>
            <color indexed="81"/>
            <rFont val="Tahoma"/>
            <family val="2"/>
          </rPr>
          <t>La situación de exposición se presenta varias veces durante la jornada laboral por tiempos cortos.</t>
        </r>
        <r>
          <rPr>
            <b/>
            <sz val="9"/>
            <color indexed="81"/>
            <rFont val="Tahoma"/>
            <family val="2"/>
          </rPr>
          <t xml:space="preserve">
Ocacional = 2 </t>
        </r>
        <r>
          <rPr>
            <sz val="7"/>
            <color indexed="81"/>
            <rFont val="Tahoma"/>
            <family val="2"/>
          </rPr>
          <t>La situación de exposición se presenta alguna vez durante la jornada laboral y por un periodo de tiempo corto.</t>
        </r>
        <r>
          <rPr>
            <b/>
            <sz val="9"/>
            <color indexed="81"/>
            <rFont val="Tahoma"/>
            <family val="2"/>
          </rPr>
          <t xml:space="preserve">
Esporadica = 1 </t>
        </r>
        <r>
          <rPr>
            <sz val="7"/>
            <color indexed="81"/>
            <rFont val="Tahoma"/>
            <family val="2"/>
          </rPr>
          <t>La situación de exposición se presenta de manera eventual.</t>
        </r>
        <r>
          <rPr>
            <sz val="9"/>
            <color indexed="81"/>
            <rFont val="Tahoma"/>
            <family val="2"/>
          </rPr>
          <t xml:space="preserve">
</t>
        </r>
      </text>
    </comment>
    <comment ref="S19" authorId="0" shapeId="0" xr:uid="{81603D10-AEBB-4275-9661-C2CAC0520420}">
      <text>
        <r>
          <rPr>
            <b/>
            <sz val="9"/>
            <color indexed="81"/>
            <rFont val="Tahoma"/>
            <family val="2"/>
          </rPr>
          <t>Nivel de probabilidad:</t>
        </r>
        <r>
          <rPr>
            <sz val="9"/>
            <color indexed="81"/>
            <rFont val="Tahoma"/>
            <family val="2"/>
          </rPr>
          <t xml:space="preserve">
</t>
        </r>
        <r>
          <rPr>
            <b/>
            <sz val="9"/>
            <color indexed="81"/>
            <rFont val="Tahoma"/>
            <family val="2"/>
          </rPr>
          <t xml:space="preserve">Muy Alto: </t>
        </r>
        <r>
          <rPr>
            <sz val="7"/>
            <color indexed="81"/>
            <rFont val="Tahoma"/>
            <family val="2"/>
          </rPr>
          <t xml:space="preserve">Situación deficiente con exposición continua, o muy deficiente con exposición frecuente. Normalmente la materialización del riesgo ocurre con frecuencia.
</t>
        </r>
        <r>
          <rPr>
            <b/>
            <sz val="9"/>
            <color indexed="81"/>
            <rFont val="Tahoma"/>
            <family val="2"/>
          </rPr>
          <t xml:space="preserve">Alto: </t>
        </r>
        <r>
          <rPr>
            <sz val="7"/>
            <color indexed="81"/>
            <rFont val="Tahoma"/>
            <family val="2"/>
          </rPr>
          <t xml:space="preserve">Situación deficiente con exposición frecuente u ocasional, o bien situación muy deficiente con exposición ocasional o esporádica. La materialización del Riesgo es posible que suceda varias veces en la vida laboral.
</t>
        </r>
        <r>
          <rPr>
            <b/>
            <sz val="9"/>
            <color indexed="81"/>
            <rFont val="Tahoma"/>
            <family val="2"/>
          </rPr>
          <t>Medio:</t>
        </r>
        <r>
          <rPr>
            <sz val="7"/>
            <color indexed="81"/>
            <rFont val="Tahoma"/>
            <family val="2"/>
          </rPr>
          <t xml:space="preserve"> Situación deficiente con exposición esporádica, o bien situación mejorable con exposición continuada o frecuente. Es posible que suceda el daño alguna vez.
</t>
        </r>
        <r>
          <rPr>
            <b/>
            <sz val="9"/>
            <color indexed="81"/>
            <rFont val="Tahoma"/>
            <family val="2"/>
          </rPr>
          <t xml:space="preserve">Bajo: </t>
        </r>
        <r>
          <rPr>
            <sz val="7"/>
            <color indexed="81"/>
            <rFont val="Tahoma"/>
            <family val="2"/>
          </rPr>
          <t>Situación mejorable con exposición ocasional o esporádica, o situación sin anomalía destacable con cualquier nivel de exposición. No es esperable que se materialice el riesgo, aunque puede ser concebible.</t>
        </r>
      </text>
    </comment>
    <comment ref="T19" authorId="0" shapeId="0" xr:uid="{554E4FDD-0815-456B-BEC6-2A8DE2DE35C2}">
      <text>
        <r>
          <rPr>
            <b/>
            <sz val="9"/>
            <color indexed="81"/>
            <rFont val="Tahoma"/>
            <family val="2"/>
          </rPr>
          <t xml:space="preserve">Nivel de consecuencia:
</t>
        </r>
        <r>
          <rPr>
            <sz val="9"/>
            <color indexed="81"/>
            <rFont val="Tahoma"/>
            <family val="2"/>
          </rPr>
          <t xml:space="preserve">
</t>
        </r>
        <r>
          <rPr>
            <b/>
            <sz val="9"/>
            <color indexed="81"/>
            <rFont val="Tahoma"/>
            <family val="2"/>
          </rPr>
          <t>Mortal o catastrofico = 100</t>
        </r>
        <r>
          <rPr>
            <sz val="9"/>
            <color indexed="81"/>
            <rFont val="Tahoma"/>
            <family val="2"/>
          </rPr>
          <t xml:space="preserve"> </t>
        </r>
        <r>
          <rPr>
            <sz val="7"/>
            <color indexed="81"/>
            <rFont val="Tahoma"/>
            <family val="2"/>
          </rPr>
          <t xml:space="preserve">Muerte (s).
</t>
        </r>
        <r>
          <rPr>
            <b/>
            <sz val="9"/>
            <color indexed="81"/>
            <rFont val="Tahoma"/>
            <family val="2"/>
          </rPr>
          <t>Muy grave = 60</t>
        </r>
        <r>
          <rPr>
            <sz val="7"/>
            <color indexed="81"/>
            <rFont val="Tahoma"/>
            <family val="2"/>
          </rPr>
          <t xml:space="preserve"> Lesiones o enfermedades graves irreparables (Incapacidad permanente parcial o invalidez).
</t>
        </r>
        <r>
          <rPr>
            <b/>
            <sz val="9"/>
            <color indexed="81"/>
            <rFont val="Tahoma"/>
            <family val="2"/>
          </rPr>
          <t>Grave = 25</t>
        </r>
        <r>
          <rPr>
            <sz val="7"/>
            <color indexed="81"/>
            <rFont val="Tahoma"/>
            <family val="2"/>
          </rPr>
          <t xml:space="preserve"> Lesiones o enfermedades con incapacidad laboral temporal (ILT).
</t>
        </r>
        <r>
          <rPr>
            <b/>
            <sz val="9"/>
            <color indexed="81"/>
            <rFont val="Tahoma"/>
            <family val="2"/>
          </rPr>
          <t>Leve = 10</t>
        </r>
        <r>
          <rPr>
            <sz val="7"/>
            <color indexed="81"/>
            <rFont val="Tahoma"/>
            <family val="2"/>
          </rPr>
          <t xml:space="preserve"> Lesiones o enfermedades que no requieren incapacidad.</t>
        </r>
      </text>
    </comment>
    <comment ref="P20" authorId="1" shapeId="0" xr:uid="{9EBB73DD-538E-4CD9-BA8C-0F3392489010}">
      <text>
        <r>
          <rPr>
            <b/>
            <sz val="9"/>
            <color indexed="81"/>
            <rFont val="Tahoma"/>
            <family val="2"/>
          </rPr>
          <t>QHSE:</t>
        </r>
        <r>
          <rPr>
            <sz val="9"/>
            <color indexed="81"/>
            <rFont val="Tahoma"/>
            <family val="2"/>
          </rPr>
          <t xml:space="preserve">
</t>
        </r>
      </text>
    </comment>
    <comment ref="V20" authorId="1" shapeId="0" xr:uid="{7EA7A7E9-E072-4C57-A058-283EB31F7FE4}">
      <text>
        <r>
          <rPr>
            <b/>
            <sz val="9"/>
            <color indexed="81"/>
            <rFont val="Tahoma"/>
            <family val="2"/>
          </rPr>
          <t>QHSE:</t>
        </r>
        <r>
          <rPr>
            <sz val="9"/>
            <color indexed="81"/>
            <rFont val="Tahoma"/>
            <family val="2"/>
          </rPr>
          <t xml:space="preserve">
</t>
        </r>
      </text>
    </comment>
    <comment ref="W20" authorId="1" shapeId="0" xr:uid="{522620B3-B6A7-4229-A398-0635B52AD7C2}">
      <text>
        <r>
          <rPr>
            <b/>
            <sz val="9"/>
            <color indexed="81"/>
            <rFont val="Tahoma"/>
            <family val="2"/>
          </rPr>
          <t>QHSE: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Carolina Medina</author>
  </authors>
  <commentList>
    <comment ref="AG18" authorId="0" shapeId="0" xr:uid="{927E5D20-E929-4A27-8109-5CBC1CEFA33C}">
      <text>
        <r>
          <rPr>
            <b/>
            <sz val="9"/>
            <color indexed="81"/>
            <rFont val="Tahoma"/>
            <family val="2"/>
          </rPr>
          <t xml:space="preserve">Nivel de deficiencia:
Muy alto = 10 </t>
        </r>
        <r>
          <rPr>
            <sz val="7"/>
            <color indexed="81"/>
            <rFont val="Tahoma"/>
            <family val="2"/>
          </rPr>
          <t>Se ha(n) detectado peligro(s) que determina(n) como posible la generación de incidentes o consecuencias muy significativas, o la eficacia del conjunto de medidas preventivas existentes respecto al riesgo es nula o no existe, o ambos.</t>
        </r>
        <r>
          <rPr>
            <b/>
            <sz val="9"/>
            <color indexed="81"/>
            <rFont val="Tahoma"/>
            <family val="2"/>
          </rPr>
          <t xml:space="preserve">
Alto = 6 </t>
        </r>
        <r>
          <rPr>
            <sz val="7"/>
            <color indexed="81"/>
            <rFont val="Tahoma"/>
            <family val="2"/>
          </rPr>
          <t>Se ha(n) detectado algún(os) peligro(s) que pueden dar lugar a consecuencias significativa(s), o la eficacia del conjunto de medidas  preventivas existentes es baja, o ambos.</t>
        </r>
        <r>
          <rPr>
            <b/>
            <sz val="9"/>
            <color indexed="81"/>
            <rFont val="Tahoma"/>
            <family val="2"/>
          </rPr>
          <t xml:space="preserve">
Medio = 2 </t>
        </r>
        <r>
          <rPr>
            <sz val="7"/>
            <color indexed="81"/>
            <rFont val="Tahoma"/>
            <family val="2"/>
          </rPr>
          <t>Se han detectado peligros que pueden dar lugar a consecuencias poco significativa(s) o de menor importancia, o la eficacia del conjunto de medidas preventivas existentes es moderada, o ambos.</t>
        </r>
        <r>
          <rPr>
            <b/>
            <sz val="9"/>
            <color indexed="81"/>
            <rFont val="Tahoma"/>
            <family val="2"/>
          </rPr>
          <t xml:space="preserve">
Bajo = No se asigna valor</t>
        </r>
        <r>
          <rPr>
            <sz val="7"/>
            <color indexed="81"/>
            <rFont val="Tahoma"/>
            <family val="2"/>
          </rPr>
          <t xml:space="preserve"> No se ha detectado consecuencia alguna, o la eficacia del conjunto de medidas preventivas existentes es alta, o ambos. El riesgo está controlado.</t>
        </r>
      </text>
    </comment>
    <comment ref="AH18" authorId="0" shapeId="0" xr:uid="{762168D4-D2E1-4AA3-8262-032AF957448F}">
      <text>
        <r>
          <rPr>
            <b/>
            <sz val="9"/>
            <color indexed="81"/>
            <rFont val="Tahoma"/>
            <family val="2"/>
          </rPr>
          <t xml:space="preserve">Nivel de exposición:
Continua = 4 </t>
        </r>
        <r>
          <rPr>
            <sz val="7"/>
            <color indexed="81"/>
            <rFont val="Tahoma"/>
            <family val="2"/>
          </rPr>
          <t>La situación de exposición se presenta sin interrupción o varias veces con tiempo prolongado durante la jornada laboral.</t>
        </r>
        <r>
          <rPr>
            <b/>
            <sz val="9"/>
            <color indexed="81"/>
            <rFont val="Tahoma"/>
            <family val="2"/>
          </rPr>
          <t xml:space="preserve">
Frecuente = 3 </t>
        </r>
        <r>
          <rPr>
            <sz val="7"/>
            <color indexed="81"/>
            <rFont val="Tahoma"/>
            <family val="2"/>
          </rPr>
          <t>La situación de exposición se presenta varias veces durante la jornada laboral por tiempos cortos.</t>
        </r>
        <r>
          <rPr>
            <b/>
            <sz val="9"/>
            <color indexed="81"/>
            <rFont val="Tahoma"/>
            <family val="2"/>
          </rPr>
          <t xml:space="preserve">
Ocacional = 2 </t>
        </r>
        <r>
          <rPr>
            <sz val="7"/>
            <color indexed="81"/>
            <rFont val="Tahoma"/>
            <family val="2"/>
          </rPr>
          <t>La situación de exposición se presenta alguna vez durante la jornada laboral y por un periodo de tiempo corto.</t>
        </r>
        <r>
          <rPr>
            <b/>
            <sz val="9"/>
            <color indexed="81"/>
            <rFont val="Tahoma"/>
            <family val="2"/>
          </rPr>
          <t xml:space="preserve">
Esporadica = 1 </t>
        </r>
        <r>
          <rPr>
            <sz val="7"/>
            <color indexed="81"/>
            <rFont val="Tahoma"/>
            <family val="2"/>
          </rPr>
          <t>La situación de exposición se presenta de manera eventual.</t>
        </r>
        <r>
          <rPr>
            <sz val="9"/>
            <color indexed="81"/>
            <rFont val="Tahoma"/>
            <family val="2"/>
          </rPr>
          <t xml:space="preserve">
</t>
        </r>
      </text>
    </comment>
    <comment ref="AJ18" authorId="0" shapeId="0" xr:uid="{F75CB45C-4555-4869-BD91-4751AC22240E}">
      <text>
        <r>
          <rPr>
            <b/>
            <sz val="9"/>
            <color indexed="81"/>
            <rFont val="Tahoma"/>
            <family val="2"/>
          </rPr>
          <t>Nivel de probabilidad:</t>
        </r>
        <r>
          <rPr>
            <sz val="9"/>
            <color indexed="81"/>
            <rFont val="Tahoma"/>
            <family val="2"/>
          </rPr>
          <t xml:space="preserve">
</t>
        </r>
        <r>
          <rPr>
            <b/>
            <sz val="9"/>
            <color indexed="81"/>
            <rFont val="Tahoma"/>
            <family val="2"/>
          </rPr>
          <t xml:space="preserve">Muy Alto: </t>
        </r>
        <r>
          <rPr>
            <sz val="7"/>
            <color indexed="81"/>
            <rFont val="Tahoma"/>
            <family val="2"/>
          </rPr>
          <t xml:space="preserve">Situación deficiente con exposición continua, o muy deficiente con exposición frecuente. Normalmente la materialización del riesgo ocurre con frecuencia.
</t>
        </r>
        <r>
          <rPr>
            <b/>
            <sz val="9"/>
            <color indexed="81"/>
            <rFont val="Tahoma"/>
            <family val="2"/>
          </rPr>
          <t xml:space="preserve">Alto: </t>
        </r>
        <r>
          <rPr>
            <sz val="7"/>
            <color indexed="81"/>
            <rFont val="Tahoma"/>
            <family val="2"/>
          </rPr>
          <t xml:space="preserve">Situación deficiente con exposición frecuente u ocasional, o bien situación muy deficiente con exposición ocasional o esporádica. La materialización del Riesgo es posible que suceda varias veces en la vida laboral.
</t>
        </r>
        <r>
          <rPr>
            <b/>
            <sz val="9"/>
            <color indexed="81"/>
            <rFont val="Tahoma"/>
            <family val="2"/>
          </rPr>
          <t>Medio:</t>
        </r>
        <r>
          <rPr>
            <sz val="7"/>
            <color indexed="81"/>
            <rFont val="Tahoma"/>
            <family val="2"/>
          </rPr>
          <t xml:space="preserve"> Situación deficiente con exposición esporádica, o bien situación mejorable con exposición continuada o frecuente. Es posible que suceda el daño alguna vez.
</t>
        </r>
        <r>
          <rPr>
            <b/>
            <sz val="9"/>
            <color indexed="81"/>
            <rFont val="Tahoma"/>
            <family val="2"/>
          </rPr>
          <t xml:space="preserve">Bajo: </t>
        </r>
        <r>
          <rPr>
            <sz val="7"/>
            <color indexed="81"/>
            <rFont val="Tahoma"/>
            <family val="2"/>
          </rPr>
          <t>Situación mejorable con exposición ocasional o esporádica, o situación sin anomalía destacable con cualquier nivel de exposición. No es esperable que se materialice el riesgo, aunque puede ser concebible.</t>
        </r>
      </text>
    </comment>
    <comment ref="AK18" authorId="0" shapeId="0" xr:uid="{C3ABA934-50CD-4967-8569-8EBABFA95328}">
      <text>
        <r>
          <rPr>
            <b/>
            <sz val="9"/>
            <color indexed="81"/>
            <rFont val="Tahoma"/>
            <family val="2"/>
          </rPr>
          <t xml:space="preserve">Nivel de consecuencia:
</t>
        </r>
        <r>
          <rPr>
            <sz val="9"/>
            <color indexed="81"/>
            <rFont val="Tahoma"/>
            <family val="2"/>
          </rPr>
          <t xml:space="preserve">
</t>
        </r>
        <r>
          <rPr>
            <b/>
            <sz val="9"/>
            <color indexed="81"/>
            <rFont val="Tahoma"/>
            <family val="2"/>
          </rPr>
          <t>Mortal o catastrofico = 100</t>
        </r>
        <r>
          <rPr>
            <sz val="9"/>
            <color indexed="81"/>
            <rFont val="Tahoma"/>
            <family val="2"/>
          </rPr>
          <t xml:space="preserve"> </t>
        </r>
        <r>
          <rPr>
            <sz val="7"/>
            <color indexed="81"/>
            <rFont val="Tahoma"/>
            <family val="2"/>
          </rPr>
          <t xml:space="preserve">Muerte (s).
</t>
        </r>
        <r>
          <rPr>
            <b/>
            <sz val="9"/>
            <color indexed="81"/>
            <rFont val="Tahoma"/>
            <family val="2"/>
          </rPr>
          <t>Muy grave = 60</t>
        </r>
        <r>
          <rPr>
            <sz val="7"/>
            <color indexed="81"/>
            <rFont val="Tahoma"/>
            <family val="2"/>
          </rPr>
          <t xml:space="preserve"> Lesiones o enfermedades graves irreparables (Incapacidad permanente parcial o invalidez).
</t>
        </r>
        <r>
          <rPr>
            <b/>
            <sz val="9"/>
            <color indexed="81"/>
            <rFont val="Tahoma"/>
            <family val="2"/>
          </rPr>
          <t>Grave = 25</t>
        </r>
        <r>
          <rPr>
            <sz val="7"/>
            <color indexed="81"/>
            <rFont val="Tahoma"/>
            <family val="2"/>
          </rPr>
          <t xml:space="preserve"> Lesiones o enfermedades con incapacidad laboral temporal (ILT).
</t>
        </r>
        <r>
          <rPr>
            <b/>
            <sz val="9"/>
            <color indexed="81"/>
            <rFont val="Tahoma"/>
            <family val="2"/>
          </rPr>
          <t>Leve = 10</t>
        </r>
        <r>
          <rPr>
            <sz val="7"/>
            <color indexed="81"/>
            <rFont val="Tahoma"/>
            <family val="2"/>
          </rPr>
          <t xml:space="preserve"> Lesiones o enfermedades que no requieren incapacidad.</t>
        </r>
      </text>
    </comment>
    <comment ref="P19" authorId="0" shapeId="0" xr:uid="{B4DCE473-0B29-4413-A6B1-0682A94A7C7F}">
      <text>
        <r>
          <rPr>
            <b/>
            <sz val="9"/>
            <color indexed="81"/>
            <rFont val="Tahoma"/>
            <family val="2"/>
          </rPr>
          <t xml:space="preserve">Nivel de deficiencia:
Muy alto = 10 </t>
        </r>
        <r>
          <rPr>
            <sz val="7"/>
            <color indexed="81"/>
            <rFont val="Tahoma"/>
            <family val="2"/>
          </rPr>
          <t>Se ha(n) detectado peligro(s) que determina(n) como posible la generación de incidentes o consecuencias muy significativas, o la eficacia del conjunto de medidas preventivas existentes respecto al riesgo es nula o no existe, o ambos.</t>
        </r>
        <r>
          <rPr>
            <b/>
            <sz val="9"/>
            <color indexed="81"/>
            <rFont val="Tahoma"/>
            <family val="2"/>
          </rPr>
          <t xml:space="preserve">
Alto = 6 </t>
        </r>
        <r>
          <rPr>
            <sz val="7"/>
            <color indexed="81"/>
            <rFont val="Tahoma"/>
            <family val="2"/>
          </rPr>
          <t>Se ha(n) detectado algún(os) peligro(s) que pueden dar lugar a consecuencias significativa(s), o la eficacia del conjunto de medidas  preventivas existentes es baja, o ambos.</t>
        </r>
        <r>
          <rPr>
            <b/>
            <sz val="9"/>
            <color indexed="81"/>
            <rFont val="Tahoma"/>
            <family val="2"/>
          </rPr>
          <t xml:space="preserve">
Medio = 2 </t>
        </r>
        <r>
          <rPr>
            <sz val="7"/>
            <color indexed="81"/>
            <rFont val="Tahoma"/>
            <family val="2"/>
          </rPr>
          <t>Se han detectado peligros que pueden dar lugar a consecuencias poco significativa(s) o de menor importancia, o la eficacia del conjunto de medidas preventivas existentes es moderada, o ambos.</t>
        </r>
        <r>
          <rPr>
            <b/>
            <sz val="9"/>
            <color indexed="81"/>
            <rFont val="Tahoma"/>
            <family val="2"/>
          </rPr>
          <t xml:space="preserve">
Bajo = No se asigna valor</t>
        </r>
        <r>
          <rPr>
            <sz val="7"/>
            <color indexed="81"/>
            <rFont val="Tahoma"/>
            <family val="2"/>
          </rPr>
          <t xml:space="preserve"> No se ha detectado consecuencia alguna, o la eficacia del conjunto de medidas preventivas existentes es alta, o ambos. El riesgo está controlado.</t>
        </r>
      </text>
    </comment>
    <comment ref="Q19" authorId="0" shapeId="0" xr:uid="{62D7FA2E-E43A-493C-BB5C-FC2BB3DC55C8}">
      <text>
        <r>
          <rPr>
            <b/>
            <sz val="9"/>
            <color indexed="81"/>
            <rFont val="Tahoma"/>
            <family val="2"/>
          </rPr>
          <t xml:space="preserve">Nivel de exposición:
Continua = 4 </t>
        </r>
        <r>
          <rPr>
            <sz val="7"/>
            <color indexed="81"/>
            <rFont val="Tahoma"/>
            <family val="2"/>
          </rPr>
          <t>La situación de exposición se presenta sin interrupción o varias veces con tiempo prolongado durante la jornada laboral.</t>
        </r>
        <r>
          <rPr>
            <b/>
            <sz val="9"/>
            <color indexed="81"/>
            <rFont val="Tahoma"/>
            <family val="2"/>
          </rPr>
          <t xml:space="preserve">
Frecuente = 3 </t>
        </r>
        <r>
          <rPr>
            <sz val="7"/>
            <color indexed="81"/>
            <rFont val="Tahoma"/>
            <family val="2"/>
          </rPr>
          <t>La situación de exposición se presenta varias veces durante la jornada laboral por tiempos cortos.</t>
        </r>
        <r>
          <rPr>
            <b/>
            <sz val="9"/>
            <color indexed="81"/>
            <rFont val="Tahoma"/>
            <family val="2"/>
          </rPr>
          <t xml:space="preserve">
Ocacional = 2 </t>
        </r>
        <r>
          <rPr>
            <sz val="7"/>
            <color indexed="81"/>
            <rFont val="Tahoma"/>
            <family val="2"/>
          </rPr>
          <t>La situación de exposición se presenta alguna vez durante la jornada laboral y por un periodo de tiempo corto.</t>
        </r>
        <r>
          <rPr>
            <b/>
            <sz val="9"/>
            <color indexed="81"/>
            <rFont val="Tahoma"/>
            <family val="2"/>
          </rPr>
          <t xml:space="preserve">
Esporadica = 1 </t>
        </r>
        <r>
          <rPr>
            <sz val="7"/>
            <color indexed="81"/>
            <rFont val="Tahoma"/>
            <family val="2"/>
          </rPr>
          <t>La situación de exposición se presenta de manera eventual.</t>
        </r>
        <r>
          <rPr>
            <sz val="9"/>
            <color indexed="81"/>
            <rFont val="Tahoma"/>
            <family val="2"/>
          </rPr>
          <t xml:space="preserve">
</t>
        </r>
      </text>
    </comment>
    <comment ref="S19" authorId="0" shapeId="0" xr:uid="{F37E909E-EA91-47EE-9F0A-AE0034EFFEB5}">
      <text>
        <r>
          <rPr>
            <b/>
            <sz val="9"/>
            <color indexed="81"/>
            <rFont val="Tahoma"/>
            <family val="2"/>
          </rPr>
          <t>Nivel de probabilidad:</t>
        </r>
        <r>
          <rPr>
            <sz val="9"/>
            <color indexed="81"/>
            <rFont val="Tahoma"/>
            <family val="2"/>
          </rPr>
          <t xml:space="preserve">
</t>
        </r>
        <r>
          <rPr>
            <b/>
            <sz val="9"/>
            <color indexed="81"/>
            <rFont val="Tahoma"/>
            <family val="2"/>
          </rPr>
          <t xml:space="preserve">Muy Alto: </t>
        </r>
        <r>
          <rPr>
            <sz val="7"/>
            <color indexed="81"/>
            <rFont val="Tahoma"/>
            <family val="2"/>
          </rPr>
          <t xml:space="preserve">Situación deficiente con exposición continua, o muy deficiente con exposición frecuente. Normalmente la materialización del riesgo ocurre con frecuencia.
</t>
        </r>
        <r>
          <rPr>
            <b/>
            <sz val="9"/>
            <color indexed="81"/>
            <rFont val="Tahoma"/>
            <family val="2"/>
          </rPr>
          <t xml:space="preserve">Alto: </t>
        </r>
        <r>
          <rPr>
            <sz val="7"/>
            <color indexed="81"/>
            <rFont val="Tahoma"/>
            <family val="2"/>
          </rPr>
          <t xml:space="preserve">Situación deficiente con exposición frecuente u ocasional, o bien situación muy deficiente con exposición ocasional o esporádica. La materialización del Riesgo es posible que suceda varias veces en la vida laboral.
</t>
        </r>
        <r>
          <rPr>
            <b/>
            <sz val="9"/>
            <color indexed="81"/>
            <rFont val="Tahoma"/>
            <family val="2"/>
          </rPr>
          <t>Medio:</t>
        </r>
        <r>
          <rPr>
            <sz val="7"/>
            <color indexed="81"/>
            <rFont val="Tahoma"/>
            <family val="2"/>
          </rPr>
          <t xml:space="preserve"> Situación deficiente con exposición esporádica, o bien situación mejorable con exposición continuada o frecuente. Es posible que suceda el daño alguna vez.
</t>
        </r>
        <r>
          <rPr>
            <b/>
            <sz val="9"/>
            <color indexed="81"/>
            <rFont val="Tahoma"/>
            <family val="2"/>
          </rPr>
          <t xml:space="preserve">Bajo: </t>
        </r>
        <r>
          <rPr>
            <sz val="7"/>
            <color indexed="81"/>
            <rFont val="Tahoma"/>
            <family val="2"/>
          </rPr>
          <t>Situación mejorable con exposición ocasional o esporádica, o situación sin anomalía destacable con cualquier nivel de exposición. No es esperable que se materialice el riesgo, aunque puede ser concebible.</t>
        </r>
      </text>
    </comment>
    <comment ref="T19" authorId="0" shapeId="0" xr:uid="{E7867A0B-9890-4F61-97AD-B6BA1E14C176}">
      <text>
        <r>
          <rPr>
            <b/>
            <sz val="9"/>
            <color indexed="81"/>
            <rFont val="Tahoma"/>
            <family val="2"/>
          </rPr>
          <t xml:space="preserve">Nivel de consecuencia:
</t>
        </r>
        <r>
          <rPr>
            <sz val="9"/>
            <color indexed="81"/>
            <rFont val="Tahoma"/>
            <family val="2"/>
          </rPr>
          <t xml:space="preserve">
</t>
        </r>
        <r>
          <rPr>
            <b/>
            <sz val="9"/>
            <color indexed="81"/>
            <rFont val="Tahoma"/>
            <family val="2"/>
          </rPr>
          <t>Mortal o catastrofico = 100</t>
        </r>
        <r>
          <rPr>
            <sz val="9"/>
            <color indexed="81"/>
            <rFont val="Tahoma"/>
            <family val="2"/>
          </rPr>
          <t xml:space="preserve"> </t>
        </r>
        <r>
          <rPr>
            <sz val="7"/>
            <color indexed="81"/>
            <rFont val="Tahoma"/>
            <family val="2"/>
          </rPr>
          <t xml:space="preserve">Muerte (s).
</t>
        </r>
        <r>
          <rPr>
            <b/>
            <sz val="9"/>
            <color indexed="81"/>
            <rFont val="Tahoma"/>
            <family val="2"/>
          </rPr>
          <t>Muy grave = 60</t>
        </r>
        <r>
          <rPr>
            <sz val="7"/>
            <color indexed="81"/>
            <rFont val="Tahoma"/>
            <family val="2"/>
          </rPr>
          <t xml:space="preserve"> Lesiones o enfermedades graves irreparables (Incapacidad permanente parcial o invalidez).
</t>
        </r>
        <r>
          <rPr>
            <b/>
            <sz val="9"/>
            <color indexed="81"/>
            <rFont val="Tahoma"/>
            <family val="2"/>
          </rPr>
          <t>Grave = 25</t>
        </r>
        <r>
          <rPr>
            <sz val="7"/>
            <color indexed="81"/>
            <rFont val="Tahoma"/>
            <family val="2"/>
          </rPr>
          <t xml:space="preserve"> Lesiones o enfermedades con incapacidad laboral temporal (ILT).
</t>
        </r>
        <r>
          <rPr>
            <b/>
            <sz val="9"/>
            <color indexed="81"/>
            <rFont val="Tahoma"/>
            <family val="2"/>
          </rPr>
          <t>Leve = 10</t>
        </r>
        <r>
          <rPr>
            <sz val="7"/>
            <color indexed="81"/>
            <rFont val="Tahoma"/>
            <family val="2"/>
          </rPr>
          <t xml:space="preserve"> Lesiones o enfermedades que no requieren incapacidad.</t>
        </r>
      </text>
    </comment>
  </commentList>
</comments>
</file>

<file path=xl/sharedStrings.xml><?xml version="1.0" encoding="utf-8"?>
<sst xmlns="http://schemas.openxmlformats.org/spreadsheetml/2006/main" count="11722" uniqueCount="1353">
  <si>
    <t xml:space="preserve">Matriz de Identificación de peligros y análisis de riesgos GTC 45 </t>
  </si>
  <si>
    <t>DYN-SGI-RE-087
Versión:02</t>
  </si>
  <si>
    <t>FECHA DE ACTUALIZACIÓN:</t>
  </si>
  <si>
    <t>30/7/2024</t>
  </si>
  <si>
    <t>TRABAJADORES DIRECTOS:</t>
  </si>
  <si>
    <t>REALIZADO POR:</t>
  </si>
  <si>
    <t>CONTRATISTAS:</t>
  </si>
  <si>
    <t>CARGO:</t>
  </si>
  <si>
    <t>Sistemas de Gestion</t>
  </si>
  <si>
    <t>TOTAL:</t>
  </si>
  <si>
    <t>PROCESO:</t>
  </si>
  <si>
    <t>Dynadrill Ecuador. C.A.</t>
  </si>
  <si>
    <t>BASE/ LOCACIÓN:</t>
  </si>
  <si>
    <t>Coca / Quito</t>
  </si>
  <si>
    <t>Consecuencias</t>
  </si>
  <si>
    <t>Tiempo Exposición (frecuencia)</t>
  </si>
  <si>
    <t>Probabilidad</t>
  </si>
  <si>
    <r>
      <t>10</t>
    </r>
    <r>
      <rPr>
        <sz val="14"/>
        <rFont val="Arial"/>
        <family val="2"/>
      </rPr>
      <t xml:space="preserve"> Muerte y/o daños mayores a $10000.</t>
    </r>
  </si>
  <si>
    <t>10   La situación de riesgo ocurre continuamente o muchas veces al día</t>
  </si>
  <si>
    <t>10 Es el resultado más probable y esperado si la situación de riesgo tiene lugar</t>
  </si>
  <si>
    <r>
      <t xml:space="preserve">6  </t>
    </r>
    <r>
      <rPr>
        <sz val="14"/>
        <rFont val="Arial"/>
        <family val="2"/>
      </rPr>
      <t xml:space="preserve"> Lesiones incapacitantes permanentes y/o daños entre  $5000 y $10000</t>
    </r>
  </si>
  <si>
    <t>6     Frecuentemente o una vez al día</t>
  </si>
  <si>
    <t>7   Es completamente posible, nada extraño. Tiene probabilidad de actualización del 50%</t>
  </si>
  <si>
    <r>
      <t xml:space="preserve">4  </t>
    </r>
    <r>
      <rPr>
        <sz val="14"/>
        <rFont val="Arial"/>
        <family val="2"/>
      </rPr>
      <t xml:space="preserve"> Lesiones con incapacidades no permanentes y/o daños  hasta $5000</t>
    </r>
  </si>
  <si>
    <t>4     Ocasionalmente o una vez por semana</t>
  </si>
  <si>
    <t>4   Sería una coincidencia. Tiene una probabilidad de actualización del 20%</t>
  </si>
  <si>
    <r>
      <t xml:space="preserve">1  </t>
    </r>
    <r>
      <rPr>
        <sz val="14"/>
        <rFont val="Arial"/>
        <family val="2"/>
      </rPr>
      <t xml:space="preserve"> Lesiones con heridos leves, contusiones, golpes y/o  pequeños daños económicos.</t>
    </r>
  </si>
  <si>
    <t>1     Remotamente posible</t>
  </si>
  <si>
    <t>1   Nunca ha sucedido en muchos años de exposición al riesgo, pero es concebible. Probabilidad del 5%</t>
  </si>
  <si>
    <t>PROCESO</t>
  </si>
  <si>
    <t>Zona/ Lugar</t>
  </si>
  <si>
    <t>Actividades</t>
  </si>
  <si>
    <t>Tareas</t>
  </si>
  <si>
    <t>Rutinaria (Si ó Nó)</t>
  </si>
  <si>
    <t>Área o  Puesto de Trabajo</t>
  </si>
  <si>
    <t xml:space="preserve"> Cargos Expuestos</t>
  </si>
  <si>
    <t>Peligro</t>
  </si>
  <si>
    <t>Fuente de Riesgo</t>
  </si>
  <si>
    <t xml:space="preserve">Generado en </t>
  </si>
  <si>
    <t>Efectos Posibles</t>
  </si>
  <si>
    <t>Controles existentes</t>
  </si>
  <si>
    <t>Criterios para establecer controles</t>
  </si>
  <si>
    <t>Valoración del riesgo</t>
  </si>
  <si>
    <t>Medidas de intervención</t>
  </si>
  <si>
    <t xml:space="preserve">SEGUIMIENTO </t>
  </si>
  <si>
    <t xml:space="preserve">Nivel de deficiencia (ND) </t>
  </si>
  <si>
    <t>Nivel de exposición (NE)</t>
  </si>
  <si>
    <t>Nivel de probabilidad</t>
  </si>
  <si>
    <t>Interpretación del nivel de probabilidad (NP)</t>
  </si>
  <si>
    <t>Nivel de consecuencia (NC)</t>
  </si>
  <si>
    <t xml:space="preserve">Nivel del riesgo </t>
  </si>
  <si>
    <t>Aceptabilidad del riesgo</t>
  </si>
  <si>
    <t>Tipo de Control Propuesto</t>
  </si>
  <si>
    <t>Descripción</t>
  </si>
  <si>
    <t>Clasificación</t>
  </si>
  <si>
    <t>Fuente</t>
  </si>
  <si>
    <t xml:space="preserve">Medio </t>
  </si>
  <si>
    <t>Individuo</t>
  </si>
  <si>
    <t>Nivel de probabilidad (ND*NE)</t>
  </si>
  <si>
    <t>Nivel del riesgo  (NP*NC) e Intervención</t>
  </si>
  <si>
    <t>Interpretación del NR</t>
  </si>
  <si>
    <t>N° de expuestos</t>
  </si>
  <si>
    <t>Peor Consecuencia</t>
  </si>
  <si>
    <t>Existencia Requisito Legal Específico Asociado (Si o Nó)</t>
  </si>
  <si>
    <t>Eliminación</t>
  </si>
  <si>
    <t>Sustitución</t>
  </si>
  <si>
    <t>Control de ingeniería</t>
  </si>
  <si>
    <t>Señalización, Advertencias, Controles Administrativos</t>
  </si>
  <si>
    <t>Equipos/ elementos de protección personal</t>
  </si>
  <si>
    <t>ND*NE</t>
  </si>
  <si>
    <t>NP*NC</t>
  </si>
  <si>
    <t>Control ingeniería</t>
  </si>
  <si>
    <t>EPI o colectivo</t>
  </si>
  <si>
    <t xml:space="preserve">GENERAL
todas las procesos de la empresa </t>
  </si>
  <si>
    <t>Todas las acividades empresariales</t>
  </si>
  <si>
    <t>Todas las tareas</t>
  </si>
  <si>
    <t>x</t>
  </si>
  <si>
    <t>Todos los puestos y areas de trabajo</t>
  </si>
  <si>
    <t>Personal en General</t>
  </si>
  <si>
    <t>5.1 Presencia o referencia de la existencia de animales/vectores transmisores de enfermedad (virus, bactarias, parasitos, hongos)</t>
  </si>
  <si>
    <t>5. Biológico</t>
  </si>
  <si>
    <t>Pandemia generalizada de Coronavirus, casos locativos exitentes en las areas de influencia Peligro de exposición a agentes biológicos debido a la situación epidemiológica actual en relación con el coronavirus SARS-CoV-2.</t>
  </si>
  <si>
    <t>Vecindad</t>
  </si>
  <si>
    <t>4.1 Neumopatías</t>
  </si>
  <si>
    <t xml:space="preserve">Ninguno </t>
  </si>
  <si>
    <t xml:space="preserve">Uso de EPP, alchol antiséptico, charlas de trasmisores de enfermedad </t>
  </si>
  <si>
    <t>Malestar temporal, irritación leve</t>
  </si>
  <si>
    <t>SI</t>
  </si>
  <si>
    <t xml:space="preserve">Proporcionar a los trabajadores información del riesgo por coronavirus, entre otras, mediante la entrega de las
especificaciones preventivas,
Indicar  Equipos de Protección Individuales necesarios y el tipo de precacuciones necesarias que haya que tomar.
</t>
  </si>
  <si>
    <t>Elementos de Bioseguridad:
Respirador recomendado KN95, N95.
Alcohol
Elemetos sanitizantes
Higiene personal 
Teletrabajo
Respetar cuarentena
Seguir protocolos establecidos</t>
  </si>
  <si>
    <t>Examenes Ocupacionales. Charlas de prevención de Coronavirus.
Registro de entrega de EPP.</t>
  </si>
  <si>
    <t>BAJO</t>
  </si>
  <si>
    <t>Continuar con capacitaciones  y charlas sobre el COVID 19, en manejo de protocolos  e higiene personal. Valoracion periodica de los protocolos y su implementacion y ejecucion.</t>
  </si>
  <si>
    <t>Uso EPI</t>
  </si>
  <si>
    <t>PVE riesgos biologicos y amenazas virales.</t>
  </si>
  <si>
    <t>OPERACIONES</t>
  </si>
  <si>
    <t>Base Coca - Campo</t>
  </si>
  <si>
    <t>Aplicación de Pintura a Superficies</t>
  </si>
  <si>
    <t>No</t>
  </si>
  <si>
    <t>Técnico de Taller 
BASE COCA</t>
  </si>
  <si>
    <t>Operadores, Técnico de Taller</t>
  </si>
  <si>
    <t>4.6 Exposición a gases y vapores</t>
  </si>
  <si>
    <t>4. Químico</t>
  </si>
  <si>
    <t>Pintura y solventes</t>
  </si>
  <si>
    <t>Sitio de trabajo</t>
  </si>
  <si>
    <t>4.6 Intoxicación, lesiones de diversa magnitud y severidad. Lesiones fatales</t>
  </si>
  <si>
    <t>DYN-SGI-PR-026 Procedimiento de seguridad para trabajos con productos químicos, DYN-SGI-RE-055 Etiqueta HMIS III, DYN-SGI-RE-056 Etiquetas NFPA productos químicos</t>
  </si>
  <si>
    <t xml:space="preserve">Uso de EPP, charla de exposición de gases y vapores </t>
  </si>
  <si>
    <t>Irritación nasal y de garganta, ojos secos</t>
  </si>
  <si>
    <t>Disposición de MSDS de prod. Químicos,  Ubicación de Equipos de contingencia Ambiental. PVE piel y respiratorio</t>
  </si>
  <si>
    <t>PVE Químico
Examenes ocupacionales</t>
  </si>
  <si>
    <t>MSDS disponibles. Tarjetas de emergencia.  Capacitacion en quimicos. PVE quimicos. HMIS III. Capacitacion en riesgo quimico</t>
  </si>
  <si>
    <t>Uso de mascara de gases y vapores</t>
  </si>
  <si>
    <t>PVE quimicos</t>
  </si>
  <si>
    <t>3.6 Ruido</t>
  </si>
  <si>
    <t>3. Fisíco</t>
  </si>
  <si>
    <t>Exposición a altos niveles de presión sonora producidos por equipos en la base</t>
  </si>
  <si>
    <t>3.6 Hipoacusia  neursosensorial</t>
  </si>
  <si>
    <t xml:space="preserve">Uso de EPP, charlas de prevención de niveles de ruido </t>
  </si>
  <si>
    <t>Fatiga auditiva</t>
  </si>
  <si>
    <t>Instalación de silenciadores en las unidades,  mantenimiento preventivo de equipos</t>
  </si>
  <si>
    <t xml:space="preserve">Demarcación de areas y equipos ruidosos, continuar con el programa de Vigilancia Epidemiológica y de Mantenimiento Preventivo de equipos.  </t>
  </si>
  <si>
    <t>Uso de Proteccción auditiva</t>
  </si>
  <si>
    <t xml:space="preserve"> Dosimetrias y sonometrias. PVE Conservación Auditiva. Evaluaciones Médicas Ocupacionales (audiometria).</t>
  </si>
  <si>
    <t xml:space="preserve">Aislamiento de areas criticas </t>
  </si>
  <si>
    <t xml:space="preserve"> Dosimetrias y sonometrias. PVE Conservación Auditiva. Evaluaciones Médicas Ocupacionales (audiometria). Campaña uso de EPI para todo el personal de operaciones</t>
  </si>
  <si>
    <t>Uso de doble protección auditiva (Copa e insercion.</t>
  </si>
  <si>
    <t>PVE Conservación Auditiva.  Evaluaciones Médicas.</t>
  </si>
  <si>
    <t>8.2 Monotonía/repetitividad de funciones</t>
  </si>
  <si>
    <t>8. Psicosocial</t>
  </si>
  <si>
    <t>Horarios extendidos, tareas repetitivas, nivel gerarquico, mando</t>
  </si>
  <si>
    <t>8.2 Estrés, desmotivacion, irritabilidad, ansiedad y cansancio</t>
  </si>
  <si>
    <t xml:space="preserve">Pausas activas, charlas de prevención de riegos psicosociales </t>
  </si>
  <si>
    <t>Estrés</t>
  </si>
  <si>
    <t>Charlas sobre manejo de estrés y motivacion personal.  Actividades deportivas</t>
  </si>
  <si>
    <t>Encuestas sobre clima laboral</t>
  </si>
  <si>
    <t xml:space="preserve"> Realizar dinamicas de trabajo en equipo Programa de riesgo psicosicial. Continuar con charlas sobre manejo del estrés. Sesiones de relajacion  durante ginmasia laboral. </t>
  </si>
  <si>
    <t>Entrevistas acerca del clima laboral</t>
  </si>
  <si>
    <t xml:space="preserve">6.2 Manejo de cargas menores a 25 Kg </t>
  </si>
  <si>
    <t>6. Ergonómico</t>
  </si>
  <si>
    <t>Manejo de herramientas y otros elementos de trabajo</t>
  </si>
  <si>
    <t>6.3 Lesiones osteomusculares de diversa magnitud y severidad</t>
  </si>
  <si>
    <t>Uso de EPP, charla de riesgos ergonómicos</t>
  </si>
  <si>
    <t>Dolor muscular leve</t>
  </si>
  <si>
    <t>Uso de ayudas mecanicas (grúa y/o montacarga) para el manejo de cargas.</t>
  </si>
  <si>
    <t>Capacitacion  sobre levantamiento de cargas e higiene postural.  PVE osteomuscular</t>
  </si>
  <si>
    <t>Evaluaciones fisioterapeuticas, gimnasia laboral y valoracion de fisioterapeuta</t>
  </si>
  <si>
    <t>Continuar con capacitaciones  en manejo de cargas e higiene postural. Valoracion periodica por parte de  fisioterapeuta. PVE osteomuscular. Gimnasia laboral</t>
  </si>
  <si>
    <t>Sesiones de gimnasia laboral , evaluaciones fisioterapeuticas.</t>
  </si>
  <si>
    <t>6.6 Posturas prolongadas y/o incorrectas</t>
  </si>
  <si>
    <t>Postura adoptada durante la actividad (acostado en el piso).  O posicion que se adopta debajo de la unidad para su respectivo mantenimiento</t>
  </si>
  <si>
    <t>6.1 Lesiones osteomusculares de diversa magnitud y severidad</t>
  </si>
  <si>
    <t>Uso de EPP, charlas de riesgos ergonómicos</t>
  </si>
  <si>
    <t>Ginmasia laboral y  PVE Osteomuscular y ergonomico. 
programa de acondicionamiento físico, capacitación en manejo correcto de cargas</t>
  </si>
  <si>
    <t>Valoraciones periodicas con fisioterapeuta</t>
  </si>
  <si>
    <t>Descanso de 10 minutos cada 2 horas. Continuar con PVE osteomuscular y ginmasia laboral</t>
  </si>
  <si>
    <t>PVE osteomuscular. Valoracion de la fisioterapeuta</t>
  </si>
  <si>
    <t>11.7 Caidas diferentes de a nivel o de trabajo en altura</t>
  </si>
  <si>
    <t>11. Locativos</t>
  </si>
  <si>
    <t xml:space="preserve">Trabajos a mas de 1,5 m sobre el nivel del piso </t>
  </si>
  <si>
    <t>11.7 Heridas y/o traumatismos de diversa magnitud y severidad</t>
  </si>
  <si>
    <t>DYN-SGI-RE-082 Permiso de trabajo, DYN-SGI-RE-023 Análisis de trabajo seguro ATS</t>
  </si>
  <si>
    <t>Uso de EPP, charlas de trabajos en alturas</t>
  </si>
  <si>
    <t>Cortaduras superficiales, contusiones</t>
  </si>
  <si>
    <t>Procedimiento operacional. Personal calificado en nivel basico. 
Señalización, Reporte de condiciones inseguras.</t>
  </si>
  <si>
    <t>Uso EPI (uso de equipo para trabajo en alturas de requerirse)</t>
  </si>
  <si>
    <t xml:space="preserve">Inspecciones de seguridad
Programa de Orden y aseo. </t>
  </si>
  <si>
    <t>Plataforma a nivel de la unidad para realizar la actividad</t>
  </si>
  <si>
    <t>Procedimiento operacional. Personal calificado en nivel basico. 
Mantenimiento de accesos y escaleras de unidades,</t>
  </si>
  <si>
    <t>Mantenimiento mecánico a unidades</t>
  </si>
  <si>
    <t xml:space="preserve">Mecánico </t>
  </si>
  <si>
    <t>Mecanico y auxiliares de mantenimiento</t>
  </si>
  <si>
    <t>1.1 Posibilidad de atrapamiento</t>
  </si>
  <si>
    <t xml:space="preserve">1. De Seguridad </t>
  </si>
  <si>
    <t>Atrapamiento de manos con tapa de caja de herramientas de trabajo. Machucon con bloque para asegurar unidad</t>
  </si>
  <si>
    <t>1.1 Heridas y/o traumatismos de diversa magnitud y severidad</t>
  </si>
  <si>
    <t xml:space="preserve">DYN-MNT-PR-001 Procedimientos de mantimiento predictivo, preventivo y correctivo, DYN-MNT-RE-012 Reporte de Unidad, DYN-MNT-RE-013 Notificacion de desperfecto, DYN-MNT-RE-030 Reporte de mantenimiento </t>
  </si>
  <si>
    <t xml:space="preserve">Uso de EPP, charla de prevención de posibilidad de atrapamiento </t>
  </si>
  <si>
    <t>Contusiones, dolor leve, rigidez temporal</t>
  </si>
  <si>
    <t>Procedimiento operacional seguro. Capacitacion de prevencion de accidentes en manos</t>
  </si>
  <si>
    <t>Procedimiento operacional. Capacitacion sobre prevencion de accidentes en manos</t>
  </si>
  <si>
    <t>Uso de guantes de carnaza</t>
  </si>
  <si>
    <t>Inspecciones de seguridad</t>
  </si>
  <si>
    <t xml:space="preserve">1.2 Posibilidad de ser golpeado por objetos que caen o en movimiento. </t>
  </si>
  <si>
    <t>Golpeado o machucon por caida de herramientas de trabajo</t>
  </si>
  <si>
    <t>1.2 Heridas y/o traumatismos de diversa magnitud y severidad</t>
  </si>
  <si>
    <t>Uso de EPP, charla de riesgos mecánicos</t>
  </si>
  <si>
    <t>Procemiento operacional establecido. Inspeccion preoperacional del area.</t>
  </si>
  <si>
    <t xml:space="preserve">Uso  EPI </t>
  </si>
  <si>
    <t>Capacitacion sobre riesgo mecanico. Realizar procedimientos de manera segura</t>
  </si>
  <si>
    <t xml:space="preserve">Uso de EPI </t>
  </si>
  <si>
    <t>1.4 Se utilizan herramientas cortopunzantes.</t>
  </si>
  <si>
    <t xml:space="preserve">Uso de herramientas (llaves expansivas, de cadena, destornillador, pinzas </t>
  </si>
  <si>
    <t>1.4 Heridas y/o traumatismos de diversa magnitud y severidad</t>
  </si>
  <si>
    <t>Uso de EPP. Charlas del uso adecuado de herramientas cortapunzantes</t>
  </si>
  <si>
    <t>Cortes menores</t>
  </si>
  <si>
    <t>Capacitacion sobre prevencion de accidentes en manos y uso de EPI. Inspeccion preoperacional a herramientas</t>
  </si>
  <si>
    <t xml:space="preserve"> Continuar con Capacitacion sobre prevencion de accidentes en manos y uso de EPI. Inspeccion preoperacional a herramientas. Campaña uso de EPI.</t>
  </si>
  <si>
    <t>3.10 Vibraciones cuerpo completo</t>
  </si>
  <si>
    <t>Generada por motor de la unidad durante la prueba de funcionamiento.
Manejo de equipos y herramientas energizadas</t>
  </si>
  <si>
    <t>3.10 Enfermedades crónicas</t>
  </si>
  <si>
    <t>Charla de prevención de riesgos por exposición a vibraciones en el entorno laboral</t>
  </si>
  <si>
    <t>Ligera incomodidad</t>
  </si>
  <si>
    <t>Mantenimiento preventivo a motor de unidades</t>
  </si>
  <si>
    <t>Mantenimiento preventivo a montacarga</t>
  </si>
  <si>
    <t>4.2 Exposición sustancias quimicas toxicas, corrosivas, irritantes, asfixiantes</t>
  </si>
  <si>
    <t>Manipulacion de aceite, grasa.
manejo de fibra de vidrio</t>
  </si>
  <si>
    <t>4.2 Intoxicación, lesiones de diversa magnitud y severidad. Lesiones fatales</t>
  </si>
  <si>
    <t xml:space="preserve">Charlas preventivas de exposición de sustancias químicas tóxicas. Guantes de nitrilo. </t>
  </si>
  <si>
    <t>Inhalación de Gases Tóxicos, Daño a Órganos Internos, Deshidratación y Shock</t>
  </si>
  <si>
    <t>Lavado de manos antes de consumir alimentos y al finalizar la jornada. Garantizar operabilidad de estacion lavaojos. Procedimiento operacional. HMIS III. Tarjetas de emergencia. MSDS disponibles</t>
  </si>
  <si>
    <t>Estacion lavaojos en el area</t>
  </si>
  <si>
    <t>Uso EPI como guantes de nitrilo y gafas de segfuridad, overol manga larga.</t>
  </si>
  <si>
    <t>Charlas de riesgos ergonómicos</t>
  </si>
  <si>
    <t>6.4 Ejecución de 6 o mas movimientos similares en un minuto</t>
  </si>
  <si>
    <t>Movimientos repetitivos</t>
  </si>
  <si>
    <t>6.4 Lesiones osteomusculares de diversa magnitud y severidad</t>
  </si>
  <si>
    <t xml:space="preserve">Pausas activas. Charlas de movimientos repetitivos </t>
  </si>
  <si>
    <t xml:space="preserve">Estrés, fatiga muscular </t>
  </si>
  <si>
    <t>PVE osteomuscular, gimnasia laboral, valoracion de fisioterapeuta</t>
  </si>
  <si>
    <t>Evaluaciones fisioterapeuticas</t>
  </si>
  <si>
    <t>PVE  Osteomuscular.  Pausas activas. Gimnasia laboral. Valoracion de fisioterapeuta. Pausas activas.</t>
  </si>
  <si>
    <t>Gimnasia Laboral. Seguimiento de PVE osteomuscular .  Exámenes Ocupacionales</t>
  </si>
  <si>
    <t>Pausas activas. Charla de posturas prolongadas</t>
  </si>
  <si>
    <t xml:space="preserve">Ginmasia laboral y  PVE Osteomuscular y ergonomico. </t>
  </si>
  <si>
    <t>Camilla con ruedas</t>
  </si>
  <si>
    <t>Caida desde la  plataforma de la unidad
Cambio y/o mantenimiento de luminarias a diferente altura.</t>
  </si>
  <si>
    <t>11.8 Caidas a nivel</t>
  </si>
  <si>
    <t>Pisos resbalosos, objetos en desorden, condiciones locativas, acceso/descenso de escaleras de instalaciones</t>
  </si>
  <si>
    <t>11.8 Heridas y/o traumatismos de diversa magnitud y severidad</t>
  </si>
  <si>
    <t xml:space="preserve">Uso de EPP. Charla de caida de diferentes niveles </t>
  </si>
  <si>
    <t>Transitar por áreas autorizadas, Demarcación y mantenimiento de pisos.   Mantenimiento  a instalaciones</t>
  </si>
  <si>
    <t>Programas de orden y aseo</t>
  </si>
  <si>
    <t xml:space="preserve">Demarcación y  señalizacion de areas.  Avisos de seguridad de piso humedo, etc. Tarjetas de observacion. Inspecciones de seguridad </t>
  </si>
  <si>
    <t>Uso de Calzado antideslizante</t>
  </si>
  <si>
    <t>Programa de Orden y Aseo</t>
  </si>
  <si>
    <t>Mezcla de tratamiento orgánico</t>
  </si>
  <si>
    <t>Mezcla de productos químicos</t>
  </si>
  <si>
    <t>Laboratorista II</t>
  </si>
  <si>
    <t>Supervisor I, auxiliares</t>
  </si>
  <si>
    <t xml:space="preserve">Golpeado o machucon por caida de herramientas o elementos de trabajo. </t>
  </si>
  <si>
    <t>Uso de EPP, charla de riesgos físicos</t>
  </si>
  <si>
    <t>8.3 Jornada de Trabajo</t>
  </si>
  <si>
    <t>8.3 Estrés, desmotivacion, irritabilidad, ansiedad y cansancio</t>
  </si>
  <si>
    <t>Charlas sobre manejo de estrés y motivacion personal.  Actividades deportivas
 Talleres de riesgo psicosocial</t>
  </si>
  <si>
    <t>Encuestas sobre clima laboral.
 Programa de risego psicosocial.</t>
  </si>
  <si>
    <t>3.5 Radiaciones no ionizantes</t>
  </si>
  <si>
    <t>Alta temperatura por radiación solar</t>
  </si>
  <si>
    <t>Fuera del trabajo</t>
  </si>
  <si>
    <t>3.5 Quemaduras de diversa magnitud y severidad. Enfermedades crónicas</t>
  </si>
  <si>
    <t xml:space="preserve">Uso de EPP, charlas de prevención de radiciones no inozantes </t>
  </si>
  <si>
    <t xml:space="preserve">Iirritación ocular temporal </t>
  </si>
  <si>
    <t xml:space="preserve"> Hidratación constante, periodos de descanso a necesidad, ropas adecuadas</t>
  </si>
  <si>
    <t>3.3 Presiones atmosfèricas anormales</t>
  </si>
  <si>
    <t>Equipo y líneas a altas presiones</t>
  </si>
  <si>
    <t>3.3 Lesiones Fatales</t>
  </si>
  <si>
    <t>Uso de EPP, charlas de prevencias de presiones atmosféricas anormales</t>
  </si>
  <si>
    <t>Sensación de mareo</t>
  </si>
  <si>
    <t>Anclaje de lineas de presión, certificaciones de líneas y válvulas de presión</t>
  </si>
  <si>
    <t>Capacitación en manejo de equipos y líneas de presión. AST Mantemiento preventivo a equipos. Verificacion periodica de equipos de presion. Ingreso  restringido.</t>
  </si>
  <si>
    <t>Mantenimiento preventivo</t>
  </si>
  <si>
    <t>Mantener controles:
Anclaje de lineas de presión, certificaciones de líneas y válvulas de presión</t>
  </si>
  <si>
    <t>Mantener controles:
Capacitación en manejo de equipos y líneas de presión. AST Mantemiento preventivo a equipos. Verificacion periodica de equipos de presion. Ingreso  restringido.</t>
  </si>
  <si>
    <t>Ruido generado  por diferentes frentes de trabajo</t>
  </si>
  <si>
    <t>Uso de EPP, charlas de prevención de niveles de ruido</t>
  </si>
  <si>
    <t>Uso EPI (Uso de Proteccción auditiva)</t>
  </si>
  <si>
    <t>Mantener controles:
Instalación de silenciadores en las unidades,  mantenimiento preventivo de equipos</t>
  </si>
  <si>
    <t xml:space="preserve">Mantener controles:
Demarcación de areas y equipos ruidosos, continuar con el programa de Vigilancia Epidemiológica y de Mantenimiento Preventivo de equipos.  </t>
  </si>
  <si>
    <t>Exposicion a sustancias quimicas (aditivos, acidos) perjudiciales para la salud</t>
  </si>
  <si>
    <t>Lavado de manos antes de consumir alimentos y al finalizar la jornada. Garantizar operabilidad de estacion lavaojos. Procedimiento operacional. HMIS III. Tarjetas de emergencia. MSDS disponibles. Demarcacion del area de trabajo</t>
  </si>
  <si>
    <t>Exposicion a gases y vapores emanados por quimicos (acidos)</t>
  </si>
  <si>
    <t>Uso de sustancias o insumos menos agresivos con el trabajador y el medio</t>
  </si>
  <si>
    <t>Uso de sistemas cerrados para paso de cemento a unidades y viceversa</t>
  </si>
  <si>
    <t>MSDS disponible.  Capacitacion en quimicos. HMIS III. PVE quimicos.
AST y procediemientos de trabajo.</t>
  </si>
  <si>
    <t>Uso y mantenimiento de EPI adecuados.</t>
  </si>
  <si>
    <t>Mantener controles:
Uso de sustancias o insumos menos agresivos con el trabajador y el medio</t>
  </si>
  <si>
    <t>Mantener controles:
Uso de sistemas cerrados para paso de cemento a unidades y viceversa</t>
  </si>
  <si>
    <t>Desplazamiento de herramientas y elementos de trabajo. Esfuerzo fisico al adaptar mangueras a la cisterna</t>
  </si>
  <si>
    <t>DYN-LAB-RE-001 Solicitud de prueba, DYN-LAB-RE-002 Laboratorio de fluidos de control y completación de pozos</t>
  </si>
  <si>
    <t>Capacitacion  sobre levantamiento de cargas e higiene postural.  PVE osteomuscular
 Programa de acondicionamiento físico.</t>
  </si>
  <si>
    <t>Sesiones de gimnasia laboral , evaluaciones fisioterapeuticas.
Examenes médicos ocupacionales</t>
  </si>
  <si>
    <t xml:space="preserve">Postura adoptada al adaptar mangueras a l a cisterna </t>
  </si>
  <si>
    <t xml:space="preserve">Uso de EPP, charlas de manejo de mangueras </t>
  </si>
  <si>
    <t xml:space="preserve"> Programa de acondicionamiento físico.
Ginmasia laboral y  PVE Osteomuscular y ergonomico. </t>
  </si>
  <si>
    <t>PVE osteomuscular. Valoracion de la fisioterapeuta.
Examenes médicos ocupacionales</t>
  </si>
  <si>
    <t>Caida desde la cisterna al instalar mangueras para mezcla de quimicos</t>
  </si>
  <si>
    <t>Charlas de caidas de diferentes niveles de altura</t>
  </si>
  <si>
    <t>Uso EPI calzado antideslizante</t>
  </si>
  <si>
    <t>Caida durante desplazamiento de herramientas hasta el area de trabajo</t>
  </si>
  <si>
    <t xml:space="preserve">Uso de EPP, charla de prevención de caidas a nivel </t>
  </si>
  <si>
    <t>13.2 Explosiòn</t>
  </si>
  <si>
    <t>13. Otros Riesgos</t>
  </si>
  <si>
    <t xml:space="preserve">Explosion y/o incendio (por manipulacion de quimicos inflamables) .
 Acumulación de gases y vapores inflamables, chispas. </t>
  </si>
  <si>
    <t>13.2 Lesiones Fatales</t>
  </si>
  <si>
    <t>Uso de EPP, charla deriesgos químicos. Extintores.</t>
  </si>
  <si>
    <t>Irritación respiratoria, desorientación temporal</t>
  </si>
  <si>
    <t>Equipos para extincion de incendio.
Mnatener  ventilación  adecuada e inspeccion al sistema de control de imcemdio.</t>
  </si>
  <si>
    <t>Brigrada de emergencia. Verificacion de equipos. Procedimiento operacional. MSDS disponibles. Capacitacion sobre quimicos</t>
  </si>
  <si>
    <t>Equipos para extincion de incendio.
Mnatener  ventilación  adecuada e inspeccion al sistema de control de imcemdio</t>
  </si>
  <si>
    <t>Brigrada de emergencia. Verificacion de equipos. Procedimiento operacional. Eliminar fuentes de ignicion. MSDS disponibles. HMIS III. Capacitacion sobre manipulacion de quimicos. Matriz de compatibilidad</t>
  </si>
  <si>
    <t xml:space="preserve">Cargue y descargue de materiales o quimicos y movilizacion de  unidades. </t>
  </si>
  <si>
    <t xml:space="preserve">Cargue y descargue de materiales o quimicos  y movilizacion de  unidades. </t>
  </si>
  <si>
    <t xml:space="preserve">Bodeguero
</t>
  </si>
  <si>
    <t>Personal operativo</t>
  </si>
  <si>
    <t>Golpeado por caida de materiales desplazados</t>
  </si>
  <si>
    <t>Certificado para operar operar montacarga. Curso en  manejo defensivo. Mantenimiento preventivo a montacarga. Inspeccion de luz negra a uñas de montacarga. No exceder capacidad de montacarga. Capacitacion en almacenamiento seguro</t>
  </si>
  <si>
    <t>Sirena de alerta de montacarga</t>
  </si>
  <si>
    <t>Uso de gafas contra impactos, botas y casco de seguridad</t>
  </si>
  <si>
    <t>13.1 Delicuencia y desorden pùblico</t>
  </si>
  <si>
    <t>Delincuencia en áreas de operación</t>
  </si>
  <si>
    <t>13.1 Lesiones Fatales</t>
  </si>
  <si>
    <t>DYN-CLO-PR-003 Procedimiento de administracion de bodega</t>
  </si>
  <si>
    <t xml:space="preserve">Contactos de emergencias, charla de prevención de delincuencia y desorden público </t>
  </si>
  <si>
    <t xml:space="preserve"> Pérdidas materiales</t>
  </si>
  <si>
    <t>Continuar con capacitación en manejo del Riesgo publico, instructivo de comportamiento en situaciones de emergencia y de prevención, se desarrolló documento (recomendaciones seguridad en viajes).
Capacitación sobre el riesgo publico, manejo defensivo</t>
  </si>
  <si>
    <t>Mantener controles:
Continuar con capacitación en manejo del Riesgo publico, instructivo de comportamiento en situaciones de emergencia y de prevención, se desarrolló documento (recomendaciones seguridad en viajes).
Capacitación sobre el riesgo publico, manejo defensivo</t>
  </si>
  <si>
    <t xml:space="preserve">4.1 Exposición a material particulado en el puesto de trabajo </t>
  </si>
  <si>
    <t>Material particulado que se genera (por polvo o suciedad de materiales, equipos almacenados). Al desplazar cargar y descargar cemento, arena</t>
  </si>
  <si>
    <t xml:space="preserve">Uso de EPP, charlas de riegos químicos </t>
  </si>
  <si>
    <t>Inspección y mantenimiento duchas y lavaojos</t>
  </si>
  <si>
    <t>Seguimiento mediante PVE Qímico y examenes ocupacionales</t>
  </si>
  <si>
    <t>Mantener controles:
Inspección y mantenimiento duchas y lavaojos</t>
  </si>
  <si>
    <t>Personal certificado en manejo de fluidos
 Descargar tambores con ayuda mecanica
Almacenar químicos teniendo en cuenta la compatibilidad quimica entre sí, 
Ubicar diques para contención de posibles derrames.
Realizar inspecciones frecuentes en el sitio de almacenamiento (tambores, unidades) para detectar posibles fugas</t>
  </si>
  <si>
    <t xml:space="preserve">Uso de elementos de Protección persona (casco, gafas, guantes en lona y/o nitrilo, botas impermeables y/o cuero, protección auditiva), </t>
  </si>
  <si>
    <t xml:space="preserve">DE-P-GA-06 Procedimiento de Manejo y Transporte de Residuos Peligrosos,  DE-R-GA.07 Guía de Remisión de Desechos, DYN-SGI-RE-049 Gerenciamiento Viaje </t>
  </si>
  <si>
    <t>Charlas sobre manejo de estrés y motivacion personal.  
 Talleres de riesgo psicosocial
Analisis de riesgos, permisos de trabajo, vigia para tareas criticas</t>
  </si>
  <si>
    <t>Posicion sentado durante operación de montacarga o movimiento de unidades</t>
  </si>
  <si>
    <t>6.6 Lesiones osteomusculares de diversa magnitud y severidad</t>
  </si>
  <si>
    <t>Pausas activas, charlas de posturas prolongadas</t>
  </si>
  <si>
    <t>Uso de ayudas mecanicas, manipulación adecuada de cargas. AST , Hojas de seguridad</t>
  </si>
  <si>
    <t>Implementación del programa de acondicionamiento físico, capacitación en manejo de cargas</t>
  </si>
  <si>
    <t>Descanso de 10 minutos cada dos horas cuando la posicion prolongada es de pie. Pausas activas. Continuar con PVE osteomuscular y ginmasia laboral. Examenes ocupacionales.</t>
  </si>
  <si>
    <t>Ninguno</t>
  </si>
  <si>
    <t>Curso de Manejo seguro de montacarga</t>
  </si>
  <si>
    <t>11.3 Condiciones del piso</t>
  </si>
  <si>
    <t>El terreno, locaciones</t>
  </si>
  <si>
    <t>11.2 Heridas y/o traumatismos de diversa magnitud y severidad</t>
  </si>
  <si>
    <t xml:space="preserve">Uso de EPP, charlas de condiciones de locaciones </t>
  </si>
  <si>
    <t xml:space="preserve">Estudio de seguridad de la vía, Solicitar codigo de desplazamiento, transitar por área que orezcan seguridad fisica al personal </t>
  </si>
  <si>
    <t>Estudio de seguridad de la vía</t>
  </si>
  <si>
    <t>Solicitar codigo de desplazamiento, transitar por área que orezcan seguridad fisica al personal , En lo posible registrar el estado de la vía(fotografias). Tener presente las condiciones de orden publico.</t>
  </si>
  <si>
    <t>11.2 Condiciones inadecuadas de orden y aseo</t>
  </si>
  <si>
    <t xml:space="preserve">Pisos resbalosos, objetos en desorden, condiciones locativas, acceso/descenso de escaleras de unidades </t>
  </si>
  <si>
    <t xml:space="preserve">Uso de EPP, Charlas de orden y limpieza </t>
  </si>
  <si>
    <t>Señalización, Reporte de condiciones inseguras. Orden y aseo. 
Programa de orden y aseo</t>
  </si>
  <si>
    <t>Inspeciones de seguridad
Programa de orden y aseo</t>
  </si>
  <si>
    <t>Ubicar diques para contención de posibles derrames.</t>
  </si>
  <si>
    <t>Mantener pisos y areas de trabajo libres de agua,  aceite o lodo. Capacitacion sobrre prevencion de accidentes por riesgo locativo</t>
  </si>
  <si>
    <t>Uso EPI
Uso de calzado antideslizante</t>
  </si>
  <si>
    <t>Explosion y/o incendio (Por movilizacion de quimicos inflamables y reactivos)</t>
  </si>
  <si>
    <t>MSDS disponibles. Tarjetas de emergencia. Capacitacion sobre manipulacion y transporte de quimicos. Procedimiento operacional</t>
  </si>
  <si>
    <t>Equipos para extincion de incendio</t>
  </si>
  <si>
    <r>
      <t xml:space="preserve">Reuniones precaravana, señalización de unidades, equipos de manejo de contingencias ambientales, simulacros de derrame.
</t>
    </r>
    <r>
      <rPr>
        <u/>
        <sz val="7"/>
        <rFont val="Arial"/>
        <family val="2"/>
      </rPr>
      <t xml:space="preserve">Mantener controles:
</t>
    </r>
    <r>
      <rPr>
        <sz val="7"/>
        <rFont val="Arial"/>
        <family val="2"/>
      </rPr>
      <t xml:space="preserve">onductores certificados. Manejo defensivo de vehículos. </t>
    </r>
  </si>
  <si>
    <t>Inspecciones vehículares.
Gerenciamiento de viaje</t>
  </si>
  <si>
    <t>13.4 Tránsito</t>
  </si>
  <si>
    <t>Accidente vehicular o colision con otros equipos: Atropellamientos, choques, golpes con maquinas, equipos y herramientas</t>
  </si>
  <si>
    <t>13.4 Lesiones Fatales</t>
  </si>
  <si>
    <t xml:space="preserve">Curso de manejo defensivo, Charla de educación vial </t>
  </si>
  <si>
    <t>Lesiones leves</t>
  </si>
  <si>
    <t>Mantenimiento a unidades.</t>
  </si>
  <si>
    <t>Conductores certificados. Manejo defensivo de vehículos. Gerenciamiento de viajes  Mantenimiento preventivo   a unidades. 
 Analisis de rutas</t>
  </si>
  <si>
    <t xml:space="preserve">LABORATORIO </t>
  </si>
  <si>
    <t>Pruebas de laboratorio</t>
  </si>
  <si>
    <t>Prueba de fluidos y lavado de elementos de trabajo</t>
  </si>
  <si>
    <t xml:space="preserve">Laboratorista I
</t>
  </si>
  <si>
    <t>Ingeniero de Operaciones</t>
  </si>
  <si>
    <t>Golpeado o machucon por caida de cilindros, recipientes o equipos de trabajo</t>
  </si>
  <si>
    <t xml:space="preserve">Uso de EPP, charla de riegos físicos </t>
  </si>
  <si>
    <t xml:space="preserve">Capacitación en manejo de herramientas y prevención de lesiones de mano y LO - TO, mantenimiento de equipos y herramientas.
AST y PT, </t>
  </si>
  <si>
    <t>Uso  EPI (guantes)</t>
  </si>
  <si>
    <t>Inspecciones de seguridad 
Programa de control del riesgo mecánico</t>
  </si>
  <si>
    <t xml:space="preserve">Mantener controles:
Capacitación en manejo de herramientas y prevención de lesiones de mano y LO - TO, mantenimiento de equipos y herramientas.
AST y PT, </t>
  </si>
  <si>
    <t>1.3 Se utilizan equipos o herramientas que proyectan partículas</t>
  </si>
  <si>
    <t xml:space="preserve">
Manejo de equipos de laboratorio energizados</t>
  </si>
  <si>
    <t xml:space="preserve">1.3 Lesiones por cuerpo extraño </t>
  </si>
  <si>
    <t>Uso de EPP, charla del uso correcto de equipos de laboratorista</t>
  </si>
  <si>
    <t>Irritación ocular, incomodidad respiratoria</t>
  </si>
  <si>
    <t xml:space="preserve">Guardas y sistemas de seguridad de equipos. </t>
  </si>
  <si>
    <t>Riesgo de cortadura con aspas de speed mixer al lavarlo despues de la mezcla</t>
  </si>
  <si>
    <t>Uso de EPP, charla de uso de herramienas cortopunzantes</t>
  </si>
  <si>
    <t>2.3 Baja tensión</t>
  </si>
  <si>
    <t>2. Eléctrico</t>
  </si>
  <si>
    <t xml:space="preserve">Equipos prueba </t>
  </si>
  <si>
    <t>2.3 Lesiones Fatales</t>
  </si>
  <si>
    <t xml:space="preserve">Uso de EPP, señalización de seguridad, chara de riesgos eléctricos </t>
  </si>
  <si>
    <t>Sensación de hormigueo</t>
  </si>
  <si>
    <t>Mantenimiento preventivo a equipos y a redes electricas. Stop Work. Paradas de emergencia</t>
  </si>
  <si>
    <t>Mantenimiento a equipos y a redes electricas. Stop Work. Inspeccion preoperacional. Capacitacion en riesgo electrico. Paradas de emergencia</t>
  </si>
  <si>
    <t>Mantenimiento preventivo a equipos</t>
  </si>
  <si>
    <t>Procesos para análisis de químicos
Alta presion durante prueba de cementacion</t>
  </si>
  <si>
    <t>Mantenimiento de equipos de laboratorio. Lineas de presion aisladas. Verificacion periodica de equipos de presion. Ingreso  restringido.
AST y Procedimientos operativos</t>
  </si>
  <si>
    <t xml:space="preserve">Seguimiento mediante programa de Mantenimiento preventivo 
certificación de líneas de presión </t>
  </si>
  <si>
    <t>Mantener controles:
Mantenimiento de equipos de laboratorio. Lineas de presion aisladas. Verificacion periodica de equipos de presion. Ingreso  restringido.
AST y Procedimientos operativos</t>
  </si>
  <si>
    <t>3.1 Iluminación deficiente</t>
  </si>
  <si>
    <t xml:space="preserve">Iluminacion deficiente </t>
  </si>
  <si>
    <t>3.1 Fatiga visual. Generación de accidentes</t>
  </si>
  <si>
    <t>Mantenimiento de luminarias, luces de emergencias</t>
  </si>
  <si>
    <t>Fatija visual, reducción en la productividad</t>
  </si>
  <si>
    <t xml:space="preserve">Cambio en el tipo de luminarias de acuerdo con programa de mtto. </t>
  </si>
  <si>
    <t xml:space="preserve">Reubicación de luminarias </t>
  </si>
  <si>
    <t>Programa de mtto. De redes y equipos eléctricos. Limpieza de luminarias</t>
  </si>
  <si>
    <t>Control optométrico anual y cambio de lentes de acuerdo a diagnostico medico.</t>
  </si>
  <si>
    <t>Mediciones de higiene.
Evaluación optométrica del personal  en exámenes periódicos</t>
  </si>
  <si>
    <t xml:space="preserve">Mantener controles:
Cambio en el tipo de luminarias de acuerdo con programa de mtto. </t>
  </si>
  <si>
    <t xml:space="preserve">Mantener controles:
Reubicación de luminarias </t>
  </si>
  <si>
    <t>Mantener controles:
Programa de mtto. De redes y equipos eléctricos. Limpieza de luminarias</t>
  </si>
  <si>
    <t>Mantener controles:
Control optométrico anual y cambio de lentes de acuerdo a diagnostico medico.</t>
  </si>
  <si>
    <t xml:space="preserve">Uso de Proteccción auditiva, </t>
  </si>
  <si>
    <t>Evaluación audiométrica del personal  en exámenes periódicos</t>
  </si>
  <si>
    <t>3.7 Temperaturas extremas : calor</t>
  </si>
  <si>
    <t>Superficies y fluidos calientes (durante pruebas de cementacion, estimulacion y fractura)</t>
  </si>
  <si>
    <t>3.7 Deshidratación, golpe de calor. Quemaduras de diversa magnitud y severidad.</t>
  </si>
  <si>
    <t>Uso de EPP, pausas activas, hidratación, charlas ante el cambio climático</t>
  </si>
  <si>
    <t>Agotamiento por calor, deshidratación</t>
  </si>
  <si>
    <t>Exposicion a sustancias quimicas (aditivos, acidos) perjudiciales para la salud. Contacto con objetos contaminados con quimicos (durante lavado de elementos de trabajo)</t>
  </si>
  <si>
    <t>Uso de EPP, charla de exposición de sustancias quimicas</t>
  </si>
  <si>
    <t xml:space="preserve">Ventilacion mecanica </t>
  </si>
  <si>
    <t xml:space="preserve">Exposicion a gases y vapores emanados por quimicos </t>
  </si>
  <si>
    <t xml:space="preserve">Campanas extractoras. </t>
  </si>
  <si>
    <t>Extractor de gases y vapores en el area</t>
  </si>
  <si>
    <t>Programa de acondicionamiento físico.
Capacitacion  sobre levantamiento de cargas e higiene postural.  PVE osteomuscular</t>
  </si>
  <si>
    <t>Sesiones de gimnasia laboral , evaluaciones fisioterapeuticas.
Seguimiento de PVE osteomuscular .  Exámenes Ocupacionales</t>
  </si>
  <si>
    <t>Movimientos repetitivos (durante lavado de materiales)</t>
  </si>
  <si>
    <t>MANTENIMIENTO</t>
  </si>
  <si>
    <t>Base Quito - Coca - Campo</t>
  </si>
  <si>
    <t>Actividades generales en taller</t>
  </si>
  <si>
    <t>Todas las actividades</t>
  </si>
  <si>
    <t>Jefe de Taller</t>
  </si>
  <si>
    <t>Todos los cargos</t>
  </si>
  <si>
    <t>Caida de luminarias u objetos del entorno</t>
  </si>
  <si>
    <t>Uso de EPP, charlas de riegos mecánicos</t>
  </si>
  <si>
    <t>Manteniminento a instalaciones.</t>
  </si>
  <si>
    <t>Mantenimiento a instalaciones</t>
  </si>
  <si>
    <t>Falta de mantenimiento de luminarias</t>
  </si>
  <si>
    <t>Mediciones de higiene</t>
  </si>
  <si>
    <t>Radiacion solar</t>
  </si>
  <si>
    <t>Uso de protector solar</t>
  </si>
  <si>
    <t>Adecuacion de zona de pintura</t>
  </si>
  <si>
    <t xml:space="preserve">DYN-MNT-PR-001 Procedimientos de mantimiento predictivo, preventivo y correctivo, DYN-MNT-RE-030 Reporte de mantenimiento </t>
  </si>
  <si>
    <t>Aislamiento de areas criticas (lavado de ejes y lavado de partes)</t>
  </si>
  <si>
    <t>3.11 Cambios bruscos de temperatura</t>
  </si>
  <si>
    <t>Al entrar o salir al area area administrativa</t>
  </si>
  <si>
    <t>3.11 Afecciones respiratorias de diversa magnitud, cefaleas.</t>
  </si>
  <si>
    <t>Uso de EPP, pausas activas, hidratación,  charlas ante el cambio climático</t>
  </si>
  <si>
    <t>Transpiración ligera</t>
  </si>
  <si>
    <t>Mantenimiento preventivo a aire acondicionado</t>
  </si>
  <si>
    <t>Regular la temperatura de area administrativa</t>
  </si>
  <si>
    <t>Presencia de avispas, reptiles e insectos</t>
  </si>
  <si>
    <t>5.1 Enfermedades crónicas. Lesiones fatales</t>
  </si>
  <si>
    <t>Esquema de vacunacion</t>
  </si>
  <si>
    <t>Inspeccion del area</t>
  </si>
  <si>
    <t>Programa de orden y asel</t>
  </si>
  <si>
    <t>Realizar inspeccion periodicas al area y a los alrededores para identificar presencia de avispas. Realizar inspeccion a equipos especialmente variadores cuando llegan de pozo</t>
  </si>
  <si>
    <t>Inspecciones</t>
  </si>
  <si>
    <t xml:space="preserve">Rigurosidad o exigendcia de la labor </t>
  </si>
  <si>
    <t>Actividades de contratistas</t>
  </si>
  <si>
    <t xml:space="preserve">Recoleccion de residuos </t>
  </si>
  <si>
    <t>Jefe de QHSE</t>
  </si>
  <si>
    <t>Personal Contratista</t>
  </si>
  <si>
    <t>Recipientes, paquetes u otros objetos del entorno</t>
  </si>
  <si>
    <t>DYN-PMP-PR-007 Procedimiento de almacenamiento de químicos</t>
  </si>
  <si>
    <t xml:space="preserve">Uso de EPP, charla de riesgos mecánicos </t>
  </si>
  <si>
    <t>Aplicación del Instructivo uso de elementos de proteccion personal.</t>
  </si>
  <si>
    <t xml:space="preserve">Uso de Casco, gafas contra impactos, guantes y botas de seguridad. Capacitacion  uso de EPI. </t>
  </si>
  <si>
    <t>Seguimiento a contratistas.</t>
  </si>
  <si>
    <t>Seguimiento a la aplicación del Instructivo uso de elementos de proteccion personal por parte del personal.</t>
  </si>
  <si>
    <t>Seguimiento mediante procedimiento de contratisatas</t>
  </si>
  <si>
    <t xml:space="preserve">Uso de protector solar  y oberol. </t>
  </si>
  <si>
    <t xml:space="preserve">Verificar el uso de protector solar  y oberol. </t>
  </si>
  <si>
    <t>Residuos</t>
  </si>
  <si>
    <t>Aplicación de Procedimiento operacional.</t>
  </si>
  <si>
    <t>Proteccion respiratoria</t>
  </si>
  <si>
    <t>Verificar el  uso de proteccion respiratoria</t>
  </si>
  <si>
    <t xml:space="preserve">Aplicación de Instructivo uso de EPI. </t>
  </si>
  <si>
    <t>Uso de Casco, gafas, botas de seguridad, respidadores contra gases y vapores. Capacitacion en riesgo quimico y uso de EPI</t>
  </si>
  <si>
    <t>6.2 Lesiones osteomusculares de diversa magnitud y severidad</t>
  </si>
  <si>
    <t>Gimnasia laboral. Capacitacion sobre manejo de cargas.
PVE osteomuscular. Valoracion de fisioterapeuta. Examenes ocupacionales.</t>
  </si>
  <si>
    <t>Seguimiento a activdades implementadas:
Gimnasia laboral. Capacitacion sobre manejo de cargas.
PVE osteomuscular. Valoracion de fisioterapeuta. Examenes ocupacionales.</t>
  </si>
  <si>
    <t>Configuración de sitios de almacenamiento de residuos</t>
  </si>
  <si>
    <t>Presencia de piezas, chatarra etc.</t>
  </si>
  <si>
    <t>Programas de orden y aseo, Señalizacion y demarcacion de areas. Mantenimiento a las instalaciones. Señal de piso mojado.</t>
  </si>
  <si>
    <t xml:space="preserve"> Uso de botas de seguridad y casco</t>
  </si>
  <si>
    <t>Mantener controles:
Seguimiento al programas de orden y aseo. Inspección de áreas. Señalizacion y demarcacion de areas. Mantenimiento a las instalaciones. Señal de piso mojado.</t>
  </si>
  <si>
    <t>Seguimiento al uso de botas de seguridad y casco</t>
  </si>
  <si>
    <t>Estado de las instalaciones, desplazamiento por escaleras</t>
  </si>
  <si>
    <t xml:space="preserve"> Personal calificado en nivel basico. Procedimiento operacional.</t>
  </si>
  <si>
    <t>Mantener controles:
Seguimiento a la calificación de personal contratista en nivel básico
Procedimiento operacional.</t>
  </si>
  <si>
    <t>Seguridad Fisica</t>
  </si>
  <si>
    <t>Personal Contratista: Vigilante</t>
  </si>
  <si>
    <t>Al desplazarse por el area de taller</t>
  </si>
  <si>
    <t>DYN-SGI-PR-005 Procedimiento Inspecciones seguridad salud</t>
  </si>
  <si>
    <t xml:space="preserve">Uso de EPP, charlas de riesgos mecánicos </t>
  </si>
  <si>
    <t>Demarcacion y señalizacion de areas.</t>
  </si>
  <si>
    <t xml:space="preserve">Uso de Casco y gafas contra impactos. </t>
  </si>
  <si>
    <t>Mantener controles:
Seguimiento a la demarcación y señalización del área para transito del personal y al uso de EPI.</t>
  </si>
  <si>
    <t>Uso de EPI</t>
  </si>
  <si>
    <t>NO</t>
  </si>
  <si>
    <t xml:space="preserve"> mantenimiento, inspeccion periodica del arma.</t>
  </si>
  <si>
    <t>Fracturas y contusiones, Amputaciones</t>
  </si>
  <si>
    <t xml:space="preserve">Capacitacion en armas de fuego por parte del contratista y riesgos propios del cargo. Salvo conducto y reglamentacion al dia. 
Capacitación en riesgo Publico </t>
  </si>
  <si>
    <t xml:space="preserve">Uso de funta para guardar el arma, uso de seguro. </t>
  </si>
  <si>
    <t>Mantener controles:
Capacitacion en armas de fuego por parte del contratista y riesgos propios del cargo. Salvo conducto y reglamentacion al dia. 
Capacitación en riesgo Publico</t>
  </si>
  <si>
    <t>Pisos lisos o resbalosos</t>
  </si>
  <si>
    <t xml:space="preserve">Uso de EPP, charlas de caidas a diferentes niveles </t>
  </si>
  <si>
    <t xml:space="preserve"> Programas de orden y aseo, Señalizacion y demarcacion de areas. Mantenimiento a las instalaciones. Señal de piso mojado.</t>
  </si>
  <si>
    <t>Uso de calzado antideslizante.</t>
  </si>
  <si>
    <t>Mantener controles: 
Programas de orden y aseo, Señalizacion y demarcacion de areas. Mantenimiento a las instalaciones. Señal de piso mojado.</t>
  </si>
  <si>
    <t>Uso de EPP, charlas de trabajos en altura</t>
  </si>
  <si>
    <t>Uso de calzado antideslizante.
Cinta antideslizante en escaleras. 
 Mantenimiento de instalaciones.</t>
  </si>
  <si>
    <t>Mantener controles: 
Uso de calzado antideslizante.
Cinta antideslizante en escaleras. 
 Mantenimiento de instalaciones.</t>
  </si>
  <si>
    <t>Posicion de pie por extensas jornadas</t>
  </si>
  <si>
    <t>Uso de EPP, Charlas de riesgos ergonómicos</t>
  </si>
  <si>
    <t>Gimnasia laboral. Capacitacion sobre higiene postural.
 PVE osteomuscular. Valoracion de fisioterapeuta. Examenes ocupacionales. Descanso de 10 minutos cada 2 horas.</t>
  </si>
  <si>
    <t>Mantener controles: 
Gimnasia laboral. Capacitacion sobre higiene postural.
 PVE osteomuscular. Valoracion de fisioterapeuta. Examenes ocupacionales. Descanso de 10 minutos cada 2 horas.</t>
  </si>
  <si>
    <t>Aseo de taller</t>
  </si>
  <si>
    <t>Técnico de
Taller</t>
  </si>
  <si>
    <t>Personal Contratista: Servicios generales</t>
  </si>
  <si>
    <t>Objetos del entorno (taller)</t>
  </si>
  <si>
    <t>Aplicación de  Instructivo uso EPI.</t>
  </si>
  <si>
    <t>Uso de Casco, gafas contra impactos y botas de seguridad. Capacitacion  uso de EPI. Inspeccion del area antes de realizar la actividad.</t>
  </si>
  <si>
    <t>Mantener controles: 
Seguimiento a la aplicación de  Instructivo uso EPI.</t>
  </si>
  <si>
    <t>Polvo acumulado en pisos</t>
  </si>
  <si>
    <t xml:space="preserve">Uso de EPP, charlas de riesgos químicos </t>
  </si>
  <si>
    <t xml:space="preserve">Procedimiento  operacional. </t>
  </si>
  <si>
    <t>Uso de tapabocas y gafas de seguridad. Capacitación en Uso de EPI</t>
  </si>
  <si>
    <t xml:space="preserve">Mantener controles:
Procedimiento  operacional. </t>
  </si>
  <si>
    <t>Punch, residuos liquidos del pozo o crudo</t>
  </si>
  <si>
    <t>Uso de EPP, charlas de riesgos químicos</t>
  </si>
  <si>
    <t xml:space="preserve"> Estacion lavaojos en el área.</t>
  </si>
  <si>
    <t>Garantizar operabilidad de la estacion lavaojos. HMIS III. MSDS.</t>
  </si>
  <si>
    <t xml:space="preserve">Uso de guantes de nitrilo, Botas y gafas de seguridad y oberol. Lavarse manos y cara antes de las pausas y de consumir algun alimento y al finalizar la jornada de trabajo. Capacitacion en manejo de productos quimicos. </t>
  </si>
  <si>
    <t>Mantener controles:
Garantizar operabilidad de la estacion lavaojos. HMIS III. 
Verificar que se mantengan actualizadas las MSDS.</t>
  </si>
  <si>
    <t>Movimiento de elementos durante el barrido</t>
  </si>
  <si>
    <t xml:space="preserve"> PVE osteomuscular.  Prodecimiento seguro.
 Gimnasia laboral. Capacitacion sobre manejo de cargas.</t>
  </si>
  <si>
    <t>Mantener controles:
Seguimiento a
 PVE osteomuscular.  Prodecimiento seguro.
 Gimnasia laboral. Capacitacion sobre manejo de cargas.</t>
  </si>
  <si>
    <t>Durante el barrido</t>
  </si>
  <si>
    <t xml:space="preserve"> PVE osteomuscular.  Valoracion de fisioterapeuta. Examenes ocupacionales.
Gimnasia laboral. Capacitacion sobre manejo de cargas.</t>
  </si>
  <si>
    <t>Mantener controles:
Seguimiento a
 PVE osteomuscular.  Valoracion de fisioterapeuta. Examenes ocupacionales.
Gimnasia laboral. Capacitacion sobre manejo de cargas.</t>
  </si>
  <si>
    <t>Postura adoptada al realizar la actividad y de pie por extensas jornadas</t>
  </si>
  <si>
    <t xml:space="preserve"> PVE osteomuscular. Descanso de 10 minutos cada 2 horas.
Gimnasia laboral. Capacitacion sobre higiene postural.</t>
  </si>
  <si>
    <t>Mantener controles:
Seguimiento a
 PVE osteomuscular. Descanso de 10 minutos cada 2 horas.
Gimnasia laboral. Capacitacion sobre higiene postural.</t>
  </si>
  <si>
    <t>Pisos lisos o resbalosos y/o derrames de aceite</t>
  </si>
  <si>
    <t>11.3 Heridas y/o traumatismos de diversa magnitud y severidad</t>
  </si>
  <si>
    <t>Uso de EPP,charlas de orden y limpieza</t>
  </si>
  <si>
    <t xml:space="preserve">Programas de orden y aseo, Señalizacion y demarcacion de areas. Mantenimiento a las instalaciones. </t>
  </si>
  <si>
    <t xml:space="preserve">Mantener controles:
Seguimiento a
Programas de orden y aseo, Señalizacion y demarcacion de areas. Mantenimiento a las instalaciones. </t>
  </si>
  <si>
    <t xml:space="preserve">Aseo de area administrativa </t>
  </si>
  <si>
    <t xml:space="preserve">Asistente
Administrativo
</t>
  </si>
  <si>
    <t xml:space="preserve">Uso de EPP, charla de riesgo mecánico </t>
  </si>
  <si>
    <t xml:space="preserve">Uso de EPP, charla de riesgo químico </t>
  </si>
  <si>
    <t>4.3 Exposición sustancias quimicas  no toxicas, corrosivas, irritantes ni asfixiantes</t>
  </si>
  <si>
    <t>desmanchador, detergente y liquidos de limpieza</t>
  </si>
  <si>
    <t>4.3 Heridas y/o traumatismos de diversa magnitud y severidad</t>
  </si>
  <si>
    <t>Capacitación en  manejo de productos  químicos. HMIS III. MSDS.</t>
  </si>
  <si>
    <t>Mantener controles:
Capacitacion en manejo de productos quimicos. HMIS III. 
Verificar que se mantengan actualizadas las MSDS.</t>
  </si>
  <si>
    <t xml:space="preserve">Uso de guantes de nitrilo, Botas y gafas de seguridad y oberol. Lavarse manos y cara antes de las pausas y de consumir algun alimento y al finalizar la jornada de trabajo. </t>
  </si>
  <si>
    <t xml:space="preserve">Uso de EPP, charla de riesgos ergonómicos </t>
  </si>
  <si>
    <t xml:space="preserve"> PVE osteomuscular.  Prodecimiento seguro.
 Gimnasia laboral. Capacitacion sobre manejo de cargas.
  Valoracion de fisioterapeuta. Examenes ocupacionales.</t>
  </si>
  <si>
    <t>Mantener controles:
Seguimiento a
  PVE osteomuscular.  Prodecimiento seguro.
 Gimnasia laboral. Capacitacion sobre manejo de cargas.
  Valoracion de fisioterapeuta. Examenes ocupacionales.</t>
  </si>
  <si>
    <t xml:space="preserve">Uso de EPP, charla de orden y limpieza </t>
  </si>
  <si>
    <t>Al bajar o subir por las escaleras</t>
  </si>
  <si>
    <t xml:space="preserve">Uso de EPP, charla de riesgos físicos </t>
  </si>
  <si>
    <t>Garantizar cinta antideslizante en escaleras. Mantenimiento a instalaciones.</t>
  </si>
  <si>
    <t>Uso de calzado antideslizante</t>
  </si>
  <si>
    <t>Mantener controles:
Verificar  que se cuente con cinta antideslizante en escaleras en buen estado. 
Mantenimiento a instalaciones.</t>
  </si>
  <si>
    <t>Cafeteria
Limpieza General</t>
  </si>
  <si>
    <t xml:space="preserve">Asistente tecnico
Administrativo
</t>
  </si>
  <si>
    <t xml:space="preserve"> Recipientes o elementos de cocina</t>
  </si>
  <si>
    <t>Almacenamiento adecuado de materiales, fijación de estantes.
Reportar condiciones inadecuadas de almacenamiento de materiales y condiciones de orden y aseo.</t>
  </si>
  <si>
    <t>Uso de Casco, gafas y botas de seguridad. Capacitacion  uso de EPI</t>
  </si>
  <si>
    <t>Mantener controles:
Almacenamiento adecuado de materiales, fijación de estantes.
Reportar condiciones inadecuadas de almacenamiento de materiales y condiciones de orden y aseo.</t>
  </si>
  <si>
    <t>Herramientas cortopunzantes (cuchillo)</t>
  </si>
  <si>
    <t xml:space="preserve"> Inspeccion de herramientas. Capacitacion sobre prevencion de accidentes en manos.
</t>
  </si>
  <si>
    <t>Mantener controles:
 Inspeccion de herramientas. Capacitacion sobre prevencion de accidentes en manos.</t>
  </si>
  <si>
    <t>Alimentos calientes</t>
  </si>
  <si>
    <t xml:space="preserve">Desplazamiento de alimentos en carrito con bandeja de contencion. </t>
  </si>
  <si>
    <t>Control a contratista.</t>
  </si>
  <si>
    <t>5.3 Manipulación de alimentos</t>
  </si>
  <si>
    <t>Alimentos
Labores propias de aseo y orden en el servicio sanitario.</t>
  </si>
  <si>
    <t>5.3 Enfermedades transmitidas por alimentos</t>
  </si>
  <si>
    <t>Uso de EPP, charlas de riegos biológicos</t>
  </si>
  <si>
    <t>Salmonelosis</t>
  </si>
  <si>
    <t>Capacitación riesgo biológico</t>
  </si>
  <si>
    <t>Sanitización diaria de servicios higiénicos y  urinarios</t>
  </si>
  <si>
    <t>Elementos de cafeteria</t>
  </si>
  <si>
    <t>PVE osteomuscular.  
Gimnasia laboral. Capacitacion sobre manejo de carga.s Programa de acondicionamiento físico.</t>
  </si>
  <si>
    <t>Control a contratista.
Sesiones de gimnasia laboral , evaluaciones fisioterapeuticas.</t>
  </si>
  <si>
    <t>Mantener controles:
Seguimiento a
PVE osteomuscular.  
Gimnasia laboral. Capacitacion sobre manejo de cargas</t>
  </si>
  <si>
    <t xml:space="preserve">Uso de calzado antideslizante. </t>
  </si>
  <si>
    <t>Al bajar o subir recipientes, alimentos, losa
Uso de escaleras de 3 pasos.</t>
  </si>
  <si>
    <t xml:space="preserve">Uso de EPP, charlas de riegos de caidas a diferente nivel </t>
  </si>
  <si>
    <t>Cambio, instalacion  y limpieza de luminarias</t>
  </si>
  <si>
    <t>Personal Contratista: Mantenimiento locativo</t>
  </si>
  <si>
    <t>Herramientas o elementos de trabajo</t>
  </si>
  <si>
    <t xml:space="preserve">Uso de EPP, charlas de riesgos mecánico </t>
  </si>
  <si>
    <t>Instructivo uso de elementos de proteccion personal.</t>
  </si>
  <si>
    <t>Uso de Casco, gafas contra impactos, guantes y botas de seguridad. Capacitacion  uso de EPI</t>
  </si>
  <si>
    <t>Mantener controles:
Seguimiento a
Instructivo uso de elementos de proteccion personal.</t>
  </si>
  <si>
    <t>Herramientas de trabajo</t>
  </si>
  <si>
    <t xml:space="preserve">Procedimiento operacional.
. Capacitacion sobre prevencion de accidentes en manos y uso de EPI. Inspeccion preoperacional a herramientas. </t>
  </si>
  <si>
    <t xml:space="preserve"> Uso de EPI</t>
  </si>
  <si>
    <t xml:space="preserve">Mantener controles:
Seguimiento a
Procedimiento operacional.
. Capacitacion sobre prevencion de accidentes en manos y uso de EPI. Inspeccion preoperacional a herramientas. </t>
  </si>
  <si>
    <t>Instalaciones electricas</t>
  </si>
  <si>
    <t xml:space="preserve">Uso de EPP, charla de riesgos elécticos </t>
  </si>
  <si>
    <t xml:space="preserve">Mantenimiento preventivo a redes electricas. Paradas de emergencia. Procedimiento operacional.
 Capacitacion en riesgo electrico. Inspeccion preoperacional. </t>
  </si>
  <si>
    <t>Uso de casco de dielectrico y botas de seguridad.</t>
  </si>
  <si>
    <t>Mantener controles:
Seguimiento a
Mantenimiento preventivo a redes electricas. Paradas de emergencia. Procedimiento operacional.
 Capacitacion en riesgo electrico. Inspeccion preoperacional. 
Aplicación de Bloqueo y etiquetado</t>
  </si>
  <si>
    <t>Polvo acumulado en instalaciones</t>
  </si>
  <si>
    <t>Uso de EPP, charla de riesgos químicos</t>
  </si>
  <si>
    <t xml:space="preserve">Aplicación de Procedimiento  operacional. </t>
  </si>
  <si>
    <t xml:space="preserve"> Uso de tapabocas y gafas de seguridad. Capacitación en Uso de EPI</t>
  </si>
  <si>
    <t xml:space="preserve">Mantener controles:
Seguimiento a
Aplicación de Procedimiento  operacional. </t>
  </si>
  <si>
    <t>Postura adoptada al realizar la actividad</t>
  </si>
  <si>
    <t xml:space="preserve">PVE osteomuscular. 
Gimnasia laboral. Capacitacion sobre higiene postural. </t>
  </si>
  <si>
    <t xml:space="preserve">Mantener controles:
Seguimiento a
PVE osteomuscular. 
Gimnasia laboral. Capacitacion sobre higiene postural. </t>
  </si>
  <si>
    <t>pisos lisos o resbalosos</t>
  </si>
  <si>
    <t xml:space="preserve">Uso de EPP, charlas de riesgos físicos </t>
  </si>
  <si>
    <t xml:space="preserve"> Uso de calzado antideslizante. </t>
  </si>
  <si>
    <t>Mantener controles:
Seguimiento a
 Programas de orden y aseo, Señalizacion y demarcacion de areas. Mantenimiento a las instalaciones. Señal de piso mojado.</t>
  </si>
  <si>
    <t>trabajo en altura</t>
  </si>
  <si>
    <t xml:space="preserve"> Inspeccion preoperacional a elementos de proteccion personal. Capacitacion y certificado de trabajo en alturas Permiso de trabajo.</t>
  </si>
  <si>
    <t xml:space="preserve"> Uso de casco para trabajo en alturas, arnes y linea de vida.</t>
  </si>
  <si>
    <t>Mantener controles:
Seguimiento a
 Inspeccion preoperacional a elementos de proteccion personal. Capacitacion y certificado de trabajo en alturas Permiso de trabajo.</t>
  </si>
  <si>
    <t>Mantenimiento de Equipos mayores (Puente grúa, montacargas etc.)</t>
  </si>
  <si>
    <t>Uso de EPP, charla de riesgo mecánicos</t>
  </si>
  <si>
    <t>Instalaciones electricas de equipos</t>
  </si>
  <si>
    <t xml:space="preserve">Uso de EPP, charla de riegos químicos </t>
  </si>
  <si>
    <t>Grasas, lubricantes</t>
  </si>
  <si>
    <t>Contar con MSDS actualizadas. Garantizar operabilidad de estacion lava ojos.
 Capacitacion en manipulacion de quimicos.</t>
  </si>
  <si>
    <t xml:space="preserve"> Uso de guantes y gafas.</t>
  </si>
  <si>
    <t>Mantener controles:
Contar con MSDS actualizadas. Garantizar operabilidad de estacion lava ojos.
 Capacitacion en manipulacion de quimicos.</t>
  </si>
  <si>
    <t>13.3 Incendio</t>
  </si>
  <si>
    <t>Elementos eléctricos y presencia de combustibles</t>
  </si>
  <si>
    <t>13.3 Lesiones Fatales</t>
  </si>
  <si>
    <t>Irritación respiratoria, ojos irritados, quemaduras menores</t>
  </si>
  <si>
    <t>Desenergización bloqueo y etiquetado</t>
  </si>
  <si>
    <t xml:space="preserve"> Verificar la realización de pruebas de rigidez dieléctrica a los guantes dieléctricos. Verificación de ausencia de tensión con equipo calibrado. Permiso de Trabajo.</t>
  </si>
  <si>
    <t xml:space="preserve">Uso de Guantes Dieléctricos. </t>
  </si>
  <si>
    <t>Seguimiento a:
Desenergización bloqueo y etiquetado</t>
  </si>
  <si>
    <t>Mantener controles: 
Verificar la realización de pruebas de rigidez dieléctrica a los guantes dieléctricos. Verificación de ausencia de tensión con equipo calibrado. Permiso de Trabajo.
Capacitación en bloqueo y etiquetado</t>
  </si>
  <si>
    <t>Mantenimiento de Infraestructura (muros, techo, puertas, skimmer, tanque de almacenamiento de agua, canales de agua, pintura general, etc.)</t>
  </si>
  <si>
    <t xml:space="preserve">DYN-MNT-PR-001 Procedimientos de mantimiento predictivo, preventivo y correctivo, DYN-MNT-RE-013 Notificacion de desperfecto, DYN-MNT-RE-030 Reporte de mantenimiento </t>
  </si>
  <si>
    <t>DYN-MNT-PR-001 Procedimientos de mantimiento predictivo, preventivo y correctivo, DYN-MNT-RE-013 Notificacion de desperfecto, DYN-MNT-RE-030 Reporte de mantenimiento , DYN-SGI-PR-005 Procedimiento Inspecciones seguridad salud</t>
  </si>
  <si>
    <t xml:space="preserve">Uso de EPP, Inspección de unidades, charla de riesgos eléctricos </t>
  </si>
  <si>
    <t>Pinturas</t>
  </si>
  <si>
    <t xml:space="preserve"> Uso de protección respiratoria, guantes y gafas.</t>
  </si>
  <si>
    <t>Mantener controles:
Contar con MSDS actualizadas. Garantizar operabilidad de estacion lava ojos.
 Capacitacion en manipulacion de quimicos y uso de protección respiratoria.</t>
  </si>
  <si>
    <t xml:space="preserve"> Uso de protección respiratoria,  guantes y gafas.</t>
  </si>
  <si>
    <t>Uso de EPP, charla de orden y limpieza, arnés, línea de vida</t>
  </si>
  <si>
    <t>13.6 Trabajos en espacios confinados</t>
  </si>
  <si>
    <t>Lavado de tanque de agua</t>
  </si>
  <si>
    <t>13.6 Lesiones Fatales</t>
  </si>
  <si>
    <t>Uso de EPP, charla de espacios confinados</t>
  </si>
  <si>
    <t>Falta de ventilación</t>
  </si>
  <si>
    <t xml:space="preserve"> Permiso de Trabajo. Procedimiento operacional. Realizar actividad con vigia. Mediciones de atmosfera.</t>
  </si>
  <si>
    <t>Uso de linea con suministro de oxigeno y linea de vida.</t>
  </si>
  <si>
    <t>Mantener controles:
 Permiso de Trabajo. Procedimiento operacional. Realizar actividad con vigia. Mediciones de atmosfera.
Aplicación de procedimiento para espacios confinados</t>
  </si>
  <si>
    <t>Equipos eléctricos y equipos que puden ser generadores de ignición y presencia de combustibles</t>
  </si>
  <si>
    <t xml:space="preserve">Uso de EPP, charla de riesgos químicos </t>
  </si>
  <si>
    <t xml:space="preserve"> Iluminacion antichispa.</t>
  </si>
  <si>
    <t>Inspeccion preoperacional a equipo y a redes electricas.  Procedimiento seguro. Mantenimiento periodico a equipos y redes electricas. Almacenamiento adecuado de quimicos. Matriz de compatibilidad de quimicos. Plan de emergencias. Capacitacion en emergencias. Brigadas de emergencias. Señalizacion de rutas de evacuacion.</t>
  </si>
  <si>
    <t>Mantener controles:
Inspeccion preoperacional a equipo y a redes electricas.  Procedimiento seguro. Mantenimiento periodico a equipos y redes electricas. Almacenamiento adecuado de quimicos. Matriz de compatibilidad de quimicos. Plan de emergencias. Capacitacion en emergencias. Brigadas de emergencias. Señalizacion de rutas de evacuacion.</t>
  </si>
  <si>
    <t>Arreglos en tableros y celdas eléctricas</t>
  </si>
  <si>
    <t>Técnico
Electrónico</t>
  </si>
  <si>
    <t>Uso de EPP, charla de riesgo eléctricos</t>
  </si>
  <si>
    <t>Uso de EPP, charla de caida de diferentes niveles</t>
  </si>
  <si>
    <t>Uso de EPP. Charla de riesgos eléctricos. Extintores.</t>
  </si>
  <si>
    <t>Mantenimento preventivo y correctivo de los aires acondicionados</t>
  </si>
  <si>
    <t>Uso de EPP, charla de riesgo mecánico</t>
  </si>
  <si>
    <t>Uso de EPP, charla de riesgos eléctricos</t>
  </si>
  <si>
    <t xml:space="preserve">Uso de EPP, charla de riesgo ergonómico </t>
  </si>
  <si>
    <t>Fumigación</t>
  </si>
  <si>
    <t xml:space="preserve">Productos para fumigación </t>
  </si>
  <si>
    <t xml:space="preserve"> Uso de respidadores contra gases y vapores, guantes y gafas.</t>
  </si>
  <si>
    <t>Fumigadora</t>
  </si>
  <si>
    <t>PVE osteomuscular.  
Gimnasia laboral. Capacitacion sobre manejo de cargas</t>
  </si>
  <si>
    <t>Uso de EPP, charla de orden y limpieza</t>
  </si>
  <si>
    <t>Transito por escaleras</t>
  </si>
  <si>
    <t>ACTIVIDADES ADMINISTRATIVAS</t>
  </si>
  <si>
    <t>Actividades administrativas (manejo de computador, impresión de documentos, desplazamiento de un area a otra, uso de fotocopiadora)</t>
  </si>
  <si>
    <t>Técnico
TIC</t>
  </si>
  <si>
    <t>Gcia Distrito, Jefe de Base, Administrador, Bodega, Compras, Laboratorio, supevisores</t>
  </si>
  <si>
    <t>Equipos eléctricos y electrónicos, cables baja tensión</t>
  </si>
  <si>
    <t xml:space="preserve">DYN-TIC-PR-001 Procedimiento TIC </t>
  </si>
  <si>
    <t xml:space="preserve">Uso de EPP, charla de riesgos eléctricos </t>
  </si>
  <si>
    <t>mantenimiento e inspección constante de las instalaciones de la empresa, no sobrecargar los circuitos.</t>
  </si>
  <si>
    <t>Reporte de instalaciones electricas inseguras</t>
  </si>
  <si>
    <t>Cableado estructural, encauchetamiento de cables eléctricos y de redes.canalizacion de cables y redes. mantenimiento e inspecciones de redes eléctricas y equipos, polo a tierra.  Back up de información</t>
  </si>
  <si>
    <t>Seguimiento mediante inspecciones.
Programa de riesgo eléctrico</t>
  </si>
  <si>
    <t>Estudio de clima laboral, Mantener adecuadas relaciones interpersonales. Talleres de riesgo psicosocial</t>
  </si>
  <si>
    <t xml:space="preserve"> Programa de risego psicosocial,  encuesta de clima laboral. </t>
  </si>
  <si>
    <t>lámparas fluorescentes</t>
  </si>
  <si>
    <t xml:space="preserve">Cambio periodico de luminarias según programa de mtto. </t>
  </si>
  <si>
    <t>Luxometrías y adecuación de luminarias de acuerdo con resultados de mediciones.</t>
  </si>
  <si>
    <t xml:space="preserve"> Examenes medicos. Se realizaron mediciones de iluminación </t>
  </si>
  <si>
    <t xml:space="preserve"> Mantenimiento y cambio de luminarias.</t>
  </si>
  <si>
    <t xml:space="preserve">  Medición de iluminacion, aplicación de correctivos acorde a resultados.
Buena señalización de las áreas para que sean visibles en las horas nocturnas</t>
  </si>
  <si>
    <t>Seguimiento a mediciones de iluminación</t>
  </si>
  <si>
    <t>Uso de EPP, charlas de riesgos eléctricos</t>
  </si>
  <si>
    <t>Continuar realizando mantenimiento a los elementos de oficina y archivo, realizar inspecciones.  Capacitación manejo de herramientas y equipos, al personal de oficina</t>
  </si>
  <si>
    <t>Inspección a puestos de trabajo</t>
  </si>
  <si>
    <t>Seguimiento mediante inspecciones.
Reportes de condiciones inseguras</t>
  </si>
  <si>
    <t>Archivadores colgantes, almacenamiento inadecuado de materiales y archivo</t>
  </si>
  <si>
    <t>Almacenar/guardar la cantidad maxima permitida por estante.</t>
  </si>
  <si>
    <t>Fotocopiadora y computadores</t>
  </si>
  <si>
    <t>Utilizar monitores  con autofiltro</t>
  </si>
  <si>
    <t xml:space="preserve"> Mantenimiento a impresoras y fotocopiadoras. Rotacion de personal para realizar esta actividad.</t>
  </si>
  <si>
    <t>Seguimiento mediante examenes ocupcionales</t>
  </si>
  <si>
    <t>Mantener controles:
 Mantenimiento a impresoras y fotocopiadoras. Rotacion de personal para realizar esta actividad.</t>
  </si>
  <si>
    <t>Digitación.</t>
  </si>
  <si>
    <t xml:space="preserve">
Continuar con el uso de los elementos de adaptación ergonómica.</t>
  </si>
  <si>
    <t xml:space="preserve">Continuar con la implementación del programa de acondicionamiento físico. </t>
  </si>
  <si>
    <t>Examenes ocupacionales.
PVE osteomuscular.</t>
  </si>
  <si>
    <t>PVE Osteomuscular.  Valoraciones de fisioterapeuta. Examenes ocupacionales.
Pausas activas. Capacitacion sobre higiene postural. Gimnasia laboral.</t>
  </si>
  <si>
    <t xml:space="preserve">Examenes ocupacionales.
PVE Osteomuscular. </t>
  </si>
  <si>
    <t>Posturas inadecuadas por periodos prolongados, diseño de puesto de trabajo</t>
  </si>
  <si>
    <t xml:space="preserve">Continuar con la implementación del programa de acondicionamiento físico. Capacitación trabajo en ergonomia VDT. </t>
  </si>
  <si>
    <t>Sesiones de gimnasia laboral , evaluaciones fisioterapeuticas. APT administrativo
PVE osteomuscular.</t>
  </si>
  <si>
    <t xml:space="preserve"> Silla ergonomica.</t>
  </si>
  <si>
    <t xml:space="preserve">PVE Osteomuscular.  Valoraciones de fisioterapeuta. Examenes ocupacionales
Pausas activas. Capacitacion sobre higiene postural. Gimnasia laboral. </t>
  </si>
  <si>
    <t>Planta eléctrica, equipos en patio</t>
  </si>
  <si>
    <t>Mantenimiento preventivo y correctivo de los equipos, aislamiento de planta eléctrica</t>
  </si>
  <si>
    <t xml:space="preserve"> Señalización de áreas</t>
  </si>
  <si>
    <t>Uso EPI (auditivo)</t>
  </si>
  <si>
    <t>Dosimetrias y sonometrias. PVE Conservación Auditiva. Evaluaciones Médicas Ocupacionales (audiometria).</t>
  </si>
  <si>
    <t>Muebles en madera, papeles en las cestas , papeleria en general.</t>
  </si>
  <si>
    <t>Uso de EPP, charlas de equipos eléctricos. Extintores.</t>
  </si>
  <si>
    <t>Mantenimiento e Inspección mensual de extintores y sistema de alarma de incendio, orden y aseo.</t>
  </si>
  <si>
    <t>Almacenamiento adecuado de papeleria, capacitación de contraincendio, mantener condiciones de orden y aseo en las oficinas.  Mantenimiento redes y equipos eléctricos</t>
  </si>
  <si>
    <t>Plan de emergencias</t>
  </si>
  <si>
    <t>Mantener controles:
Mantenimiento e Inspección mensual de extintores y sistema de alarma de incendio, orden y aseo.</t>
  </si>
  <si>
    <t>Mantener controles:
Almacenamiento adecuado de papeleria, capacitación de contraincendio, mantener condiciones de orden y aseo en las oficinas.  Mantenimiento redes y equipos eléctricos</t>
  </si>
  <si>
    <t>Presencia de avispas, reptiles e insectos, Servicios sanitarios, Intoxicación alimentaria</t>
  </si>
  <si>
    <t>Esquema de vacunacion.
Seguir realizando la sanitización diaria de las instalaciones sanitarias. 
Capacitación riesgo biológico.
Continuar cursos de manipuladores de alimentos, exámenes especificos de manipulador de alimentos.</t>
  </si>
  <si>
    <t>Programa de orden y aseo
Para presonal contratista que prepara alimentos: Exámenes de ingreso con frotis faringeo, KOH uñas, coprologico. Curso de manipulación de alimentos</t>
  </si>
  <si>
    <r>
      <t xml:space="preserve">Realizar inspeccion periodicas al area y a los alrededores para identificar presencia de avispas. Realizar inspeccion a equipos  cuando llegan de pozo.
</t>
    </r>
    <r>
      <rPr>
        <u/>
        <sz val="7"/>
        <rFont val="Arial"/>
        <family val="2"/>
      </rPr>
      <t>Mantener controles:</t>
    </r>
    <r>
      <rPr>
        <sz val="7"/>
        <rFont val="Arial"/>
        <family val="2"/>
      </rPr>
      <t xml:space="preserve">
Esquema de vacunacion.
Seguir realizando la sanitización diaria de las instalaciones sanitarias. 
Capacitación riesgo biológico.</t>
    </r>
  </si>
  <si>
    <t>Pisos resbalosos, objetos en desorden, acceso/descenso por escaleras</t>
  </si>
  <si>
    <t>Uso de cera antideslizante.</t>
  </si>
  <si>
    <t xml:space="preserve"> Jornadas de orden y aseo. Garantizar instalaciones seguras. Mantenimiento de instalaciones. Señalizacion y demarcacion de areas. Señal de piso mojado.
Capacitacion sobre prevencion de accidentes por riesgo locativo.</t>
  </si>
  <si>
    <t>Seguimiento mediante inspecciones</t>
  </si>
  <si>
    <t>EVENTOS DE EMERGENCIA</t>
  </si>
  <si>
    <t>Atencion de emergencias (sismo, vendaval, explosion, incendio, derrame de sustancias quimicas y tormentas electricas)</t>
  </si>
  <si>
    <t>todos (Personal directo, contratistas y visitantes)</t>
  </si>
  <si>
    <t>12.3 Sismo</t>
  </si>
  <si>
    <t>12. Riesgos Naturales</t>
  </si>
  <si>
    <t>Zona con riego de sismo</t>
  </si>
  <si>
    <t>12.3 Lesiones Fatales</t>
  </si>
  <si>
    <t xml:space="preserve">DYN-SGI-PL-006 Plan de contingencias casos de emergencias </t>
  </si>
  <si>
    <t xml:space="preserve">Uso de EPP, señalización de rutas de evacuación, charlas de evacuacón en caso de emergencias </t>
  </si>
  <si>
    <t>Desorientación</t>
  </si>
  <si>
    <t>Plan de emergencias
Brigadistas
Equipos para atención de emegencias
Simulcros</t>
  </si>
  <si>
    <t>Aplicar lo divulgado en capacitaciones del plan de emergencias por el lider CSSMQ. Ubicar las rutas de evacuación, extintores y botiquin de primeros auxilios. Mantener los controles existentes.
Capacitación de brigadistas. 
Realización de simulacros.
Actualizacion del plan de emergencias. Medevac</t>
  </si>
  <si>
    <t>Actualización periodica  de plan de emergencias</t>
  </si>
  <si>
    <t>Brigadistas</t>
  </si>
  <si>
    <t>Uso de tijeras, bisturi</t>
  </si>
  <si>
    <t>Uso de EPP, charlas de uso de herramientas cortopunzantes</t>
  </si>
  <si>
    <t>Capacitación de brigadistas. 
Realización de simulacros.</t>
  </si>
  <si>
    <t>Por colapso de estructura</t>
  </si>
  <si>
    <t xml:space="preserve">Plan de emergencias. Brigadas de emergencia. Señalizacion de rutas de evacuacion y salidas de emergencias. Rutas de evacuacion y salidas de emergencias despejadas. Estructura antisismica.
 Capacitacion sobre atencion de emergnecias. Simulacros. </t>
  </si>
  <si>
    <t>Uso de Botas y casco de Seguridad.</t>
  </si>
  <si>
    <t>objetos que caen del entorno</t>
  </si>
  <si>
    <t>Uso de EPP, charlas de prevención de posibilidad de atrapamiento</t>
  </si>
  <si>
    <t>generado por explosion</t>
  </si>
  <si>
    <t xml:space="preserve"> Capacitacion riesgo auditivo</t>
  </si>
  <si>
    <t xml:space="preserve"> Examenes ocupacionales. </t>
  </si>
  <si>
    <t xml:space="preserve"> Capacitacion sobre atencion de emergnecias.
 Capacitacion riesgo auditivo</t>
  </si>
  <si>
    <t>superficie calientes</t>
  </si>
  <si>
    <t>Esplinker.</t>
  </si>
  <si>
    <t>Hidratarse durante la actividad / emergencia.
 Capacitacion contra incendios. Simulacros.</t>
  </si>
  <si>
    <t xml:space="preserve">Uso y verificación del traje contra incendios, casco de bombero, pasamontañas, guantes de vaqueta y botas contra incendios. </t>
  </si>
  <si>
    <t>Al irse la energia electrica a causa de la emergencia</t>
  </si>
  <si>
    <t xml:space="preserve">Iluminacion de contigencia para caso de emergencia. </t>
  </si>
  <si>
    <t>Iluminacion de contigencia para caso de emergencia. 
Verficaci{on de instalaciones eléctricas</t>
  </si>
  <si>
    <t>Derrame de quimicos</t>
  </si>
  <si>
    <t xml:space="preserve"> Cerrar las válvulas de combustibles.</t>
  </si>
  <si>
    <t xml:space="preserve">MSD disponibles. Activar Plan de emergencias de SAE. 
 Capacitacion sobre atencion de derrame. Capacitacion de quimicos. 
Garantizar disponibilidad de kit de control de derrames.  Garantizar operabilidad de estacion lavaojos. Tarjetas de emergencia. </t>
  </si>
  <si>
    <t>Uso de prtección respiratoria, guantes y botas</t>
  </si>
  <si>
    <t>Activar Plan de emergencias de SAE. MSD disponibles.
 Capacitacion sobre atencion de emergencias. 
Tarjetas de emergencia. Kit de control de derrame de quimicos.</t>
  </si>
  <si>
    <t xml:space="preserve">6.1 Manejo de cargas mayores a 25 Kg </t>
  </si>
  <si>
    <t xml:space="preserve">Elementos estructurales, parates y piezas </t>
  </si>
  <si>
    <t xml:space="preserve">Uso de EPP, charlas de riesgos ergonómicos </t>
  </si>
  <si>
    <t>Fatiga muscular, dolor lumbar leve</t>
  </si>
  <si>
    <t>PVE prevencion de lesiones osteomusculares. Valoracion de fisioterapeuta. Examenes ocupacionales.
Ejercicios de Gimnasia Laboral. Adoptar posturas ergonómicas para manipulación de cargas.</t>
  </si>
  <si>
    <t xml:space="preserve">Observar el área de movilización, seguir las indicaciones del líder de la actividad.  Simulacro y capacitacion sobre atencion de emergencias. 
Plan de emergencias y plan de evacuacion. Garantizar instalaciones en condiciones adecuadas. Señalizacion de rutas de evacuacion y salidas de emergencia. Garantizar rutas de evacuacion y salidas de emergencias despejadas. </t>
  </si>
  <si>
    <t>Combustibles almacenados</t>
  </si>
  <si>
    <t>Cerrar las válvulas de combustibles</t>
  </si>
  <si>
    <t>Activar Plan de emergencias de SAE.
Ubicar las rutas de evacuación. Uso y verificación del traje contra incendios, casco de bombero, pasamontañas, guantes de vaqueta y botas contra incendios. Mantener controles establecidos.</t>
  </si>
  <si>
    <t>ENTRENAMIENTO EN QHSE</t>
  </si>
  <si>
    <t xml:space="preserve">Cursos de Capacitación </t>
  </si>
  <si>
    <t>Gerente de
Talento
Humano</t>
  </si>
  <si>
    <t>Personal en entrenamiento</t>
  </si>
  <si>
    <t>Señalización de áreas.
Orden y aseo lugares de trabajo.
Instructivo uso de EPI.
Transitar por áreas autorizadas</t>
  </si>
  <si>
    <t>Uso de EPI (calzado con suela antideslizante)</t>
  </si>
  <si>
    <t>Programa de Orden y Aseo.
Inspecciones de seguridad.</t>
  </si>
  <si>
    <t>Elementos usados en capacitación</t>
  </si>
  <si>
    <t>PVE osteomuscular. 
Programa capacitación.
Instructivo uso de EPI</t>
  </si>
  <si>
    <t>Continuar con la implementación del programa de acondicionamiento físico, capacitación en manejo correcto de cargas. PVE Riesgo Osteomuscular. Capacitaciones sobre higiene postural y manejo de cargas</t>
  </si>
  <si>
    <t xml:space="preserve">Evaluaciones fisioterapeuticas, gimnasia laboral y evaluaciones médicas con adendo OM </t>
  </si>
  <si>
    <t>Luminarias del área de trabajo</t>
  </si>
  <si>
    <t>Mantenimiento instalaciones</t>
  </si>
  <si>
    <t>Mediciones niveles de iluminación. Seguimiento a planes de acción resultantes</t>
  </si>
  <si>
    <t>Fuego controlado</t>
  </si>
  <si>
    <t>DYN-THH-PR-003 Procedimiento competencia toma conciencia formación</t>
  </si>
  <si>
    <t>Extintores</t>
  </si>
  <si>
    <t>Hidratarse durante la actividad</t>
  </si>
  <si>
    <t>Esquema de vacunacion
Inspeccion del area</t>
  </si>
  <si>
    <t>Realizar inspeccion periodicas al area y a los alrededores para identificar presencia de avispas. Realizar inspeccion a equipos especialmente variadores cuando llegan de pozo
Esquema de vacunacion</t>
  </si>
  <si>
    <t>Cursos de Capacitación Plan de Emergencias, Primeros Auxilios, contra incendios</t>
  </si>
  <si>
    <t>Cursos de Capacitación Puente Grúa</t>
  </si>
  <si>
    <t>Jefe de
Operaciones</t>
  </si>
  <si>
    <t>Técnico Taller y,  Auxiliar Taller de completion</t>
  </si>
  <si>
    <t>Carga de puente grua</t>
  </si>
  <si>
    <t xml:space="preserve">Mantenimiento preventivo de puente grua. </t>
  </si>
  <si>
    <t>Procemiento operacional
Programa de inspecciones.
Tarjetas de observación.
Instructivo uso de EPI.
Señalización de áreas.
  Inspeccion  a eslingas.  Capacitación sobre uso de EPI. Procedimiento para maniobrar puente grua. Programa inspeccion preoperacional.</t>
  </si>
  <si>
    <t>Uso de guantes, casco y botas de seguridad.</t>
  </si>
  <si>
    <t>Programa inspeccion preoperacional.</t>
  </si>
  <si>
    <t xml:space="preserve">Retirar al personal de la línea de Peligro. Charla sobre uso de ayudas mecánicas. Compromiso de seguridad en actividades de con ayudas mecánicas (puente grua). Aplicación del programa de riesgo mecánico </t>
  </si>
  <si>
    <t>Uso de botas  y casco de seguridad y gafas contra impactos</t>
  </si>
  <si>
    <t>Certificados de inspección de equipos como herramientas de izaje. Seguimiento mediante programa de riesgo mecánico</t>
  </si>
  <si>
    <t>Cursos de Capacitación montacargas</t>
  </si>
  <si>
    <t>Al volcarse el montacarga o  por caida de la carga</t>
  </si>
  <si>
    <t xml:space="preserve">Mantenimiento preventivo de montacarga. Procedimiento para maniobrar montacarga. </t>
  </si>
  <si>
    <t xml:space="preserve"> Ceritificacion para operar montacargas. 
Señalizar con conos la entrada del area de operación.  Capacitación en Seguridad de Manos y Uso de EPI. 
Programa de inspecciones.
Instructivo uso de EPI</t>
  </si>
  <si>
    <t>Uso de guantes de carnaza, botas, casco</t>
  </si>
  <si>
    <t>Programa de gestión riesgo mecánico.</t>
  </si>
  <si>
    <t xml:space="preserve">  Medición de iluminacion, aplicación de correctivos acorde a resultados.</t>
  </si>
  <si>
    <t xml:space="preserve"> Cursos de Capacitación manejo defensivo</t>
  </si>
  <si>
    <t xml:space="preserve">Coordinador de Talento Humano </t>
  </si>
  <si>
    <t>Estado del vheículo / Uso del vehículo</t>
  </si>
  <si>
    <t xml:space="preserve">Certificado de manejo defensivo </t>
  </si>
  <si>
    <t>Uso de Drive Right.
Programa de mantenimiento</t>
  </si>
  <si>
    <t xml:space="preserve"> Seguir procedimientos e indicaciones del instructor.  
Programa de inspecciones (Inspección diaria del vehículo).
Tarjetas de observación.</t>
  </si>
  <si>
    <t>Uso cinturon de seguridad para todos los pasajeros</t>
  </si>
  <si>
    <t>Seguimiento a inspecciones vehículares</t>
  </si>
  <si>
    <t xml:space="preserve">Operaciones </t>
  </si>
  <si>
    <t xml:space="preserve">Base Coca </t>
  </si>
  <si>
    <t>Trabajo de inspección</t>
  </si>
  <si>
    <t>Supervisor / Ingeniero de campo / Operador</t>
  </si>
  <si>
    <t>Equipos y lineas de flujo que trabajan con altas presiones</t>
  </si>
  <si>
    <t>Las lineas son aseguradas con guayas de seguridad 3/8 en las uniones giratorias.</t>
  </si>
  <si>
    <t>Ubicación de avisos y cinta de seguridad en el área de trabajo. AST y Procedimientos operativos. Personal capacitado y entrenado en el arme de lineas de alta presión.</t>
  </si>
  <si>
    <t xml:space="preserve">Cumplimiento de Procedimientos para la operación, Permisos de trabajos, reuniones pre y post a los trabajos , mantenimiento e inspeccion de los equipos y lineas, personal capacitado </t>
  </si>
  <si>
    <t xml:space="preserve">Certificación de líneas de presión </t>
  </si>
  <si>
    <t>Equipos en campo</t>
  </si>
  <si>
    <t>Uso de EPI (Protección auditiva)</t>
  </si>
  <si>
    <t>PVE Ruido 
Examenes ocupacionales</t>
  </si>
  <si>
    <t>Dotación y uso de protección auditiva de inserción y tipo copa.
Seguimiento del  Programa de vigilancia Epidemiológica de conservación auditiva</t>
  </si>
  <si>
    <t>Uso de EPI (con doble protección auditiva)</t>
  </si>
  <si>
    <t>Gases y vapores de productos quimicos durante mezclas y bombe (Líquidos, sólidos)</t>
  </si>
  <si>
    <t xml:space="preserve">Inspección y mantenimiento duchas y lavaojos, </t>
  </si>
  <si>
    <t xml:space="preserve">Disposición de MSDS de prod. Químicos,  Ubicación de Equipos de contingencia Ambiental </t>
  </si>
  <si>
    <t>Uso de EPI de acuerdo a las MSDS. Capacitación en manejo y trasiego de químicos</t>
  </si>
  <si>
    <t>Supervisor / CSSM</t>
  </si>
  <si>
    <t>Continuar con el uso de overoles manga larga, hidratación en campo</t>
  </si>
  <si>
    <t xml:space="preserve">Uso de bloqueador solar, overol de manga larga. </t>
  </si>
  <si>
    <t>Examenes ocupacionales</t>
  </si>
  <si>
    <t>Uso de overol manga larga, hidratación constante, disposición de bloqueador solar para los trabajos en campo y en la base.</t>
  </si>
  <si>
    <t>Examenes ocupacionales.
PVE de dermatosis</t>
  </si>
  <si>
    <t>Sobre esfuerzos al manipular cargas</t>
  </si>
  <si>
    <t>Reforzar la implementación del programa de acondicionamiento físico</t>
  </si>
  <si>
    <t xml:space="preserve">Evaluaciones fisioterapeuticas, gimnasia laboral y evalauaciones médicas con adendo OM </t>
  </si>
  <si>
    <t>Seguimiento al uso de ayudas mecanicas(grúa y/o montacargas.</t>
  </si>
  <si>
    <t>Realización de ejercicios de acondicionamiento físico antes de los trabajos.</t>
  </si>
  <si>
    <t>6.3 Adopción de posturas nocivas</t>
  </si>
  <si>
    <t>Manipulación de equipos, herramientas, diseño de puesto de trabajo</t>
  </si>
  <si>
    <t>Acceso/descenso por escaleras de unidades</t>
  </si>
  <si>
    <t>Implementación del programa de orden y aseo. Reporte de condiciones inseguras. Señalización. 
AST y PT</t>
  </si>
  <si>
    <t xml:space="preserve">Uso de EPI  </t>
  </si>
  <si>
    <t>Programa de orden y aseo</t>
  </si>
  <si>
    <t>Mantenimiento a unidades de servicio.</t>
  </si>
  <si>
    <t>Pisos resbalosos, objetos en desorden, acceso/descenso por escaleras instalaciones</t>
  </si>
  <si>
    <t xml:space="preserve">Implementación del programa de orden y aseo. Reporte de condiciones inseguras. Señalización. </t>
  </si>
  <si>
    <t>Instalaciones locactivas en buen estado y mantenimiento.</t>
  </si>
  <si>
    <t xml:space="preserve">Uso de EPI (botas con suela antideslizante) </t>
  </si>
  <si>
    <t>Exposición a niveles de iluminación inadecuadas en horario nocturno</t>
  </si>
  <si>
    <t>DYN-PMP-PR-001 Planificación Previa Operaciones con CTU, DYN-PMP-PR-002 Preparación locación operaciones tubería flexible, DYN-PMP-PR-005 Procedimientos emergencia en operaciones con tuberia flexible</t>
  </si>
  <si>
    <t>Iluminación de áreas de trabajo</t>
  </si>
  <si>
    <t>No trabajar en áreas con deficiencia de iluminación y reportar condicion a responsable del cliente.
Se dispone de plantas eléctricas para trasladar a campo y se cuenta con iluminación suministrada por el cliente.</t>
  </si>
  <si>
    <t>Evaluación optométrica del personal  en exámenes periódicos,</t>
  </si>
  <si>
    <t>Seguimiento al uso de plantas eléctricas para trasladar a campo. Seguimiento al reporte sobre condiciones de luminación suministrada por el cliente.</t>
  </si>
  <si>
    <t>Programa de risego psicosocial</t>
  </si>
  <si>
    <t>Fumigaciones periódicas semestrales, Vacuna fiebre amarilla, tetanos capacitaciones.
Capacitación en riesgos de salud pública.</t>
  </si>
  <si>
    <t>Uso de overol de manga larga y botas media caña</t>
  </si>
  <si>
    <t>Seguimiento a vacunación</t>
  </si>
  <si>
    <t>Seguimiento a Fumigaciones, vacunación, capacitación</t>
  </si>
  <si>
    <t>Bombeo</t>
  </si>
  <si>
    <t>Operación de Bombeo</t>
  </si>
  <si>
    <t>Operador Bombeo
II</t>
  </si>
  <si>
    <t>Supervisor II, Supervisor I, Ingeniero de Campo, Auxiliares</t>
  </si>
  <si>
    <t>Unidades de servicio, taladro, plantas eléctricas</t>
  </si>
  <si>
    <t>Mantenimiento de equipos y plantas</t>
  </si>
  <si>
    <t xml:space="preserve">Manipulación de químicos y mezclas </t>
  </si>
  <si>
    <t>Uso de sustancias menos agresivas para el organismo y el ambiente.</t>
  </si>
  <si>
    <t>Ducha lava ojos en el sitio</t>
  </si>
  <si>
    <t>Uso de EPI de acuerdo a las MSDS. Capacitación en manejo y trasiego de químicos.
 Uso de sistemas cerrados para manejo de material particulado.                             Uso de EPI de acuerdo a las MSDS de los productos.
Personal Capacitado en manejo de fluidos</t>
  </si>
  <si>
    <t>Mantener controles:
Uso de ayudas mecanicas (grúa y/o montacarga) para el manejo de cargas.</t>
  </si>
  <si>
    <t>Mantener controles:
Realización de ejercicios de acondicionamiento físico antes de los trabajos.</t>
  </si>
  <si>
    <t>Herramientas y equipos</t>
  </si>
  <si>
    <t>Guardas y sistemas de seguridad de herramientas. LO - TO, AST y PT</t>
  </si>
  <si>
    <t>Capacitación en manejo de herramientas y prevención de lesiones de mano y LO - TO, mantenimiento de equipos y herramientas.</t>
  </si>
  <si>
    <t xml:space="preserve">Uso y mantenimiento de EPI adecuados.
</t>
  </si>
  <si>
    <t>Programa de gestión de riesgo mecánico</t>
  </si>
  <si>
    <t>Mantener controles:
Guardas y sistemas de seguridad en las herramientas,. Capacitación en Prevención de lesiones en manos y LO - TO</t>
  </si>
  <si>
    <t>Mantener seguimiento para que los equipos tengan instalado guardas de seguridad, mantenimiento periódico a herramientas, capacitación al personal sobre manejo de herramientas, procedimientos seguros.</t>
  </si>
  <si>
    <t>Pisos resbalosos, objetos en desorden, superficies deterioradas, escaleras.</t>
  </si>
  <si>
    <t>Programa de orden y aseo. Reporte de condiciones inseguras. Señalización. 
AST y PT</t>
  </si>
  <si>
    <t>Mantenimiento a unidades de servicio.
Seguimiento a Programa de Orden y Aseo y Reporte de condiciones inseguras.</t>
  </si>
  <si>
    <t>Mantener control:
Uso de overol manga larga, hidratación constante, disposición de bloqueador solar para los trabajos en campo y en la base.</t>
  </si>
  <si>
    <t>Examenes ocupacionales
 PVE de dermatosis</t>
  </si>
  <si>
    <t>Tuberia, accesorios, espacio limitado</t>
  </si>
  <si>
    <t>Horarios extendidos, tareas repetitivas</t>
  </si>
  <si>
    <t xml:space="preserve"> Mantener adecuadas relaciones interpersonales. Talleres de riesgo psicosocial.
Analisis de riesgo, permiso de trabajo.</t>
  </si>
  <si>
    <t>Programa de risego psicosocial y encuesta de clima laboral.</t>
  </si>
  <si>
    <t>Uso y mantenimiento de EPI adecuados.
Uso de equipos requeridos para el ingreso al espacio confinado acorde a procedimiento.</t>
  </si>
  <si>
    <t>herramientas y accesorios</t>
  </si>
  <si>
    <t>Mantenimiento de luminarias en las unidades. Uso de luminarias antiexplosión en campo.</t>
  </si>
  <si>
    <t xml:space="preserve">Seguimiento al uso de plantas eléctricas para trasladar a campo. Seguimiento al reporte sobre condiciones de luminación suministrada por el cliente.
</t>
  </si>
  <si>
    <t>Equipos de bombeo y líneas de alta presión</t>
  </si>
  <si>
    <t>Aseguramiento de líneas con guayas de seguridad de 3/8 en uniones giratorias. Manteniemiento de unidades y certificación de tuberias. Procedimientos operativos</t>
  </si>
  <si>
    <t xml:space="preserve">Ubicación de avisos y cinta de seguridad en el área de trabajo. AST y Procedimientos operativos. Personal capacitado y entrenado en el arme de lineas de alta presión.
Procedimientos operativos
 </t>
  </si>
  <si>
    <t xml:space="preserve">Mantener control:
Las lineas son aseguradas con guayas de seguridad.
Manteniemiento de unidades y certificación de tuberias. </t>
  </si>
  <si>
    <t xml:space="preserve">Cumplimiento de Procedimientos para la operación, Permisos de trabajos, reuniones pre y post a los trabajos , mantenimiento e inspeccion de los equipos y lineas, personal capacitado. Certificaciones de lineas de alta presión, mantenimiento de unidades de bombeo </t>
  </si>
  <si>
    <t>Estatica, atmosferas explosivas, chispas</t>
  </si>
  <si>
    <t>Uso de explosimetros</t>
  </si>
  <si>
    <t>Procedimientos operativos. AST y PT.
Plan de emergencias</t>
  </si>
  <si>
    <t>Procedimientos operativos. AST y PT.
Plan de emergencias
Capacitación del personal en manejo de emergencias.</t>
  </si>
  <si>
    <t>Grúa</t>
  </si>
  <si>
    <t>Mantenimiento periódico a los montacargas y unidades de bombeo</t>
  </si>
  <si>
    <t>Programa de acondicionamiento físico</t>
  </si>
  <si>
    <t>Mantener controles:
Mantenimiento periódico a los grúas y unidades de bombeo</t>
  </si>
  <si>
    <t>Mantener controles:
Programa de acondicionamiento físico</t>
  </si>
  <si>
    <t xml:space="preserve">CTU
</t>
  </si>
  <si>
    <t>Operación con  CTU</t>
  </si>
  <si>
    <t>Operador de
CTU</t>
  </si>
  <si>
    <t>Supervisor de CTU, Ingeniero de campo, Operador, Auxiliar.</t>
  </si>
  <si>
    <t>Unidades de servicio, entorno de trabajo, equipos aledaños.</t>
  </si>
  <si>
    <t xml:space="preserve">Uso de EPP, charlas de prevención de niveles de ruidos </t>
  </si>
  <si>
    <t>Instalación de silenciadores en las unidades,  mantenimiento preventivo de equipos.</t>
  </si>
  <si>
    <t xml:space="preserve">Demarcación de áreas y equipos ruidosos, continuar con el programa de Vigilancia Epidemiológica y de Mantenimiento Preventivo de equipos.  </t>
  </si>
  <si>
    <t>Uso de ayudas mecánicas (grúa y/o montacarga) para el manejo de cargas.</t>
  </si>
  <si>
    <t>Evaluaciones fisioterapeúticas, gimnasia laboral y evaluaciones médicas.</t>
  </si>
  <si>
    <t>Evaluaciones fisioterapeuticas, gimnasia laboral y evaluaciones médicas</t>
  </si>
  <si>
    <t xml:space="preserve">Uso de EPP, charla de riesgos mecánico </t>
  </si>
  <si>
    <t xml:space="preserve">USO de EPP, charla de riesgos mecánico </t>
  </si>
  <si>
    <t xml:space="preserve">Uso de EPP, charlas de espacios confinados </t>
  </si>
  <si>
    <t>Herramientas y accesorios</t>
  </si>
  <si>
    <t xml:space="preserve">Seguimiento al uso de plantas eléctricas para trasladar a campo. Seguimiento al reporte sobre condiciones de iluminación suministrada por el cliente.
</t>
  </si>
  <si>
    <t>Equipos de coiled tubing, bombeo y líneas de alta presión</t>
  </si>
  <si>
    <t xml:space="preserve">Ubicación de avisos y cinta de seguridad en el área de trabajo. AST y Procedimientos operativos. Personal capacitado y entrenado en el arme de líneas de alta presión.
Procedimientos operativos
 </t>
  </si>
  <si>
    <t>Estática, atmósferas explosivas, chispas</t>
  </si>
  <si>
    <t>Uso de EPP, charlas de químicos, extintores</t>
  </si>
  <si>
    <t>Uso de explosímetros</t>
  </si>
  <si>
    <t>Grúa, CTU, bomba</t>
  </si>
  <si>
    <t>Mantenimiento periódico a las grúas, unidades de CTU y unidades de bombeo</t>
  </si>
  <si>
    <t>Mantener controles:
Mantenimiento periódico a las grúas, CTU´s y unidades de bombeo</t>
  </si>
  <si>
    <t>Seguimiento mediante examenes ocupacionales</t>
  </si>
  <si>
    <t>Rig Up / Rig Down</t>
  </si>
  <si>
    <t xml:space="preserve">Rig Up / Rig Down </t>
  </si>
  <si>
    <t xml:space="preserve">Supervisor
Senior CTU </t>
  </si>
  <si>
    <t>11.5 Condiciones de las instalaciones</t>
  </si>
  <si>
    <t>Obstrucción de vías de emergencia por accesorios, mangueras, tubrerias, equipos</t>
  </si>
  <si>
    <t>11.5 Heridas y/o traumatismos de diversa magnitud y severidad</t>
  </si>
  <si>
    <t>Señalización y demarcación de áreas de trabajo. Orden y aseo</t>
  </si>
  <si>
    <t>Realizar permiso de trabajo y analisis de operaciones simultaneas cuando aplique.
Señalización y demarcación de áreas de trabajo. Orden y aseo</t>
  </si>
  <si>
    <t>Presencia residual de quimicos de tuberías</t>
  </si>
  <si>
    <t xml:space="preserve">Mantener controles:
Inspección y mantenimiento duchas y lavaojos, </t>
  </si>
  <si>
    <t>Mantener controles:
Disposición de MSDS de prod. Químicos,  Ubicación de Equipos de contingencia Ambiental. PVE piel y respiratorio</t>
  </si>
  <si>
    <t>Herramientas y equipos usadas en el rig up / rig down</t>
  </si>
  <si>
    <t>Herramientas y equipos usadas por el taladro u otras empresas</t>
  </si>
  <si>
    <t>Piso mojado y resbalozo y con derrames de aceite</t>
  </si>
  <si>
    <t>Inspeciones de seguridad</t>
  </si>
  <si>
    <t>Energia estatica, Equipos, lineas de flujo (Presiones atrapadas)</t>
  </si>
  <si>
    <t>Aseguramiento de líneas con guayas de seguridad  en uniones giratorias. Manteniemiento de unidades y certificación de tuberias. Procedimientos operativos</t>
  </si>
  <si>
    <t>Equipos en funcionamiento</t>
  </si>
  <si>
    <t xml:space="preserve">CORRIDA DE HERRAMIENTAS DE PESCA
</t>
  </si>
  <si>
    <t xml:space="preserve">Supervisor de
Herramientas
Senior </t>
  </si>
  <si>
    <t>Tecnicos de Opercaiones</t>
  </si>
  <si>
    <t>Trabajo debajo de carga suspendida( Bloque viajero).
Mapulación de tuberia 
( impregnada con aceite, crudo, lodo, etc).</t>
  </si>
  <si>
    <t>DYN-FCR-PR-001 Procedimiento operaciones FCR , DE-P-OP-FC-05 Procedimiento operativo shifting tool D-2</t>
  </si>
  <si>
    <t>Al momento de manipular la tuberia en los soportes ó burros mantener la atención respecto a la ubicación de las manos mientras la asegura con la eslinga, realizar lentamente el  izaje de cada tramo de tuberia hasta la rampa de la mesa.</t>
  </si>
  <si>
    <t>Usar Guantes en lona, Botas de seguridad, Gafas y casco.</t>
  </si>
  <si>
    <r>
      <t xml:space="preserve">Mantener controles:
</t>
    </r>
    <r>
      <rPr>
        <sz val="7"/>
        <rFont val="Arial"/>
        <family val="2"/>
      </rPr>
      <t>Al momento de manipular la tuberia en los soportes ó burros mantener la atención respecto a la ubicación de las manos mientras la asegura con la eslinga, realizar lentamente el  izaje de cada tramo de tuberia hasta la rampa de la mesa.</t>
    </r>
  </si>
  <si>
    <t>Conexión de mangueras de alta y baja presión, mangueras neumática en la llave hidraulica a las unidades de potencia</t>
  </si>
  <si>
    <t>Señalización, Reporte de condiciones inseguras. Orden y aseo. 
Realizar inspección a las unidades previo a la prueba para verificar que las conexiones hayan quedado correctamente instaladas.</t>
  </si>
  <si>
    <r>
      <rPr>
        <u/>
        <sz val="7"/>
        <rFont val="Arial"/>
        <family val="2"/>
      </rPr>
      <t>Mantener controles:</t>
    </r>
    <r>
      <rPr>
        <sz val="7"/>
        <rFont val="Arial"/>
        <family val="2"/>
      </rPr>
      <t xml:space="preserve">
Señalización, Reporte de condiciones inseguras. Orden y aseo. 
Realizar inspección a las unidades previo a la prueba para verificar que las conexiones hayan quedado correctamente instaladas.</t>
    </r>
  </si>
  <si>
    <t xml:space="preserve">Las lineas son aseguradas con guayas de seguridad.
Manteniemiento de unidades y certificación de tuberias. </t>
  </si>
  <si>
    <t>Manejo de cargas con dispositivo mecánico</t>
  </si>
  <si>
    <t>Supervisor I, Supervisor II, Auxiliares</t>
  </si>
  <si>
    <t>montacargas</t>
  </si>
  <si>
    <t xml:space="preserve">Mantenimiento periódico a los montacargas </t>
  </si>
  <si>
    <t>Continuar con la implementación del programa de acondicionamiento físico, capacitación en manejo correcto de cargas</t>
  </si>
  <si>
    <t xml:space="preserve">Mantener controles:
Mantenimiento periódico a los montacargas </t>
  </si>
  <si>
    <t>Uso de ayudas mecanicas para el manejo de cargas.</t>
  </si>
  <si>
    <t>Verificar correcto uso de ayudas mecanicas para el manejo de cargas.</t>
  </si>
  <si>
    <t>Manejo/almacenamiento de cargas   (accesorios)</t>
  </si>
  <si>
    <t>Mantenimiento de equipos (montacargas) y plantas</t>
  </si>
  <si>
    <t>Manejo de tambores con productos químicos</t>
  </si>
  <si>
    <t xml:space="preserve">Soldaudra acetilenica, eléctrica y oxicorte </t>
  </si>
  <si>
    <t xml:space="preserve">Soldadura oxiacetilenica, eléctrica y oxicorte </t>
  </si>
  <si>
    <t>Soldador</t>
  </si>
  <si>
    <t>Técnico soldador, auxiliar de soldadura</t>
  </si>
  <si>
    <t>Acumulación de gases y vapores inflamables, chispas
Uso de gases comprimidos</t>
  </si>
  <si>
    <t xml:space="preserve">DE-P-MA-08 Aplicacion de Soldadura, </t>
  </si>
  <si>
    <t>Mantener ventilación adecuada, realizar inspección u mantenimiento al sistema de control de incendio.</t>
  </si>
  <si>
    <t>Personal capacitado en soldaduta Oxiacetilénica y manejo de extintores portátiles.</t>
  </si>
  <si>
    <t xml:space="preserve">Personal capacitado en soldaduta Oxiacetilénica y manejo de extintores portátiles.
Realizar pruebas de gases antes del trabajo (si aplica) Permisos  de trabajo seguro </t>
  </si>
  <si>
    <t xml:space="preserve">4.8 Exposición a humos metálicos </t>
  </si>
  <si>
    <t>Humos de soldadura</t>
  </si>
  <si>
    <t>4.8 Intoxicación, lesiones de diversa magnitud y severidad. Lesiones fatales</t>
  </si>
  <si>
    <t>Procedimeintos de operación.  Inspección y mantenimiento duchas y lavaojos</t>
  </si>
  <si>
    <t>Pruebas realizadas solo por personal capacitado. MSDS los prod. Químicos</t>
  </si>
  <si>
    <t>Uso de EPI(contra humos metalicos)</t>
  </si>
  <si>
    <t>Realización de pruebas biológicas a personal expuesto a químicos, espirometrias. PVE Químico</t>
  </si>
  <si>
    <t>Mantener controles:
Procedimeintos de operación.  Inspección y mantenimiento duchas y lavaojos</t>
  </si>
  <si>
    <t>Mantener controles:
Pruebas realizadas solo por personal capacitado. MSDS los prod. Químicos</t>
  </si>
  <si>
    <t>Herramientas eléctricas y manuales</t>
  </si>
  <si>
    <t xml:space="preserve">Uso y mantenimiento de EPI </t>
  </si>
  <si>
    <t>Mantener controles:
Guardas y sistemas de seguridad de herramientas. LO - TO, AST y PT</t>
  </si>
  <si>
    <t>Mantener controles:
Capacitación en manejo de herramientas y prevención de lesiones de mano y LO - TO, mantenimiento de equipos y herramientas.</t>
  </si>
  <si>
    <t>Cables sin cubrir, Instalaciones auxiliares (planta eléctrica), equipo de soldadura</t>
  </si>
  <si>
    <t>Uso de EPP, charla de riegos eléctrico</t>
  </si>
  <si>
    <t xml:space="preserve">Aplicar sistema de bloqueo y etiquetado, aislamiento del sistema electrico. </t>
  </si>
  <si>
    <t>Solo personal capacitado para estos trabajos.</t>
  </si>
  <si>
    <t>Uso de EPI (dieléctrico)</t>
  </si>
  <si>
    <t xml:space="preserve">Programa de riesgo eléctrico.  </t>
  </si>
  <si>
    <t xml:space="preserve">Aplicación de Permisos de trabajos, aislamiento de energia. Mantenimiento preventivo y correctivo.
Capacitación en Seguridad Elécrtrica
Programa de riesgo eléctrico.  </t>
  </si>
  <si>
    <t>Uso EPI como Guantes dieléctricos.</t>
  </si>
  <si>
    <t>Segumiento en programa de riesgo eléctrico</t>
  </si>
  <si>
    <t>Alta temperatura por radiación solar y de soldadura</t>
  </si>
  <si>
    <t>Uso de equipo de protección contra caidas durante todas las actividades</t>
  </si>
  <si>
    <t xml:space="preserve"> Verificación de  hidratación constante, periodos de descanso a necesidad, ropas adecuadas</t>
  </si>
  <si>
    <t>Fumigaciones periódicas semestrales, Vacuna fiebre amarilla, tetanos capacitaciones
Capacitación en riesgos de salud pública</t>
  </si>
  <si>
    <t>Seguimiento a la Fumigaciones, vacunación, capacitación del personal en riesgos de salud pubilica.</t>
  </si>
  <si>
    <t>Continuar con PVE de dermatosis. Capacitación dermatosis</t>
  </si>
  <si>
    <t xml:space="preserve">Uso de bloqueador solar, overol de manga larga. Hidratación suficiente y adecuada
</t>
  </si>
  <si>
    <t>Seguimiento al  uso de overol manga larga, hidratación constante, disposición de bloqueador solar</t>
  </si>
  <si>
    <t xml:space="preserve">Posturas inadecuadas por periodos prolongados, movimientos fuera de angulos de confort </t>
  </si>
  <si>
    <t>Programa de acondicionamiento físico, capacitación en manejo correcto de cargas</t>
  </si>
  <si>
    <t>PVE Ergonómico, examenes ocupacionales
Sesiones de gimnasia laboral , evaluaciones fisioterapeuticas.</t>
  </si>
  <si>
    <t>Programa de acondicionamiento físico.
Capacitación en manejo de cargas. Ayudas mecánicas (cuando sea factible)</t>
  </si>
  <si>
    <t>Uso de ayudas mecanicas (grúa y/o montacarga cuando sea factible) para el manejo de cargas.</t>
  </si>
  <si>
    <t xml:space="preserve">Movilidad de personal </t>
  </si>
  <si>
    <t>Movilidad de empleados a diferentes ubicaciones o instalaciones</t>
  </si>
  <si>
    <t>Despachador</t>
  </si>
  <si>
    <t>Facturacion y compras</t>
  </si>
  <si>
    <t>Atrapamiento dentro del vehiculo generado por accidente  vehicular. Atrapamiento de manos con puertas de vehiculo o helicoptero</t>
  </si>
  <si>
    <t xml:space="preserve">Curso en manejo defensivo. Mantenimiento preventivo al vehiculo. </t>
  </si>
  <si>
    <t>Curso en manejo defensivo. Mantenimiento preventivo al vehiculo. Estar atento al cierre y apertura de la puerta. Seguir indicaciones de video de seguridad antes de abordar el helicoptero</t>
  </si>
  <si>
    <t>Inspecciones de seguridad (para camionetas)</t>
  </si>
  <si>
    <t>Ruido generado  por el vehiculo, helicoptero o y/o avion</t>
  </si>
  <si>
    <t xml:space="preserve"> Dosimetrias y sonometrias. PVE Conservación Auditiva. Evaluaciones Médicas Ocupacionales (audiometria). Matenimiento preventivo a vehiculos</t>
  </si>
  <si>
    <t xml:space="preserve">Seguimiento mediante  PVE Conservación Auditiva. Evaluaciones Médicas </t>
  </si>
  <si>
    <t xml:space="preserve"> Dosimetrias y sonometrias. PVE Conservación Auditiva. Evaluaciones Médicas Ocupacionales (audiometria). Campaña uso de EPI para todo el personal de operaciones. Mantenimiento preventivo a equipos.</t>
  </si>
  <si>
    <t>Uso de protectores auditivos de insercion</t>
  </si>
  <si>
    <t>Material particulado desplazamiento por carretes destapadas</t>
  </si>
  <si>
    <t>Inspeccion del area
Esquema de vacunacion</t>
  </si>
  <si>
    <t>Esquema de vacunación</t>
  </si>
  <si>
    <t>Realizar inspeccion periodicas al area y a los alrededores para identificar presencia de avispas. Realizar inspeccion a equipos especialmente variadores cuando llegan de pozo.
Esquema de vacunacion</t>
  </si>
  <si>
    <t xml:space="preserve">LAURA CONTRERAS </t>
  </si>
  <si>
    <t>Posicion sentado por extensas jornadas</t>
  </si>
  <si>
    <t>Descansos durante viajes largos. Pausas activas. Continuar con PVE osteomuscular y ginmasia laboral. Examenes ocupacionales.</t>
  </si>
  <si>
    <t>Seguimeinto mediante: PVE osteomuscular y examenes ocupacionales. Sesiones de gimnasia laboral , evaluaciones fisioterapeuticas.</t>
  </si>
  <si>
    <t>8.5 Gestión organizacional</t>
  </si>
  <si>
    <t>Responsabilidades a cargo</t>
  </si>
  <si>
    <t>8.5 Estrés, desmotivacion, irritabilidad, ansiedad y cansancio</t>
  </si>
  <si>
    <t>Encuestas sobre clima laboral
Programa de riesgos psicosocial.</t>
  </si>
  <si>
    <t>Entrevistas acerca del clima laboral.
Programa de riesgos psicosocial.</t>
  </si>
  <si>
    <t>Caida de al ascender o descender por escaleras del avion y/o helicoptero</t>
  </si>
  <si>
    <t>Uso de EPP, charlas de riesgo físicos</t>
  </si>
  <si>
    <t>Inspeccion del area a transitar. Uso de barandas de escaleras y manijas de helicoptero.</t>
  </si>
  <si>
    <t>12.4 Tormentas elèctricas</t>
  </si>
  <si>
    <t xml:space="preserve">Riesgo de tormenta electrica </t>
  </si>
  <si>
    <t>12.4 Lesiones Fatales</t>
  </si>
  <si>
    <t>Iluminación intermitente</t>
  </si>
  <si>
    <t xml:space="preserve">Detener la actividad y resguardarse en un lugar seguro.  Esperar hasta que cese la tormenta.  </t>
  </si>
  <si>
    <t>Durante el viaje</t>
  </si>
  <si>
    <t>Monitoreo durante el viaje. Capacitacion CSSM Dynadrill. Gerenciamiento de viaje</t>
  </si>
  <si>
    <t>Dispositivo para monitoreo del viaje</t>
  </si>
  <si>
    <t>Monitoreo durante el viaje. Capacitacion CSSM  Dynadrill. Gerenciamiento de viaje</t>
  </si>
  <si>
    <t xml:space="preserve">Incendio o explosion </t>
  </si>
  <si>
    <t>Mantenimiento preventivo a vehiculos. Chek list. Capacitacion contra incendios</t>
  </si>
  <si>
    <t>Accidente vehicular (aereo o terrestre)</t>
  </si>
  <si>
    <t xml:space="preserve">DYN-SGI-RE-049 Gerenciamiento Viaje </t>
  </si>
  <si>
    <t>Curso en manejo defensivo.  Mantenimiento preventivo a vehiculos. Seguir indicaciones de pilotos y video de seguridad en el avion o helicoptero. Mantener limites de velocidad</t>
  </si>
  <si>
    <t xml:space="preserve"> Curso en manejo defensivo. Drive right.  Mantenimiento preventivo a vehiculos. Seguir indicaciones de pilotos y video de seguridad en el avion o helicoptero. Mantener limites de velocidad</t>
  </si>
  <si>
    <t xml:space="preserve">Transporte de carga pesada y movilizacion de vehiculos </t>
  </si>
  <si>
    <t xml:space="preserve">Movimiento de vehiculos dentro y fuera  de la base. Transporte de carga pesada (quimicos, equipos, materiales) </t>
  </si>
  <si>
    <t>Operador de
Fluidos</t>
  </si>
  <si>
    <t xml:space="preserve">Personal contratista y propio de transporte </t>
  </si>
  <si>
    <t>Atrapamiento dentro del vehiculo generado por accidente  vehicular o por caida de la carga. Atrapamiento de manos con puertas de vehiculo</t>
  </si>
  <si>
    <t>Curso en manejo defensivo. Mantenimiento preventivo al vehiculo. Inspeccion de luz negra a king pin y quinta rueda. Seguimiento a contratista. Amarre seguro de carga. Gerenciamiento de viaje</t>
  </si>
  <si>
    <t>Seguimiento a contratistas. Mantenimiento preventivo a vehiculos</t>
  </si>
  <si>
    <t>Curso en manejo defensivo. Mantenimiento preventivo al vehiculo. Inspeccion de luz negra a king pin y quinta rueda. Seguimiento a contratista. Amarre seguro de carga. Gerenciamiento de viaje.</t>
  </si>
  <si>
    <t>Iluminacion deficiente durante la noche en el patio de la base</t>
  </si>
  <si>
    <t>Mantenimiento a instalaciones. Luminarias adecuadas para area de patio.</t>
  </si>
  <si>
    <t>Ruido generado  por el vehiculo</t>
  </si>
  <si>
    <t xml:space="preserve"> Dosimetrias y sonometrias. PVE Conservación Auditiva. Evaluaciones Médicas Ocupacionales (audiometria). Campaña uso de EPI para todo el personal de operaciones. Mantenimiento preventivo a vehiculos</t>
  </si>
  <si>
    <t>Transporte de sustancias quimicas</t>
  </si>
  <si>
    <t>Permiso de trabajo. Rotulacion de quimicos. MSDS disponibles. Capacitacion sobre almacenamiento de quimicos. Gerenciamiento de viajes.</t>
  </si>
  <si>
    <t>Jornada de trabajo</t>
  </si>
  <si>
    <t xml:space="preserve"> Realizar dinamicas de trabajo en equipo Programa de riesgo psicosicial. Continuar con charlas sobre manejo del estrés.</t>
  </si>
  <si>
    <t>Seguimiento a contratista</t>
  </si>
  <si>
    <t>Caida al ascender o descender del vehiculo (tracto mula, camion)</t>
  </si>
  <si>
    <t>Uso de EPP, charla de riesgos de caigas a diferentes niveles</t>
  </si>
  <si>
    <t>Inspeccion del area a transitar. Uso de barandas</t>
  </si>
  <si>
    <t>Inspeccion del area a transitar. Uso de barandas.</t>
  </si>
  <si>
    <t>Continuar con capacitación en manejo del Riesgo publico, instructivo de comportamiento en situaciones de emergencia y de prevención, se desarrolló documento (recomendaciones seguridad en viajes)</t>
  </si>
  <si>
    <t>Gerenciamiento de viaje.</t>
  </si>
  <si>
    <t>Mantener controles:
Continuar con capacitación en manejo del Riesgo publico, instructivo de comportamiento en situaciones de emergencia y de prevención, se desarrolló documento (recomendaciones seguridad en viajes)</t>
  </si>
  <si>
    <t>Incendio o explosion  (transporte de quimcos)</t>
  </si>
  <si>
    <t>Mantenimiento preventivo a vehiculos. Chek list. Capacitacion contra incendios. Capacitacion sobre transporte de quimicos</t>
  </si>
  <si>
    <t xml:space="preserve">Accidente vehicular </t>
  </si>
  <si>
    <t>Curso en manejo defensivo.   Mantenimiento preventivo a vehiculos.  Mantener limites de velocidad.</t>
  </si>
  <si>
    <t xml:space="preserve"> Curso en manejo defensivo.   Mantenimiento preventivo a vehiculos.  Mantener limites de velocidad.</t>
  </si>
  <si>
    <t xml:space="preserve">Dirección General </t>
  </si>
  <si>
    <t>Base Quito</t>
  </si>
  <si>
    <t xml:space="preserve">Coordinación, seguimiento y verificación  de la ejecución de los procesos de la organización </t>
  </si>
  <si>
    <t xml:space="preserve">Delegar funciones por puesto de trabajo </t>
  </si>
  <si>
    <t>Si</t>
  </si>
  <si>
    <t>Gerente General/ 
Representante Legal</t>
  </si>
  <si>
    <t>Gerencia General</t>
  </si>
  <si>
    <t>8.2 Monotonía / Posturas repetitivas</t>
  </si>
  <si>
    <t xml:space="preserve">6. Ergonómico </t>
  </si>
  <si>
    <t>Dolencia lumbar</t>
  </si>
  <si>
    <t>Dentro del trabajo</t>
  </si>
  <si>
    <t xml:space="preserve">Pausas activas, charlas de monotonia en el puesto de trabajo </t>
  </si>
  <si>
    <t xml:space="preserve">Sillas ergonómicas </t>
  </si>
  <si>
    <t>Señalética de buenas prácticas de posturas</t>
  </si>
  <si>
    <t xml:space="preserve">Fisioterapia </t>
  </si>
  <si>
    <t>Descanso de 10 minutos cada 2 horas</t>
  </si>
  <si>
    <t xml:space="preserve">Diagnósticos frecuentes </t>
  </si>
  <si>
    <t xml:space="preserve">8.6 Carga Laboral </t>
  </si>
  <si>
    <t xml:space="preserve">DYN-DIG-PR-002 Procedimiento comprensión organización contexto </t>
  </si>
  <si>
    <t xml:space="preserve">Base Quito  </t>
  </si>
  <si>
    <t xml:space="preserve">Coordinación, seguimiento y verificación  de la ejecución de los procesos estratégicos operativos </t>
  </si>
  <si>
    <t>Director General</t>
  </si>
  <si>
    <t xml:space="preserve">Coordinación, seguimiento y verificación  de la ejecución de los procesos de comercialización  y satisfacion del cliente </t>
  </si>
  <si>
    <t>Gerente de Ventas</t>
  </si>
  <si>
    <t>Gerente de ventas</t>
  </si>
  <si>
    <t>DYN-VEN-PR-001 Comercializacion y Ventas PMP, DYN-VEN-PR-002 Comercializacion y Ventas FCR</t>
  </si>
  <si>
    <t xml:space="preserve">Coordinación, seguimiento y verificación de la ejecución de los procesos operativos </t>
  </si>
  <si>
    <t>Gerente de Operaciones</t>
  </si>
  <si>
    <t xml:space="preserve">Coordinación, seguimiento y verificación  de la ejecución de la formación y competencia de los colaboradores </t>
  </si>
  <si>
    <t>Gerente de Talento Humano</t>
  </si>
  <si>
    <t>DYN-THH-PR-003 Procedimiento competencia toma conciencia formación, DYN-THH-PR-002 Procedimiento funciones, responsabilidad y autoridad</t>
  </si>
  <si>
    <t xml:space="preserve">Coordinación, seguimiento y verificación  de la ejecución de los procesos del sistema integrado de gestión </t>
  </si>
  <si>
    <t>Gerente de Sistema de Gestión</t>
  </si>
  <si>
    <t>DYN-SGI-PR-001 Información documentada</t>
  </si>
  <si>
    <t xml:space="preserve">Ingenieria y Ventas </t>
  </si>
  <si>
    <t xml:space="preserve">Negociar y verificar los requerimientos del cliente </t>
  </si>
  <si>
    <t>Gerente de 
Ingeniería y 
Ventas</t>
  </si>
  <si>
    <t>Compras y Logística</t>
  </si>
  <si>
    <t xml:space="preserve">Base Quito </t>
  </si>
  <si>
    <t xml:space="preserve">Coordinación, seguimiento y verificación  de la ejecución de los procesos del  compra y logística </t>
  </si>
  <si>
    <t xml:space="preserve">Jefe de Facturación </t>
  </si>
  <si>
    <t xml:space="preserve">DYN-CLO-PR-002 Procedimiento Compras y logística, DYN-CLO-PR-004 Procedimiento de Facturacion </t>
  </si>
  <si>
    <t>Base Quito - Coca</t>
  </si>
  <si>
    <t xml:space="preserve">Registros los sustentos y procedimientos que avalen la calificación de proveedores y los respaldos transaccionales para los pagos </t>
  </si>
  <si>
    <t xml:space="preserve">Documentar las gestiones según transacciones y legitimidad de los pagos </t>
  </si>
  <si>
    <t>Asistente de 
compras_x000D_</t>
  </si>
  <si>
    <t>Base Quito -Coca</t>
  </si>
  <si>
    <t xml:space="preserve">Registros los sustentos y procedimientos que avalen la calificación de proveedores y los respardos transaccionales para los pagos </t>
  </si>
  <si>
    <t>Especialista en 
facturación
compras</t>
  </si>
  <si>
    <t>Administrativo Financiero</t>
  </si>
  <si>
    <t>Coordinación, seguimiento y verificación  de la ejecución de los procesos financieros contables</t>
  </si>
  <si>
    <t>Gerente Administrativo Financiero</t>
  </si>
  <si>
    <t>DYN-AFN-PR-001 Proc Ctrl Fin No Fin</t>
  </si>
  <si>
    <t xml:space="preserve">Registrar las transacciones que respalden los ingresos y gastos de la organización </t>
  </si>
  <si>
    <t xml:space="preserve">Representar a la organización con su firma profesional que reflejan el estado y los informes financieros </t>
  </si>
  <si>
    <t>Contadora 
General</t>
  </si>
  <si>
    <t xml:space="preserve">Verificar que los comprobantes legitimizan que las transaccioines contables cumplan con los requisitos tributarios </t>
  </si>
  <si>
    <t xml:space="preserve">Archivar y revisar la información documentada que respalda cada transacción </t>
  </si>
  <si>
    <t>Asistente 
Contable
General</t>
  </si>
  <si>
    <t>DYN-AFN-PR-003 Procedimiento de caja chica</t>
  </si>
  <si>
    <t>Gestión Integral</t>
  </si>
  <si>
    <t>Base Coca - Quito</t>
  </si>
  <si>
    <t xml:space="preserve">Control y vigilancia de la salud física </t>
  </si>
  <si>
    <t>Monitorear y evaluar la salud física de los empleados para prevenir enfermedades ocupacionales</t>
  </si>
  <si>
    <t>Médico 
Ocupacional
Jefe QHSE</t>
  </si>
  <si>
    <t>Médico 
Ocupacional
Contable
General</t>
  </si>
  <si>
    <t xml:space="preserve">Talento Humano </t>
  </si>
  <si>
    <t xml:space="preserve">Verificaciòn de nomina, roles de pagos, entrevistas para ingreso de personal, seguimiento de capacitaciones y entrenamiento del personal. </t>
  </si>
  <si>
    <t>Monitorear la competancia del personal, realizar seguimiento de cumplimiento de capacitaciones, verificar roles de pagos y asegurarse de ingreso de nuevo personal.</t>
  </si>
  <si>
    <t>Juan Canching</t>
  </si>
  <si>
    <t>Control admin., señalización, adevertencias</t>
  </si>
  <si>
    <t>COCA</t>
  </si>
  <si>
    <t>QUITO</t>
  </si>
  <si>
    <t>Mantener controles:
Mantenimiento de equipos de laboratorio - Plan de mantenimiento y certificaciones . Lineas de presion aisladas. Verificacion periodica de equipos de presion. Ingreso  restringido.
AST y Procedimientos operativos</t>
  </si>
  <si>
    <t xml:space="preserve">Seguimiento mediante inspecciones.
</t>
  </si>
  <si>
    <t>Activar Plan de emergencias. MSD disponibles.
 Capacitacion sobre atencion de emergencias. 
Tarjetas de emergencia. Kit de control de derrame de quimicos.</t>
  </si>
  <si>
    <t>Activar Plan de emergencias.
Ubicar las rutas de evacuación. Uso y verificación del traje contra incendios, casco de bombero, pasamontañas, guantes de vaqueta y botas contra incendios. Mantener controles establecidos.</t>
  </si>
  <si>
    <t xml:space="preserve">Personal capacitado en soldadura Oxiacetilénica y manejo de extintores portátiles.
Realizar pruebas de gases antes del trabajo (si aplica) Permisos  de trabajo seguro </t>
  </si>
  <si>
    <t xml:space="preserve"> Curso en manejo defensivo. Mantenimiento preventivo a vehiculos. Seguir indicaciones de pilotos y video de seguridad en el avion o helicoptero. Mantener limites de velocidad</t>
  </si>
  <si>
    <r>
      <t xml:space="preserve">Reunión prejornada, señalización de unidades, equipos de manejo de contingencias ambientales, simulacros de derrame.
</t>
    </r>
    <r>
      <rPr>
        <u/>
        <sz val="7"/>
        <rFont val="Arial"/>
        <family val="2"/>
      </rPr>
      <t xml:space="preserve">Mantener controles:
</t>
    </r>
    <r>
      <rPr>
        <sz val="7"/>
        <rFont val="Arial"/>
        <family val="2"/>
      </rPr>
      <t xml:space="preserve">Conductores certificados. Manejo defensivo de vehículos. </t>
    </r>
  </si>
  <si>
    <t>Monitoreo durante el viaje.  Gerenciamiento de viaje</t>
  </si>
  <si>
    <t>Monitoreo durante el viaje. Gerenciamiento de viaje</t>
  </si>
  <si>
    <t xml:space="preserve">Uso de funda para guardar el arma, uso de seguro. </t>
  </si>
  <si>
    <t>Activar Plan de emergencias 
Ubicar las rutas de evacuación. Uso y verificación del traje contra incendios, casco de bombero, pasamontañas, guantes de vaqueta y botas contra incendios. Mantener controles establecidos.</t>
  </si>
  <si>
    <t xml:space="preserve">Asistente 
Contable
General. </t>
  </si>
  <si>
    <t>Administrativo .</t>
  </si>
  <si>
    <t>Base Coca</t>
  </si>
  <si>
    <t xml:space="preserve">Soporte administrativo en todas las tareas encomendadas </t>
  </si>
  <si>
    <t xml:space="preserve">Soporte administrativo  </t>
  </si>
  <si>
    <t xml:space="preserve">Asistente administrativo </t>
  </si>
  <si>
    <t>Descansos periódicos, charlas de riesgos psicosociales</t>
  </si>
  <si>
    <t>Sesiones de relajacion  durante ginmasia laboral. Programa de Riesgo Psicosocial , charlas del manejo de stress</t>
  </si>
  <si>
    <t>Diagnósticos periódicos</t>
  </si>
  <si>
    <t>Auxiliar de Base</t>
  </si>
  <si>
    <t xml:space="preserve">8.6 Carga Laboral      </t>
  </si>
  <si>
    <t xml:space="preserve">Administrativo </t>
  </si>
  <si>
    <t>Cristhian  Herrera</t>
  </si>
  <si>
    <t xml:space="preserve">
 Capacitación en manejo del Riesgo publico, instructivo de comportamiento en situaciones de emergencia y de prevención, se desarrolló documento (recomendaciones seguridad en viajes).
Capacitación sobre el riesgo publico, manejo defensivo</t>
  </si>
  <si>
    <r>
      <t>Reuniones precaravana, señalización de unidades, equipos de manejo de contingencias ambientales, simulacros de derrame, manejo de exintores.</t>
    </r>
    <r>
      <rPr>
        <u/>
        <sz val="7"/>
        <rFont val="Arial"/>
        <family val="2"/>
      </rPr>
      <t xml:space="preserve">
</t>
    </r>
    <r>
      <rPr>
        <sz val="7"/>
        <rFont val="Arial"/>
        <family val="2"/>
      </rPr>
      <t xml:space="preserve">Conductores certificados. Manejo defensivo de vehículos. </t>
    </r>
  </si>
  <si>
    <t xml:space="preserve">Nivel de Deficiencia </t>
  </si>
  <si>
    <r>
      <t xml:space="preserve">0  </t>
    </r>
    <r>
      <rPr>
        <sz val="14"/>
        <rFont val="Arial"/>
        <family val="2"/>
      </rPr>
      <t xml:space="preserve"> No se ha detectado consecuencia alguna, o la eficacia del conjunto de medidas preventivas existentes es alta, o ambos. El riesgo está controlado. .</t>
    </r>
  </si>
  <si>
    <r>
      <t xml:space="preserve">2  </t>
    </r>
    <r>
      <rPr>
        <sz val="14"/>
        <rFont val="Arial"/>
        <family val="2"/>
      </rPr>
      <t xml:space="preserve"> Se han detectado peligros que pueden dar lugar a consecuencias poco significativa(s) o de menor importancia, o la eficacia del conjunto de medidas preventivas existentes es moderada, o ambos. </t>
    </r>
  </si>
  <si>
    <r>
      <t xml:space="preserve">6  </t>
    </r>
    <r>
      <rPr>
        <sz val="14"/>
        <rFont val="Arial"/>
        <family val="2"/>
      </rPr>
      <t xml:space="preserve"> Se ha(n) detectado algún(os) peligro(s) que pueden dar lugar a consecuencias significativa(s), o la eficacia del conjunto de medidas preventivas existentes es baja, o ambos. </t>
    </r>
  </si>
  <si>
    <r>
      <t>10</t>
    </r>
    <r>
      <rPr>
        <sz val="14"/>
        <rFont val="Arial"/>
        <family val="2"/>
      </rPr>
      <t xml:space="preserve"> Se ha(n) detectado peligro(s) que determina(n) como posible la generación de incidentes o consecuencias muy significativas, o la eficacia del conjunto de medidas preventivas existentes respecto al riesgo es nula o no existe, o ambos</t>
    </r>
  </si>
  <si>
    <t>Nivel de Exposición</t>
  </si>
  <si>
    <t>Nivel de Probabilidad</t>
  </si>
  <si>
    <t>Nivel de Consecuencias</t>
  </si>
  <si>
    <r>
      <t xml:space="preserve">10 </t>
    </r>
    <r>
      <rPr>
        <sz val="14"/>
        <rFont val="Arial"/>
        <family val="2"/>
      </rPr>
      <t xml:space="preserve">Lesiones o enfermedades que no requieren incapacidad. </t>
    </r>
  </si>
  <si>
    <r>
      <t xml:space="preserve">25  </t>
    </r>
    <r>
      <rPr>
        <sz val="14"/>
        <rFont val="Arial"/>
        <family val="2"/>
      </rPr>
      <t xml:space="preserve">Lesiones o enfermedades con incapacidad laboral temporal (ILT) </t>
    </r>
  </si>
  <si>
    <r>
      <t xml:space="preserve">60  </t>
    </r>
    <r>
      <rPr>
        <sz val="14"/>
        <rFont val="Arial"/>
        <family val="2"/>
      </rPr>
      <t xml:space="preserve"> Lesiones o enfermedades graves irreparables (incapacidad permanente parcial o invalidez).  </t>
    </r>
  </si>
  <si>
    <r>
      <t>100</t>
    </r>
    <r>
      <rPr>
        <sz val="14"/>
        <rFont val="Arial"/>
        <family val="2"/>
      </rPr>
      <t xml:space="preserve"> (Muerte (s) </t>
    </r>
  </si>
  <si>
    <r>
      <rPr>
        <b/>
        <sz val="14"/>
        <rFont val="Arial"/>
        <family val="2"/>
      </rPr>
      <t>1</t>
    </r>
    <r>
      <rPr>
        <sz val="14"/>
        <rFont val="Arial"/>
        <family val="2"/>
      </rPr>
      <t xml:space="preserve">    La situación de exposición se presenta de manera eventual. </t>
    </r>
  </si>
  <si>
    <r>
      <rPr>
        <b/>
        <sz val="14"/>
        <rFont val="Arial"/>
        <family val="2"/>
      </rPr>
      <t>2</t>
    </r>
    <r>
      <rPr>
        <sz val="14"/>
        <rFont val="Arial"/>
        <family val="2"/>
      </rPr>
      <t xml:space="preserve">     La situación de exposición se presenta alguna vez durante la jornada laboral y por un periodo de tiempo corto. </t>
    </r>
  </si>
  <si>
    <r>
      <rPr>
        <b/>
        <sz val="14"/>
        <rFont val="Arial"/>
        <family val="2"/>
      </rPr>
      <t xml:space="preserve">3 </t>
    </r>
    <r>
      <rPr>
        <sz val="14"/>
        <rFont val="Arial"/>
        <family val="2"/>
      </rPr>
      <t xml:space="preserve">    La situación de exposición se presenta varias veces durante la jornada laboral por tiempos cortos. </t>
    </r>
  </si>
  <si>
    <r>
      <rPr>
        <b/>
        <sz val="14"/>
        <rFont val="Arial"/>
        <family val="2"/>
      </rPr>
      <t xml:space="preserve">4 </t>
    </r>
    <r>
      <rPr>
        <sz val="14"/>
        <rFont val="Arial"/>
        <family val="2"/>
      </rPr>
      <t xml:space="preserve">  La situación de exposición se presenta sin interrupción o varias veces con tiempo prolongado durante la jornada laboral. </t>
    </r>
  </si>
  <si>
    <r>
      <rPr>
        <b/>
        <sz val="14"/>
        <rFont val="Arial"/>
        <family val="2"/>
      </rPr>
      <t>Entre 4 y 2 ( Bajo)</t>
    </r>
    <r>
      <rPr>
        <sz val="14"/>
        <rFont val="Arial"/>
        <family val="2"/>
      </rPr>
      <t xml:space="preserve">   Situación mejorable con exposición ocasional o esporádica, o situación sin anomalía destacables con cualquier nivel de exposición. 
No es esperable que se materialice el riesgo, aunque puede ser concebible. </t>
    </r>
  </si>
  <si>
    <r>
      <rPr>
        <b/>
        <sz val="14"/>
        <rFont val="Arial"/>
        <family val="2"/>
      </rPr>
      <t>Entre 8 y 6</t>
    </r>
    <r>
      <rPr>
        <sz val="14"/>
        <rFont val="Arial"/>
        <family val="2"/>
      </rPr>
      <t xml:space="preserve">  </t>
    </r>
    <r>
      <rPr>
        <b/>
        <sz val="14"/>
        <rFont val="Arial"/>
        <family val="2"/>
      </rPr>
      <t>( Medio)</t>
    </r>
    <r>
      <rPr>
        <sz val="14"/>
        <rFont val="Arial"/>
        <family val="2"/>
      </rPr>
      <t xml:space="preserve"> Situación deficiente con exposición esporádica, o bien situación mejorable con exposición continuada o frecuente. 
Es posible que suceda el daño alguna vez. </t>
    </r>
  </si>
  <si>
    <r>
      <rPr>
        <b/>
        <sz val="14"/>
        <rFont val="Arial"/>
        <family val="2"/>
      </rPr>
      <t>Entre 20 y 10 ( Alto)</t>
    </r>
    <r>
      <rPr>
        <sz val="14"/>
        <rFont val="Arial"/>
        <family val="2"/>
      </rPr>
      <t xml:space="preserve">   Situación deficiente con exposición frecuente u ocasional, o bien situación muy deficiente con exposición ocasional o esporádica. </t>
    </r>
  </si>
  <si>
    <r>
      <rPr>
        <b/>
        <sz val="14"/>
        <rFont val="Arial"/>
        <family val="2"/>
      </rPr>
      <t>Entre 40 y 24 ( Muy Alto)</t>
    </r>
    <r>
      <rPr>
        <sz val="14"/>
        <rFont val="Arial"/>
        <family val="2"/>
      </rPr>
      <t xml:space="preserve"> Situación deficiente con exposición continua, o muy deficiente con exposición frecuente. 
Normalmente la materialización del riesgo ocurre con frecuencia. </t>
    </r>
  </si>
  <si>
    <t xml:space="preserve"> Químico</t>
  </si>
  <si>
    <t xml:space="preserve"> Fisíco</t>
  </si>
  <si>
    <t xml:space="preserve"> Psicosocial</t>
  </si>
  <si>
    <t xml:space="preserve"> Ergonómico</t>
  </si>
  <si>
    <t>Locativos ( Condiciones de seguridad)</t>
  </si>
  <si>
    <t xml:space="preserve">Condiciones de Seguridad </t>
  </si>
  <si>
    <t>Condiciones de seguridad (Locativos)</t>
  </si>
  <si>
    <t>Psicosocial</t>
  </si>
  <si>
    <t>Fisíco</t>
  </si>
  <si>
    <t>Químico</t>
  </si>
  <si>
    <t>Ergonómico</t>
  </si>
  <si>
    <t>Condiciones de seguridad ( Explosión)</t>
  </si>
  <si>
    <t xml:space="preserve">Condiciones de seguridad </t>
  </si>
  <si>
    <t xml:space="preserve">Mecànico </t>
  </si>
  <si>
    <t>Electrico ( Baja tensión)</t>
  </si>
  <si>
    <t>Biológico</t>
  </si>
  <si>
    <t>Condiciones de seguridad ( locativos)</t>
  </si>
  <si>
    <t xml:space="preserve"> Biológico</t>
  </si>
  <si>
    <t>Fenómenos naturales</t>
  </si>
  <si>
    <t>Condiciones de seguridad</t>
  </si>
  <si>
    <t>condiciones de seguridad</t>
  </si>
  <si>
    <t xml:space="preserve">Ergonómico </t>
  </si>
  <si>
    <t xml:space="preserve"> Ergonómico </t>
  </si>
  <si>
    <t xml:space="preserve"> Plataforma de la unidad
Cambio y/o mantenimiento de luminarias a diferente altura.</t>
  </si>
  <si>
    <t xml:space="preserve"> Aspas de speed mixer al lavarlo despues de la mezcla</t>
  </si>
  <si>
    <t>Uso de EPP, charlas de manejo de mangueras en función de posturas</t>
  </si>
  <si>
    <t xml:space="preserve">DYN-SGI-PR-029 Procedimiento de Manejo y Transporte de Residuos Peligrosos,  DYN-SGI-PR-063 Guía de Remisión de Desechos, DYN-SGI-RE-049 Gerenciamiento Viaje </t>
  </si>
  <si>
    <t xml:space="preserve">DYN-MNT-PR-007 Aplicacion de Soldadura, </t>
  </si>
  <si>
    <t xml:space="preserve">Base Coca-Campo </t>
  </si>
  <si>
    <t>Operación con  CTU en Offshore</t>
  </si>
  <si>
    <t>Curso OMI, Mantenimiento a unidades de servicio.
Seguimiento a Programa de Orden y Aseo y Reporte de condiciones inseguras</t>
  </si>
  <si>
    <t>Mantener seguimiento para que los equipos tengan instalado guardas de seguridad, mantenimiento periódico a herramientas, capacitación al personal sobre manejo de herramientas, procedimientos seguros, Curso OMI</t>
  </si>
  <si>
    <t>Procedimientos operativos. AST y PT.
Plan de emergencias
Capacitación del personal en manejo de emergencias, extintores y Curso OMI</t>
  </si>
  <si>
    <t>DYN-SGI-RE-087
Versión:03</t>
  </si>
  <si>
    <t>Sensación de mareo, golpes, fatalidad</t>
  </si>
  <si>
    <t xml:space="preserve">Técnico de Seguridad e Higiene del Trabajo </t>
  </si>
  <si>
    <t>Control admin., señalización, advertencias</t>
  </si>
  <si>
    <t>Capacitacion  sobre levantamiento de cargas e higiene postural.  Examenes ocupacionales</t>
  </si>
  <si>
    <t>Continuar con capacitaciones  en manejo de cargas e higiene postural. Examenes médicos ocupacionales. Gimnasia laboral</t>
  </si>
  <si>
    <t>Ginmasia laboral y  examenes médicos, capacitación en manejo correcto de cargas</t>
  </si>
  <si>
    <t>Descanso de 10 minutos cada 2 horas. Continuar con los examenes medicos ocupacionales para seguimiento</t>
  </si>
  <si>
    <t>Disposición de MSDS de prod. Químicos,  Ubicación de Equipos de contingencia Ambiental. Examenes ocupacionales medicos</t>
  </si>
  <si>
    <t xml:space="preserve"> Dosimetrias y sonometrias.  Evaluaciones Médicas Ocupacionales (audiometria).</t>
  </si>
  <si>
    <t xml:space="preserve"> Dosimetrias y sonometrias.Examenes Médicos Ocupacionales (audiometria). Campaña uso de EPI para todo el personal de operaciones</t>
  </si>
  <si>
    <t>Capacitacion  sobre levantamiento de cargas e higiene postural.  Examenes medicos ocupacionales</t>
  </si>
  <si>
    <t>Continuar con capacitaciones  en manejo de cargas e higiene postural. Examenes ocupacionales. Gimnasia laboral</t>
  </si>
  <si>
    <t>Examenes ocupacionales, gimnasia laboral, valoracion de fisioterapeuta</t>
  </si>
  <si>
    <t>Descanso de 10 minutos cada 2 horas. Continuar con examenes ocupacionales y ginmasia laboral</t>
  </si>
  <si>
    <t>Examenes ocupacionales. Valoracion de la fisioterapeuta</t>
  </si>
  <si>
    <t>exámenes ocupacionales Osteomuscular.  Valoraciones de fisioterapeuta. Examenes ocupacionales.
Pausas activas. Capacitacion sobre higiene postural. Gimnasia laboral.</t>
  </si>
  <si>
    <t xml:space="preserve">Examenes ocupacionales.
exámenes ocupacionales Osteomuscular. </t>
  </si>
  <si>
    <t>Examenes ocupacionales.
exámenes ocupacionales osteomuscular.</t>
  </si>
  <si>
    <t>Sesiones de gimnasia laboral , evaluaciones fisioterapeuticas. APT administrativo
exámenes ocupacionales osteomuscular.</t>
  </si>
  <si>
    <t xml:space="preserve">exámenes ocupacionales Osteomuscular.  Valoraciones de fisioterapeuta. Examenes ocupacionales
Pausas activas. Capacitacion sobre higiene postural. Gimnasia laboral. </t>
  </si>
  <si>
    <t>Dosimetrias y sonometrias. exámenes ocupacionales Conservación Auditiva. Evaluaciones Médicas Ocupacionales (audiometria).</t>
  </si>
  <si>
    <t xml:space="preserve"> Dosimetrias y sonometrias. exámenes ocupacionales Conservación Auditiva. Evaluaciones Médicas Ocupacionales (audiometria). Campaña uso de EPI para todo el personal de operaciones</t>
  </si>
  <si>
    <t>exámenes ocupacionales Conservación Auditiva.  Evaluaciones Médicas.</t>
  </si>
  <si>
    <t>exámenes ocupacionales prevencion de lesiones osteomusculares. Valoracion de fisioterapeuta. Examenes ocupacionales.
Ejercicios de Gimnasia Laboral. Adoptar posturas ergonómicas para manipulación de cargas.</t>
  </si>
  <si>
    <t>exámenes ocupacionales osteomuscular. 
Programa capacitación.
Instructivo uso de EPI</t>
  </si>
  <si>
    <t>Continuar con la implementación del programa de acondicionamiento físico, capacitación en manejo correcto de cargas. exámenes ocupacionales Riesgo Osteomuscular. Capacitaciones sobre higiene postural y manejo de cargas</t>
  </si>
  <si>
    <t>exámenes ocupacionales Ruido 
Examenes ocupacionales</t>
  </si>
  <si>
    <t>Examenes ocupacionales.
exámenes ocupacionales de dermatosis</t>
  </si>
  <si>
    <t>Examenes ocupacionales
 exámenes ocupacionales de dermatosis</t>
  </si>
  <si>
    <t xml:space="preserve">
Examenes ocupacionales</t>
  </si>
  <si>
    <t>Continuar con exámenes ocupacionales . Capacitación dermatosis</t>
  </si>
  <si>
    <t xml:space="preserve"> examenes ocupacionales
Sesiones de gimnasia laboral , evaluaciones fisioterapeuticas.</t>
  </si>
  <si>
    <t xml:space="preserve"> Dosimetrias y sonometrias.  Evaluaciones Médicas Ocupacionales (audiometria). Matenimiento preventivo a vehiculos</t>
  </si>
  <si>
    <t xml:space="preserve">Seguimiento mediante   Evaluaciones Médicas </t>
  </si>
  <si>
    <t xml:space="preserve"> Dosimetrias y sonometrias. Evaluaciones Médicas Ocupacionales (audiometria). Campaña uso de EPI para todo el personal de operaciones. Mantenimiento preventivo a equipos.</t>
  </si>
  <si>
    <t xml:space="preserve">  Evaluaciones Médicas.</t>
  </si>
  <si>
    <t>Ginmasia laboral y  exámenes ocupacionales</t>
  </si>
  <si>
    <t xml:space="preserve"> Dosimetrias y sonometrias. Evaluaciones Médicas Ocupacionales (audiometria). Campaña uso de EPI para todo el personal de operaciones. Mantenimiento preventivo a vehiculos</t>
  </si>
  <si>
    <t>Examenes/  Evaluaciones Médicas.</t>
  </si>
  <si>
    <t>Ginmasia laboral y  examenes medicos</t>
  </si>
  <si>
    <t>Seguimeinto mediante:  Examenes ocupacionales. Sesiones de gimnasia laboral , evaluaciones fisioterapeuticas.</t>
  </si>
  <si>
    <t>exámenes ocupacionales  Osteomuscular.  Pausas activas. Gimnasia laboral. Valoracion de fisioterapeuta. Pausas activas.</t>
  </si>
  <si>
    <t xml:space="preserve">Ginmasia laboral y  exámenes ocupacionales Osteomuscular y ergonomico. </t>
  </si>
  <si>
    <t xml:space="preserve"> Dosimetrias y sonometrias. exámenes ocupacionales Conservación Auditiva. Evaluaciones Médicas Ocupacionales (audiometria).</t>
  </si>
  <si>
    <t>Continuar con capacitaciones  en manejo de cargas e higiene postural. Examenes  ocupacionales. Gimnasia laboral</t>
  </si>
  <si>
    <t xml:space="preserve"> Programa de acondicionamiento físico.
Ginmasia laboral y  exámenes ocupacionales Osteomuscular y ergonomico. </t>
  </si>
  <si>
    <t>Descanso de 10 minutos cada 2 horas. Continuar con exámenes ocupacionales  y ginmasia laboral</t>
  </si>
  <si>
    <t>exámenes ocupacionales . Valoracion de la fisioterapeuta.
Examenes médicos ocupacionales</t>
  </si>
  <si>
    <t>Descanso de 10 minutos cada dos horas cuando la posicion prolongada es de pie. Pausas activas. Continuar con examenes medicos  y ginmasia laboral. Examenes ocupacionales.</t>
  </si>
  <si>
    <t>Capacitacion  sobre levantamiento de cargas e higiene postural.  exámenes ocupacionales 
 Programa de acondicionamiento físico.</t>
  </si>
  <si>
    <t>Continuar con capacitaciones  en manejo de cargas e higiene postural. Examenes ocupacionales . Gimnasia laboral</t>
  </si>
  <si>
    <t>Exámenes ocupacionales  .  Pausas activas. Gimnasia laboral. . Pausas activas.</t>
  </si>
  <si>
    <t>Gimnasia Laboral.  .  Exámenes Ocupacionales</t>
  </si>
  <si>
    <t xml:space="preserve"> Dosimetrias y sonometrias. Evaluaciones Médicas Ocupacionales (audiometria). Campaña uso de EPI para todo el personal de operaciones</t>
  </si>
  <si>
    <t xml:space="preserve"> Acondicionamiento físico.
Capacitacion  sobre levantamiento de cargas e higiene postural.  Examenes médicos</t>
  </si>
  <si>
    <t>Sesiones de gimnasia laboral .  Exámenes Ocupacionales</t>
  </si>
  <si>
    <t xml:space="preserve">Programa de acondicionamiento físico.
Capacitacion  sobre levantamiento de cargas e higiene postural.  </t>
  </si>
  <si>
    <t>Descanso de 10 minutos cada 2 horas. Exámenes ocupacionales médicos</t>
  </si>
  <si>
    <t>Sesiones de gimnasia laboral  .  Exámenes Ocupacionales</t>
  </si>
  <si>
    <t xml:space="preserve"> Dosimetrias y sonometrias. Conservación Auditiva. Evaluaciones Médicas Ocupacionales (audiometria). Campaña uso de EPI para todo el personal de operaciones</t>
  </si>
  <si>
    <t xml:space="preserve"> Conservación Auditiva.  Evaluaciones Médicas.</t>
  </si>
  <si>
    <t>Gimnasia laboral. Capacitacion sobre manejo de cargas
. Examenes ocupacionales.</t>
  </si>
  <si>
    <t>Seguimiento a activdades implementadas:
Gimnasia laboral. Capacitacion sobre manejo de cargas.
 Valoracion de fisioterapeuta. Examenes ocupacionales.</t>
  </si>
  <si>
    <t>Gimnasia laboral. Capacitacion sobre manejo de cargas.
 Examenes ocupacionales.</t>
  </si>
  <si>
    <t>Seguimiento a activdades implementadas:
Gimnasia laboral. Capacitacion sobre manejo de cargas.
 Examenes ocupacionales.</t>
  </si>
  <si>
    <t>Gimnasia laboral. Capacitacion sobre higiene postural.
. Examenes ocupacionales. Descanso de 10 minutos cada 2 horas.</t>
  </si>
  <si>
    <t>Mantener controles: 
Gimnasia laboral. Capacitacion sobre higiene postural.. Valoracion de fisioterapeuta. Examenes ocupacionales. Descanso de 10 minutos cada 2 horas.</t>
  </si>
  <si>
    <t xml:space="preserve"> exámenes ocupacionales .  Prodecimiento seguro.
 Gimnasia laboral. Capacitacion sobre manejo de cargas.</t>
  </si>
  <si>
    <t>Mantener controles:
Seguimiento a
exámenes ocupacionales.  Prodecimiento seguro.
 Gimnasia laboral. Capacitacion sobre manejo de cargas.</t>
  </si>
  <si>
    <t xml:space="preserve"> Examenes ocupacionales.
Gimnasia laboral. Capacitacion sobre manejo de cargas.</t>
  </si>
  <si>
    <t>Mantener controles:
.Examenes ocupacionales.
Gimnasia laboral. Capacitacion sobre manejo de cargas.</t>
  </si>
  <si>
    <t xml:space="preserve"> Descanso de 10 minutos cada 2 horas.
Gimnasia laboral. Capacitacion sobre higiene postural.</t>
  </si>
  <si>
    <t>Mantener controles:
Exámenes mocupacionales. Descanso de 10 minutos cada 2 horas.
Gimnasia laboral. Capacitacion sobre higiene postural.</t>
  </si>
  <si>
    <t xml:space="preserve"> Prodecimiento seguro.
 Gimnasia laboral. Capacitacion sobre manejo de cargas.
  Valoracion de fisioterapeuta. Examenes ocupacionales.</t>
  </si>
  <si>
    <t>Mantener controles:
  Prodecimiento seguro.
 Gimnasia laboral. Capacitacion sobre manejo de cargas.
  Valoracion de fisioterapeuta. Examenes ocupacionales.</t>
  </si>
  <si>
    <t>Mantener controles:
 Examenes ocupacionales.
Gimnasia laboral. Capacitacion sobre manejo de cargas.</t>
  </si>
  <si>
    <t xml:space="preserve">  Prodecimiento seguro.
 Gimnasia laboral. Capacitacion sobre manejo de cargas.
  Valoracion de fisioterapeuta. Examenes ocupacionales.</t>
  </si>
  <si>
    <t>Mantener controles:
Prodecimiento seguro.
 Gimnasia laboral. Capacitacion sobre manejo de cargas.
  Valoracion de fisioterapeuta. Examenes ocupacionales.</t>
  </si>
  <si>
    <t xml:space="preserve">
Gimnasia laboral. Capacitacion sobre manejo de carga.s Programa de acondicionamiento físico.</t>
  </si>
  <si>
    <t xml:space="preserve">
Gimnasia laboral. Capacitacion sobre higiene postural. </t>
  </si>
  <si>
    <t xml:space="preserve">Mantener controles:
Gimnasia laboral. Capacitacion sobre higiene postural. </t>
  </si>
  <si>
    <t xml:space="preserve">Mantener controles:
Seguimiento a
Gimnasia laboral. Capacitacion sobre higiene postural. </t>
  </si>
  <si>
    <t xml:space="preserve">Mantener controles:
Seguimiento a
Gimnasia laboral. Capacitacion sobre higiene postural. </t>
  </si>
  <si>
    <t>Mantener controles:
Seguimiento a
exámenes ocupacionales
Gimnasia laboral. Capacitacion sobre manejo de cargas</t>
  </si>
  <si>
    <t>exámenes ocupacionales
Gimnasia laboral. Capacitacion sobre manejo de cargas</t>
  </si>
  <si>
    <t>Especialista de QHSE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</si>
</sst>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numFmt numFmtId="166" formatCode="m\o\n\th\ d\,\ yyyy"/>
  </numFmts>
  <fonts count="46" x14ac:knownFonts="1">
    <font>
      <sz val="10"/>
      <name val="Arial"/>
    </font>
    <font>
      <sz val="10"/>
      <name val="Arial"/>
      <family val="2"/>
    </font>
    <font>
      <sz val="9"/>
      <name val="Arial"/>
      <family val="2"/>
    </font>
    <font>
      <sz val="8"/>
      <name val="Arial"/>
      <family val="2"/>
    </font>
    <font>
      <sz val="10"/>
      <name val="Arial"/>
      <family val="2"/>
    </font>
    <font>
      <sz val="1"/>
      <color indexed="8"/>
      <name val="Courier"/>
      <family val="3"/>
    </font>
    <font>
      <b/>
      <sz val="1"/>
      <color indexed="8"/>
      <name val="Courier"/>
      <family val="3"/>
    </font>
    <font>
      <sz val="12"/>
      <name val="Courier"/>
      <family val="3"/>
    </font>
    <font>
      <b/>
      <sz val="10"/>
      <name val="Arial"/>
      <family val="2"/>
    </font>
    <font>
      <sz val="7"/>
      <name val="Arial"/>
      <family val="2"/>
    </font>
    <font>
      <b/>
      <sz val="7"/>
      <name val="Arial"/>
      <family val="2"/>
    </font>
    <font>
      <sz val="7"/>
      <color indexed="8"/>
      <name val="Arial"/>
      <family val="2"/>
    </font>
    <font>
      <b/>
      <sz val="7"/>
      <color indexed="18"/>
      <name val="Arial"/>
      <family val="2"/>
    </font>
    <font>
      <sz val="12"/>
      <name val="Century Gothic"/>
      <family val="2"/>
    </font>
    <font>
      <sz val="9"/>
      <color indexed="8"/>
      <name val="Arial"/>
      <family val="2"/>
    </font>
    <font>
      <b/>
      <sz val="9"/>
      <color indexed="8"/>
      <name val="Arial"/>
      <family val="2"/>
    </font>
    <font>
      <sz val="9"/>
      <color indexed="81"/>
      <name val="Tahoma"/>
      <family val="2"/>
    </font>
    <font>
      <b/>
      <sz val="9"/>
      <color indexed="81"/>
      <name val="Tahoma"/>
      <family val="2"/>
    </font>
    <font>
      <sz val="7"/>
      <color indexed="81"/>
      <name val="Tahoma"/>
      <family val="2"/>
    </font>
    <font>
      <b/>
      <sz val="7"/>
      <color indexed="8"/>
      <name val="Arial"/>
      <family val="2"/>
    </font>
    <font>
      <sz val="8"/>
      <color indexed="8"/>
      <name val="Century Gothic"/>
      <family val="2"/>
    </font>
    <font>
      <u/>
      <sz val="7"/>
      <name val="Arial"/>
      <family val="2"/>
    </font>
    <font>
      <sz val="12"/>
      <name val="Arial"/>
      <family val="2"/>
    </font>
    <font>
      <sz val="16"/>
      <name val="Arial"/>
      <family val="2"/>
    </font>
    <font>
      <b/>
      <sz val="11"/>
      <name val="Arial"/>
      <family val="2"/>
    </font>
    <font>
      <b/>
      <sz val="16"/>
      <color indexed="8"/>
      <name val="Arial"/>
      <family val="2"/>
    </font>
    <font>
      <b/>
      <sz val="12"/>
      <color indexed="8"/>
      <name val="Arial"/>
      <family val="2"/>
    </font>
    <font>
      <b/>
      <sz val="16"/>
      <name val="Arial"/>
      <family val="2"/>
    </font>
    <font>
      <sz val="16"/>
      <name val="Century Gothic"/>
      <family val="2"/>
    </font>
    <font>
      <b/>
      <sz val="12"/>
      <name val="Arial"/>
      <family val="2"/>
    </font>
    <font>
      <b/>
      <sz val="10"/>
      <color indexed="8"/>
      <name val="Arial"/>
      <family val="2"/>
    </font>
    <font>
      <sz val="10"/>
      <name val="Century Gothic"/>
      <family val="2"/>
    </font>
    <font>
      <sz val="8"/>
      <color indexed="8"/>
      <name val="Arial"/>
      <family val="2"/>
    </font>
    <font>
      <sz val="20"/>
      <color theme="1"/>
      <name val="Arial"/>
      <family val="2"/>
    </font>
    <font>
      <b/>
      <sz val="14"/>
      <color theme="1"/>
      <name val="Arial"/>
      <family val="2"/>
    </font>
    <font>
      <sz val="16"/>
      <color indexed="8"/>
      <name val="Arial"/>
      <family val="2"/>
    </font>
    <font>
      <sz val="10"/>
      <color rgb="FF000000"/>
      <name val="Arial"/>
      <family val="2"/>
    </font>
    <font>
      <b/>
      <sz val="16"/>
      <color rgb="FF000000"/>
      <name val="Arial"/>
      <family val="2"/>
    </font>
    <font>
      <sz val="7"/>
      <color indexed="18"/>
      <name val="Arial"/>
      <family val="2"/>
    </font>
    <font>
      <sz val="7"/>
      <color theme="1"/>
      <name val="Arial"/>
      <family val="2"/>
    </font>
    <font>
      <b/>
      <sz val="16"/>
      <color theme="0"/>
      <name val="Arial"/>
      <family val="2"/>
    </font>
    <font>
      <sz val="16"/>
      <color theme="0"/>
      <name val="Arial"/>
      <family val="2"/>
    </font>
    <font>
      <b/>
      <sz val="16"/>
      <color indexed="18"/>
      <name val="Arial"/>
      <family val="2"/>
    </font>
    <font>
      <b/>
      <sz val="14"/>
      <name val="Century Gothic"/>
      <family val="2"/>
    </font>
    <font>
      <sz val="14"/>
      <name val="Arial"/>
      <family val="2"/>
    </font>
    <font>
      <b/>
      <sz val="14"/>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800000"/>
        <bgColor indexed="64"/>
      </patternFill>
    </fill>
    <fill>
      <patternFill patternType="solid">
        <fgColor rgb="FFFFC000"/>
        <bgColor indexed="64"/>
      </patternFill>
    </fill>
    <fill>
      <patternFill patternType="solid">
        <fgColor rgb="FFFFFF0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tint="-9.9978637043366805E-2"/>
        <bgColor indexed="64"/>
      </patternFill>
    </fill>
  </fills>
  <borders count="38">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s>
  <cellStyleXfs count="8">
    <xf numFmtId="0" fontId="0" fillId="2" borderId="0"/>
    <xf numFmtId="166" fontId="5" fillId="0" borderId="0">
      <protection locked="0"/>
    </xf>
    <xf numFmtId="164" fontId="5" fillId="0" borderId="0">
      <protection locked="0"/>
    </xf>
    <xf numFmtId="165" fontId="6" fillId="0" borderId="0">
      <protection locked="0"/>
    </xf>
    <xf numFmtId="165" fontId="6" fillId="0" borderId="0">
      <protection locked="0"/>
    </xf>
    <xf numFmtId="0" fontId="4" fillId="0" borderId="0"/>
    <xf numFmtId="0" fontId="7" fillId="0" borderId="0"/>
    <xf numFmtId="165" fontId="5" fillId="0" borderId="1">
      <protection locked="0"/>
    </xf>
  </cellStyleXfs>
  <cellXfs count="230">
    <xf numFmtId="0" fontId="0" fillId="2" borderId="0" xfId="0"/>
    <xf numFmtId="0" fontId="9" fillId="2" borderId="0" xfId="6" applyFont="1" applyFill="1" applyAlignment="1">
      <alignment horizontal="center" vertical="center" wrapText="1"/>
    </xf>
    <xf numFmtId="0" fontId="9" fillId="0" borderId="0" xfId="6" applyFont="1" applyAlignment="1" applyProtection="1">
      <alignment horizontal="center" vertical="center" wrapText="1"/>
      <protection locked="0"/>
    </xf>
    <xf numFmtId="0" fontId="12" fillId="0" borderId="0" xfId="6" applyFont="1" applyAlignment="1">
      <alignment horizontal="center" vertical="center" wrapText="1"/>
    </xf>
    <xf numFmtId="0" fontId="13" fillId="0" borderId="0" xfId="6" applyFont="1" applyAlignment="1" applyProtection="1">
      <alignment horizontal="center" vertical="center" wrapText="1"/>
      <protection locked="0"/>
    </xf>
    <xf numFmtId="0" fontId="9" fillId="3" borderId="2" xfId="6" applyFont="1" applyFill="1" applyBorder="1" applyAlignment="1">
      <alignment horizontal="center" vertical="center" wrapText="1"/>
    </xf>
    <xf numFmtId="0" fontId="3" fillId="2" borderId="0" xfId="0" applyFont="1" applyAlignment="1">
      <alignment vertical="center" wrapText="1"/>
    </xf>
    <xf numFmtId="0" fontId="9" fillId="3" borderId="2" xfId="6" applyFont="1" applyFill="1" applyBorder="1" applyAlignment="1" applyProtection="1">
      <alignment horizontal="center" vertical="center" wrapText="1"/>
      <protection locked="0"/>
    </xf>
    <xf numFmtId="0" fontId="9" fillId="3" borderId="0" xfId="6" applyFont="1" applyFill="1" applyAlignment="1">
      <alignment horizontal="center" vertical="center" wrapText="1"/>
    </xf>
    <xf numFmtId="0" fontId="9" fillId="0" borderId="0" xfId="6" applyFont="1" applyAlignment="1">
      <alignment horizontal="center" vertical="center" wrapText="1"/>
    </xf>
    <xf numFmtId="0" fontId="9" fillId="0" borderId="0" xfId="6" applyFont="1" applyAlignment="1">
      <alignment vertical="center" wrapText="1"/>
    </xf>
    <xf numFmtId="0" fontId="1" fillId="2" borderId="0" xfId="6" applyFont="1" applyFill="1" applyAlignment="1">
      <alignment vertical="center" wrapText="1"/>
    </xf>
    <xf numFmtId="0" fontId="8" fillId="2" borderId="0" xfId="6" applyFont="1" applyFill="1" applyAlignment="1">
      <alignment vertical="center" wrapText="1"/>
    </xf>
    <xf numFmtId="0" fontId="2" fillId="3" borderId="2" xfId="6" applyFont="1" applyFill="1" applyBorder="1" applyAlignment="1">
      <alignment horizontal="center" vertical="center" wrapText="1"/>
    </xf>
    <xf numFmtId="0" fontId="9" fillId="3" borderId="0" xfId="6" applyFont="1" applyFill="1" applyAlignment="1" applyProtection="1">
      <alignment horizontal="center" vertical="center" wrapText="1"/>
      <protection locked="0"/>
    </xf>
    <xf numFmtId="0" fontId="3" fillId="3" borderId="0" xfId="0" applyFont="1" applyFill="1" applyAlignment="1">
      <alignment vertical="center" wrapText="1"/>
    </xf>
    <xf numFmtId="0" fontId="8" fillId="2" borderId="0" xfId="6" applyFont="1" applyFill="1" applyAlignment="1">
      <alignment horizontal="center" vertical="center" wrapText="1"/>
    </xf>
    <xf numFmtId="0" fontId="28" fillId="0" borderId="0" xfId="6" applyFont="1" applyAlignment="1" applyProtection="1">
      <alignment horizontal="center" vertical="center" wrapText="1"/>
      <protection locked="0"/>
    </xf>
    <xf numFmtId="0" fontId="23" fillId="0" borderId="0" xfId="6" applyFont="1" applyAlignment="1" applyProtection="1">
      <alignment horizontal="center" vertical="center" wrapText="1"/>
      <protection locked="0"/>
    </xf>
    <xf numFmtId="0" fontId="29" fillId="2" borderId="0" xfId="6" applyFont="1" applyFill="1" applyAlignment="1">
      <alignment vertical="center" wrapText="1"/>
    </xf>
    <xf numFmtId="0" fontId="22" fillId="0" borderId="0" xfId="6" applyFont="1" applyAlignment="1" applyProtection="1">
      <alignment horizontal="center" vertical="center" wrapText="1"/>
      <protection locked="0"/>
    </xf>
    <xf numFmtId="0" fontId="31" fillId="0" borderId="0" xfId="6" applyFont="1" applyAlignment="1" applyProtection="1">
      <alignment horizontal="center" vertical="center" wrapText="1"/>
      <protection locked="0"/>
    </xf>
    <xf numFmtId="0" fontId="1" fillId="0" borderId="0" xfId="6" applyFont="1" applyAlignment="1" applyProtection="1">
      <alignment horizontal="center" vertical="center" wrapText="1"/>
      <protection locked="0"/>
    </xf>
    <xf numFmtId="0" fontId="9" fillId="2" borderId="0" xfId="6" applyFont="1" applyFill="1" applyAlignment="1">
      <alignment vertical="center" wrapText="1"/>
    </xf>
    <xf numFmtId="0" fontId="24" fillId="3" borderId="0" xfId="6" applyFont="1" applyFill="1" applyAlignment="1">
      <alignment horizontal="left" vertical="center" wrapText="1"/>
    </xf>
    <xf numFmtId="0" fontId="27" fillId="2" borderId="0" xfId="6" applyFont="1" applyFill="1" applyAlignment="1">
      <alignment vertical="center" wrapText="1"/>
    </xf>
    <xf numFmtId="0" fontId="24" fillId="3" borderId="0" xfId="6" applyFont="1" applyFill="1" applyAlignment="1">
      <alignment vertical="center" wrapText="1"/>
    </xf>
    <xf numFmtId="14" fontId="8" fillId="2" borderId="0" xfId="6" applyNumberFormat="1" applyFont="1" applyFill="1" applyAlignment="1">
      <alignment vertical="center" wrapText="1"/>
    </xf>
    <xf numFmtId="0" fontId="27" fillId="2" borderId="0" xfId="6" applyFont="1" applyFill="1" applyAlignment="1">
      <alignment horizontal="center" vertical="center" wrapText="1"/>
    </xf>
    <xf numFmtId="0" fontId="25" fillId="3" borderId="0" xfId="6" applyFont="1" applyFill="1" applyAlignment="1">
      <alignment vertical="center" textRotation="90" wrapText="1"/>
    </xf>
    <xf numFmtId="0" fontId="9" fillId="0" borderId="17" xfId="6" applyFont="1" applyBorder="1" applyAlignment="1" applyProtection="1">
      <alignment horizontal="center" vertical="center" wrapText="1"/>
      <protection locked="0"/>
    </xf>
    <xf numFmtId="0" fontId="9" fillId="0" borderId="18" xfId="6" applyFont="1" applyBorder="1" applyAlignment="1" applyProtection="1">
      <alignment horizontal="center" vertical="center" wrapText="1"/>
      <protection locked="0"/>
    </xf>
    <xf numFmtId="0" fontId="11" fillId="3" borderId="18" xfId="6" applyFont="1" applyFill="1" applyBorder="1" applyAlignment="1">
      <alignment horizontal="center" vertical="center" wrapText="1"/>
    </xf>
    <xf numFmtId="0" fontId="2" fillId="3" borderId="18" xfId="6" applyFont="1" applyFill="1" applyBorder="1" applyAlignment="1">
      <alignment horizontal="center" vertical="center" wrapText="1"/>
    </xf>
    <xf numFmtId="0" fontId="9" fillId="3" borderId="18" xfId="6" applyFont="1" applyFill="1" applyBorder="1" applyAlignment="1">
      <alignment horizontal="center" vertical="center" wrapText="1"/>
    </xf>
    <xf numFmtId="0" fontId="9" fillId="5" borderId="18" xfId="6" applyFont="1" applyFill="1" applyBorder="1" applyAlignment="1">
      <alignment horizontal="center" vertical="center" wrapText="1"/>
    </xf>
    <xf numFmtId="0" fontId="14" fillId="5" borderId="18" xfId="6" applyFont="1" applyFill="1" applyBorder="1" applyAlignment="1">
      <alignment horizontal="center" vertical="center" wrapText="1"/>
    </xf>
    <xf numFmtId="0" fontId="2" fillId="5" borderId="18" xfId="6" applyFont="1" applyFill="1" applyBorder="1" applyAlignment="1">
      <alignment horizontal="center" vertical="center" wrapText="1"/>
    </xf>
    <xf numFmtId="0" fontId="10" fillId="5" borderId="18" xfId="6" applyFont="1" applyFill="1" applyBorder="1" applyAlignment="1">
      <alignment horizontal="center" vertical="center" wrapText="1"/>
    </xf>
    <xf numFmtId="0" fontId="9" fillId="5" borderId="18" xfId="6" applyFont="1" applyFill="1" applyBorder="1" applyAlignment="1" applyProtection="1">
      <alignment horizontal="center" vertical="center" wrapText="1"/>
      <protection locked="0"/>
    </xf>
    <xf numFmtId="0" fontId="11" fillId="3" borderId="18" xfId="6" applyFont="1" applyFill="1" applyBorder="1" applyAlignment="1" applyProtection="1">
      <alignment horizontal="center" vertical="center" wrapText="1"/>
      <protection locked="0"/>
    </xf>
    <xf numFmtId="0" fontId="14" fillId="3" borderId="18" xfId="6" applyFont="1" applyFill="1" applyBorder="1" applyAlignment="1">
      <alignment horizontal="center" vertical="center" wrapText="1"/>
    </xf>
    <xf numFmtId="0" fontId="9" fillId="3" borderId="18" xfId="6" applyFont="1" applyFill="1" applyBorder="1" applyAlignment="1" applyProtection="1">
      <alignment horizontal="center" vertical="center" wrapText="1"/>
      <protection locked="0"/>
    </xf>
    <xf numFmtId="0" fontId="9" fillId="3" borderId="18" xfId="0" applyFont="1" applyFill="1" applyBorder="1" applyAlignment="1" applyProtection="1">
      <alignment vertical="center" wrapText="1"/>
      <protection locked="0"/>
    </xf>
    <xf numFmtId="0" fontId="2" fillId="3" borderId="18" xfId="6" applyFont="1" applyFill="1" applyBorder="1" applyAlignment="1" applyProtection="1">
      <alignment horizontal="center" vertical="center" wrapText="1"/>
      <protection locked="0"/>
    </xf>
    <xf numFmtId="0" fontId="14" fillId="3" borderId="18" xfId="6" applyFont="1" applyFill="1" applyBorder="1" applyAlignment="1">
      <alignment vertical="center" wrapText="1"/>
    </xf>
    <xf numFmtId="0" fontId="15" fillId="3" borderId="18" xfId="6" applyFont="1" applyFill="1" applyBorder="1" applyAlignment="1">
      <alignment vertical="center" wrapText="1"/>
    </xf>
    <xf numFmtId="0" fontId="11" fillId="3" borderId="18" xfId="6" applyFont="1" applyFill="1" applyBorder="1" applyAlignment="1">
      <alignment vertical="center" wrapText="1"/>
    </xf>
    <xf numFmtId="0" fontId="9" fillId="3" borderId="18" xfId="6" applyFont="1" applyFill="1" applyBorder="1" applyAlignment="1">
      <alignment vertical="center" wrapText="1"/>
    </xf>
    <xf numFmtId="0" fontId="20" fillId="3" borderId="18" xfId="6" applyFont="1" applyFill="1" applyBorder="1" applyAlignment="1">
      <alignment horizontal="center" vertical="center" wrapText="1"/>
    </xf>
    <xf numFmtId="0" fontId="9" fillId="0" borderId="18" xfId="6" applyFont="1" applyBorder="1" applyAlignment="1">
      <alignment horizontal="center" vertical="center" wrapText="1"/>
    </xf>
    <xf numFmtId="0" fontId="11" fillId="0" borderId="18" xfId="6" applyFont="1" applyBorder="1" applyAlignment="1">
      <alignment horizontal="center" vertical="center" wrapText="1"/>
    </xf>
    <xf numFmtId="0" fontId="11" fillId="0" borderId="18" xfId="6" applyFont="1" applyBorder="1" applyAlignment="1">
      <alignment vertical="center" wrapText="1"/>
    </xf>
    <xf numFmtId="0" fontId="14" fillId="0" borderId="18" xfId="6" applyFont="1" applyBorder="1" applyAlignment="1">
      <alignment horizontal="center" vertical="center" wrapText="1"/>
    </xf>
    <xf numFmtId="0" fontId="11" fillId="0" borderId="18" xfId="6" applyFont="1" applyBorder="1" applyAlignment="1" applyProtection="1">
      <alignment horizontal="center" vertical="center" wrapText="1"/>
      <protection locked="0"/>
    </xf>
    <xf numFmtId="0" fontId="30" fillId="3" borderId="18" xfId="6" applyFont="1" applyFill="1" applyBorder="1" applyAlignment="1">
      <alignment vertical="center" wrapText="1"/>
    </xf>
    <xf numFmtId="0" fontId="21" fillId="3" borderId="18" xfId="6" applyFont="1" applyFill="1" applyBorder="1" applyAlignment="1">
      <alignment horizontal="center" vertical="center" wrapText="1"/>
    </xf>
    <xf numFmtId="0" fontId="3" fillId="3" borderId="18" xfId="6" applyFont="1" applyFill="1" applyBorder="1" applyAlignment="1">
      <alignment horizontal="center" vertical="center" wrapText="1"/>
    </xf>
    <xf numFmtId="0" fontId="29" fillId="2" borderId="0" xfId="6" applyFont="1" applyFill="1" applyAlignment="1">
      <alignment horizontal="center" vertical="center" wrapText="1"/>
    </xf>
    <xf numFmtId="0" fontId="10" fillId="2" borderId="0" xfId="6" applyFont="1" applyFill="1" applyAlignment="1">
      <alignment horizontal="center" vertical="center" wrapText="1"/>
    </xf>
    <xf numFmtId="0" fontId="9" fillId="5" borderId="27" xfId="6" applyFont="1" applyFill="1" applyBorder="1" applyAlignment="1">
      <alignment horizontal="center" vertical="center" wrapText="1"/>
    </xf>
    <xf numFmtId="0" fontId="9" fillId="3" borderId="27" xfId="6" applyFont="1" applyFill="1" applyBorder="1" applyAlignment="1">
      <alignment horizontal="center" vertical="center" wrapText="1"/>
    </xf>
    <xf numFmtId="0" fontId="9" fillId="0" borderId="27" xfId="6" applyFont="1" applyBorder="1" applyAlignment="1">
      <alignment horizontal="center" vertical="center" wrapText="1"/>
    </xf>
    <xf numFmtId="0" fontId="9" fillId="0" borderId="27" xfId="6" applyFont="1" applyBorder="1" applyAlignment="1" applyProtection="1">
      <alignment horizontal="center" vertical="center" wrapText="1"/>
      <protection locked="0"/>
    </xf>
    <xf numFmtId="0" fontId="2" fillId="3" borderId="17" xfId="6" applyFont="1" applyFill="1" applyBorder="1" applyAlignment="1">
      <alignment horizontal="center" vertical="center" wrapText="1"/>
    </xf>
    <xf numFmtId="0" fontId="9" fillId="3" borderId="17" xfId="6" applyFont="1" applyFill="1" applyBorder="1" applyAlignment="1">
      <alignment horizontal="center" vertical="center" wrapText="1"/>
    </xf>
    <xf numFmtId="0" fontId="9" fillId="0" borderId="29" xfId="6" applyFont="1" applyBorder="1" applyAlignment="1" applyProtection="1">
      <alignment horizontal="center" vertical="center" wrapText="1"/>
      <protection locked="0"/>
    </xf>
    <xf numFmtId="0" fontId="2" fillId="3" borderId="32" xfId="6" applyFont="1" applyFill="1" applyBorder="1" applyAlignment="1">
      <alignment horizontal="center" vertical="center" wrapText="1"/>
    </xf>
    <xf numFmtId="0" fontId="11" fillId="3" borderId="32" xfId="6" applyFont="1" applyFill="1" applyBorder="1" applyAlignment="1">
      <alignment horizontal="center" vertical="center" wrapText="1"/>
    </xf>
    <xf numFmtId="0" fontId="11" fillId="3" borderId="19" xfId="6" applyFont="1" applyFill="1" applyBorder="1" applyAlignment="1">
      <alignment horizontal="center" vertical="center" wrapText="1"/>
    </xf>
    <xf numFmtId="0" fontId="14" fillId="3" borderId="30" xfId="6" applyFont="1" applyFill="1" applyBorder="1" applyAlignment="1">
      <alignment horizontal="center" vertical="center" wrapText="1"/>
    </xf>
    <xf numFmtId="0" fontId="2" fillId="3" borderId="30" xfId="6" applyFont="1" applyFill="1" applyBorder="1" applyAlignment="1" applyProtection="1">
      <alignment horizontal="center" vertical="center" wrapText="1"/>
      <protection locked="0"/>
    </xf>
    <xf numFmtId="0" fontId="9" fillId="0" borderId="30" xfId="6" applyFont="1" applyBorder="1" applyAlignment="1" applyProtection="1">
      <alignment horizontal="center" vertical="center" wrapText="1"/>
      <protection locked="0"/>
    </xf>
    <xf numFmtId="0" fontId="9" fillId="0" borderId="2" xfId="6" applyFont="1" applyBorder="1" applyAlignment="1" applyProtection="1">
      <alignment horizontal="center" vertical="center" wrapText="1"/>
      <protection locked="0"/>
    </xf>
    <xf numFmtId="0" fontId="2" fillId="3" borderId="19" xfId="6" applyFont="1" applyFill="1" applyBorder="1" applyAlignment="1">
      <alignment horizontal="center" vertical="center" wrapText="1"/>
    </xf>
    <xf numFmtId="0" fontId="2" fillId="0" borderId="18" xfId="6" applyFont="1" applyBorder="1" applyAlignment="1">
      <alignment horizontal="center" vertical="center" wrapText="1"/>
    </xf>
    <xf numFmtId="0" fontId="2" fillId="3" borderId="21" xfId="6" applyFont="1" applyFill="1" applyBorder="1" applyAlignment="1">
      <alignment horizontal="center" vertical="center" wrapText="1"/>
    </xf>
    <xf numFmtId="0" fontId="38" fillId="0" borderId="17" xfId="6" applyFont="1" applyBorder="1" applyAlignment="1">
      <alignment horizontal="center" vertical="center" wrapText="1"/>
    </xf>
    <xf numFmtId="0" fontId="39" fillId="3" borderId="2" xfId="6" applyFont="1" applyFill="1" applyBorder="1" applyAlignment="1" applyProtection="1">
      <alignment horizontal="center" vertical="center" wrapText="1"/>
      <protection locked="0"/>
    </xf>
    <xf numFmtId="0" fontId="24" fillId="3" borderId="26" xfId="6" applyFont="1" applyFill="1" applyBorder="1" applyAlignment="1">
      <alignment horizontal="center" vertical="center" wrapText="1"/>
    </xf>
    <xf numFmtId="0" fontId="24" fillId="3" borderId="18" xfId="6" applyFont="1" applyFill="1" applyBorder="1" applyAlignment="1">
      <alignment horizontal="center" vertical="center" wrapText="1"/>
    </xf>
    <xf numFmtId="0" fontId="10" fillId="2" borderId="0" xfId="6" applyFont="1" applyFill="1" applyAlignment="1">
      <alignment vertical="center" wrapText="1"/>
    </xf>
    <xf numFmtId="0" fontId="14" fillId="3" borderId="33" xfId="6" applyFont="1" applyFill="1" applyBorder="1" applyAlignment="1">
      <alignment horizontal="center" vertical="center" wrapText="1"/>
    </xf>
    <xf numFmtId="0" fontId="2" fillId="3" borderId="30" xfId="6" applyFont="1" applyFill="1" applyBorder="1" applyAlignment="1">
      <alignment horizontal="center" vertical="center" wrapText="1"/>
    </xf>
    <xf numFmtId="0" fontId="14" fillId="3" borderId="17" xfId="6" applyFont="1" applyFill="1" applyBorder="1" applyAlignment="1">
      <alignment horizontal="center" vertical="center" wrapText="1"/>
    </xf>
    <xf numFmtId="0" fontId="2" fillId="3" borderId="21" xfId="6" applyFont="1" applyFill="1" applyBorder="1" applyAlignment="1" applyProtection="1">
      <alignment horizontal="center" vertical="center" wrapText="1"/>
      <protection locked="0"/>
    </xf>
    <xf numFmtId="0" fontId="2" fillId="2" borderId="2" xfId="0" applyFont="1" applyBorder="1" applyAlignment="1">
      <alignment horizontal="center" vertical="center"/>
    </xf>
    <xf numFmtId="0" fontId="36" fillId="7" borderId="18" xfId="0" applyFont="1" applyFill="1" applyBorder="1" applyAlignment="1">
      <alignment horizontal="center" vertical="center" wrapText="1"/>
    </xf>
    <xf numFmtId="0" fontId="40" fillId="4" borderId="24" xfId="6" applyFont="1" applyFill="1" applyBorder="1" applyAlignment="1">
      <alignment horizontal="center" vertical="center" textRotation="90" wrapText="1"/>
    </xf>
    <xf numFmtId="0" fontId="27" fillId="6" borderId="24" xfId="6" applyFont="1" applyFill="1" applyBorder="1" applyAlignment="1">
      <alignment horizontal="center" vertical="center" textRotation="90" wrapText="1"/>
    </xf>
    <xf numFmtId="0" fontId="27" fillId="6" borderId="24" xfId="6" applyFont="1" applyFill="1" applyBorder="1" applyAlignment="1">
      <alignment vertical="center" textRotation="90" wrapText="1"/>
    </xf>
    <xf numFmtId="0" fontId="42" fillId="0" borderId="0" xfId="6" applyFont="1" applyAlignment="1">
      <alignment horizontal="center" vertical="center" wrapText="1"/>
    </xf>
    <xf numFmtId="0" fontId="23" fillId="2" borderId="0" xfId="0" applyFont="1" applyAlignment="1">
      <alignment vertical="center" wrapText="1"/>
    </xf>
    <xf numFmtId="0" fontId="40" fillId="4" borderId="18" xfId="6" applyFont="1" applyFill="1" applyBorder="1" applyAlignment="1">
      <alignment horizontal="center" vertical="center" wrapText="1"/>
    </xf>
    <xf numFmtId="0" fontId="27" fillId="6" borderId="18" xfId="6" applyFont="1" applyFill="1" applyBorder="1" applyAlignment="1">
      <alignment horizontal="center" vertical="center" wrapText="1"/>
    </xf>
    <xf numFmtId="0" fontId="40" fillId="4" borderId="18" xfId="6" applyFont="1" applyFill="1" applyBorder="1" applyAlignment="1">
      <alignment vertical="center" wrapText="1"/>
    </xf>
    <xf numFmtId="0" fontId="40" fillId="4" borderId="17" xfId="6" applyFont="1" applyFill="1" applyBorder="1" applyAlignment="1">
      <alignment horizontal="center" vertical="center" wrapText="1"/>
    </xf>
    <xf numFmtId="0" fontId="40" fillId="4" borderId="18" xfId="6" applyFont="1" applyFill="1" applyBorder="1" applyAlignment="1">
      <alignment horizontal="center" vertical="center" textRotation="90" wrapText="1"/>
    </xf>
    <xf numFmtId="0" fontId="40" fillId="4" borderId="17" xfId="6" applyFont="1" applyFill="1" applyBorder="1" applyAlignment="1">
      <alignment horizontal="center" vertical="center" textRotation="90" wrapText="1"/>
    </xf>
    <xf numFmtId="0" fontId="44" fillId="2" borderId="0" xfId="6" applyFont="1" applyFill="1" applyAlignment="1">
      <alignment horizontal="center" vertical="center" wrapText="1"/>
    </xf>
    <xf numFmtId="0" fontId="44" fillId="0" borderId="0" xfId="6" applyFont="1" applyAlignment="1">
      <alignment horizontal="center" vertical="center" wrapText="1"/>
    </xf>
    <xf numFmtId="0" fontId="44" fillId="2" borderId="0" xfId="0" applyFont="1" applyAlignment="1">
      <alignment vertical="center" wrapText="1"/>
    </xf>
    <xf numFmtId="0" fontId="9" fillId="3" borderId="18" xfId="6" applyFont="1" applyFill="1" applyBorder="1" applyAlignment="1">
      <alignment horizontal="left" vertical="center" wrapText="1"/>
    </xf>
    <xf numFmtId="14" fontId="8" fillId="2" borderId="0" xfId="6" applyNumberFormat="1" applyFont="1" applyFill="1" applyAlignment="1">
      <alignment horizontal="left" vertical="center" wrapText="1"/>
    </xf>
    <xf numFmtId="0" fontId="10" fillId="0" borderId="0" xfId="6" applyFont="1" applyAlignment="1" applyProtection="1">
      <alignment horizontal="center" vertical="center" wrapText="1"/>
      <protection locked="0"/>
    </xf>
    <xf numFmtId="0" fontId="2" fillId="8" borderId="18" xfId="6" applyFont="1" applyFill="1" applyBorder="1" applyAlignment="1">
      <alignment horizontal="center" vertical="center" wrapText="1"/>
    </xf>
    <xf numFmtId="0" fontId="2" fillId="9" borderId="18" xfId="6" applyFont="1" applyFill="1" applyBorder="1" applyAlignment="1">
      <alignment horizontal="center" vertical="center" wrapText="1"/>
    </xf>
    <xf numFmtId="0" fontId="9" fillId="9" borderId="0" xfId="6" applyFont="1" applyFill="1" applyAlignment="1">
      <alignment horizontal="center" vertical="center" wrapText="1"/>
    </xf>
    <xf numFmtId="0" fontId="3" fillId="9" borderId="0" xfId="0" applyFont="1" applyFill="1" applyAlignment="1">
      <alignment vertical="center" wrapText="1"/>
    </xf>
    <xf numFmtId="0" fontId="35" fillId="3" borderId="30" xfId="6" applyFont="1" applyFill="1" applyBorder="1" applyAlignment="1">
      <alignment horizontal="center" vertical="center" textRotation="90"/>
    </xf>
    <xf numFmtId="0" fontId="22" fillId="0" borderId="18" xfId="6" applyFont="1" applyBorder="1" applyAlignment="1" applyProtection="1">
      <alignment horizontal="center" vertical="center" textRotation="90" wrapText="1"/>
      <protection locked="0"/>
    </xf>
    <xf numFmtId="0" fontId="8" fillId="0" borderId="18" xfId="6" applyFont="1" applyBorder="1" applyAlignment="1" applyProtection="1">
      <alignment horizontal="center" vertical="center" wrapText="1"/>
      <protection locked="0"/>
    </xf>
    <xf numFmtId="0" fontId="30" fillId="3" borderId="18" xfId="6" applyFont="1" applyFill="1" applyBorder="1" applyAlignment="1">
      <alignment horizontal="center" vertical="center" wrapText="1"/>
    </xf>
    <xf numFmtId="0" fontId="9" fillId="3" borderId="18" xfId="0" applyFont="1" applyFill="1" applyBorder="1" applyAlignment="1" applyProtection="1">
      <alignment horizontal="center" vertical="center" wrapText="1"/>
      <protection locked="0"/>
    </xf>
    <xf numFmtId="0" fontId="25" fillId="3" borderId="33" xfId="6" applyFont="1" applyFill="1" applyBorder="1" applyAlignment="1">
      <alignment horizontal="center" vertical="center" textRotation="90"/>
    </xf>
    <xf numFmtId="0" fontId="9" fillId="3" borderId="0" xfId="6" applyFont="1" applyFill="1" applyAlignment="1">
      <alignment vertical="center" wrapText="1"/>
    </xf>
    <xf numFmtId="0" fontId="2" fillId="6" borderId="18" xfId="6" applyFont="1" applyFill="1" applyBorder="1" applyAlignment="1">
      <alignment horizontal="center" vertical="center" wrapText="1"/>
    </xf>
    <xf numFmtId="0" fontId="9" fillId="6" borderId="0" xfId="6" applyFont="1" applyFill="1" applyAlignment="1">
      <alignment horizontal="center" vertical="center" wrapText="1"/>
    </xf>
    <xf numFmtId="0" fontId="3" fillId="6" borderId="0" xfId="0" applyFont="1" applyFill="1" applyAlignment="1">
      <alignment vertical="center" wrapText="1"/>
    </xf>
    <xf numFmtId="0" fontId="25" fillId="3" borderId="18" xfId="6" applyFont="1" applyFill="1" applyBorder="1" applyAlignment="1">
      <alignment horizontal="center" vertical="center" textRotation="90"/>
    </xf>
    <xf numFmtId="0" fontId="35" fillId="3" borderId="30" xfId="6" applyFont="1" applyFill="1" applyBorder="1" applyAlignment="1">
      <alignment horizontal="center" vertical="center" textRotation="90"/>
    </xf>
    <xf numFmtId="0" fontId="22" fillId="0" borderId="18" xfId="6" applyFont="1" applyBorder="1" applyAlignment="1" applyProtection="1">
      <alignment horizontal="center" vertical="center" textRotation="90" wrapText="1"/>
      <protection locked="0"/>
    </xf>
    <xf numFmtId="0" fontId="8" fillId="0" borderId="18" xfId="6" applyFont="1" applyBorder="1" applyAlignment="1" applyProtection="1">
      <alignment horizontal="center" vertical="center" wrapText="1"/>
      <protection locked="0"/>
    </xf>
    <xf numFmtId="0" fontId="35" fillId="3" borderId="18" xfId="6" applyFont="1" applyFill="1" applyBorder="1" applyAlignment="1">
      <alignment horizontal="center" vertical="center" textRotation="90"/>
    </xf>
    <xf numFmtId="0" fontId="25" fillId="3" borderId="26" xfId="6" applyFont="1" applyFill="1" applyBorder="1" applyAlignment="1">
      <alignment horizontal="center" vertical="center" textRotation="90"/>
    </xf>
    <xf numFmtId="0" fontId="25" fillId="3" borderId="34" xfId="6" applyFont="1" applyFill="1" applyBorder="1" applyAlignment="1">
      <alignment horizontal="center" vertical="center" textRotation="90"/>
    </xf>
    <xf numFmtId="0" fontId="25" fillId="3" borderId="0" xfId="6" applyFont="1" applyFill="1" applyAlignment="1">
      <alignment horizontal="center" vertical="center" textRotation="90"/>
    </xf>
    <xf numFmtId="0" fontId="25" fillId="3" borderId="35" xfId="6" applyFont="1" applyFill="1" applyBorder="1" applyAlignment="1">
      <alignment horizontal="center" vertical="center" textRotation="90"/>
    </xf>
    <xf numFmtId="0" fontId="35" fillId="3" borderId="36" xfId="6" applyFont="1" applyFill="1" applyBorder="1" applyAlignment="1">
      <alignment horizontal="center" vertical="center" textRotation="90"/>
    </xf>
    <xf numFmtId="0" fontId="35" fillId="3" borderId="37" xfId="6" applyFont="1" applyFill="1" applyBorder="1" applyAlignment="1">
      <alignment horizontal="center" vertical="center" textRotation="90"/>
    </xf>
    <xf numFmtId="0" fontId="35" fillId="3" borderId="22" xfId="6" applyFont="1" applyFill="1" applyBorder="1" applyAlignment="1">
      <alignment horizontal="center" vertical="center" textRotation="90"/>
    </xf>
    <xf numFmtId="0" fontId="22" fillId="0" borderId="17" xfId="6" applyFont="1" applyBorder="1" applyAlignment="1" applyProtection="1">
      <alignment horizontal="center" vertical="center" textRotation="90" wrapText="1"/>
      <protection locked="0"/>
    </xf>
    <xf numFmtId="0" fontId="22" fillId="0" borderId="20" xfId="6" applyFont="1" applyBorder="1" applyAlignment="1" applyProtection="1">
      <alignment horizontal="center" vertical="center" textRotation="90" wrapText="1"/>
      <protection locked="0"/>
    </xf>
    <xf numFmtId="0" fontId="22" fillId="0" borderId="21" xfId="6" applyFont="1" applyBorder="1" applyAlignment="1" applyProtection="1">
      <alignment horizontal="center" vertical="center" textRotation="90" wrapText="1"/>
      <protection locked="0"/>
    </xf>
    <xf numFmtId="0" fontId="8" fillId="0" borderId="17" xfId="6" applyFont="1" applyBorder="1" applyAlignment="1" applyProtection="1">
      <alignment horizontal="center" vertical="center" wrapText="1"/>
      <protection locked="0"/>
    </xf>
    <xf numFmtId="0" fontId="8" fillId="0" borderId="20" xfId="6" applyFont="1" applyBorder="1" applyAlignment="1" applyProtection="1">
      <alignment horizontal="center" vertical="center" wrapText="1"/>
      <protection locked="0"/>
    </xf>
    <xf numFmtId="0" fontId="8" fillId="0" borderId="21" xfId="6" applyFont="1" applyBorder="1" applyAlignment="1" applyProtection="1">
      <alignment horizontal="center" vertical="center" wrapText="1"/>
      <protection locked="0"/>
    </xf>
    <xf numFmtId="0" fontId="25" fillId="3" borderId="28" xfId="6" applyFont="1" applyFill="1" applyBorder="1" applyAlignment="1">
      <alignment horizontal="center" vertical="center" textRotation="90"/>
    </xf>
    <xf numFmtId="0" fontId="9" fillId="0" borderId="18" xfId="6" applyFont="1" applyBorder="1" applyAlignment="1" applyProtection="1">
      <alignment horizontal="center" vertical="center" wrapText="1"/>
      <protection locked="0"/>
    </xf>
    <xf numFmtId="0" fontId="1" fillId="2" borderId="2" xfId="0" applyFont="1" applyBorder="1" applyAlignment="1">
      <alignment horizontal="center" vertical="center" wrapText="1"/>
    </xf>
    <xf numFmtId="0" fontId="43" fillId="6" borderId="3" xfId="6" applyFont="1" applyFill="1" applyBorder="1" applyAlignment="1">
      <alignment horizontal="center" vertical="center" wrapText="1"/>
    </xf>
    <xf numFmtId="0" fontId="43" fillId="6" borderId="4" xfId="6" applyFont="1" applyFill="1" applyBorder="1" applyAlignment="1">
      <alignment horizontal="center" vertical="center" wrapText="1"/>
    </xf>
    <xf numFmtId="0" fontId="43" fillId="6" borderId="5" xfId="6" applyFont="1" applyFill="1" applyBorder="1" applyAlignment="1">
      <alignment horizontal="center" vertical="center" wrapText="1"/>
    </xf>
    <xf numFmtId="0" fontId="45" fillId="6" borderId="7" xfId="6" applyFont="1" applyFill="1" applyBorder="1" applyAlignment="1">
      <alignment horizontal="left" vertical="center" wrapText="1"/>
    </xf>
    <xf numFmtId="0" fontId="45" fillId="6" borderId="0" xfId="6" applyFont="1" applyFill="1" applyAlignment="1">
      <alignment horizontal="left" vertical="center" wrapText="1"/>
    </xf>
    <xf numFmtId="0" fontId="45" fillId="6" borderId="6" xfId="6" applyFont="1" applyFill="1" applyBorder="1" applyAlignment="1">
      <alignment horizontal="left" vertical="center" wrapText="1"/>
    </xf>
    <xf numFmtId="0" fontId="8" fillId="2" borderId="0" xfId="6" applyFont="1" applyFill="1" applyAlignment="1">
      <alignment vertical="center" wrapText="1"/>
    </xf>
    <xf numFmtId="0" fontId="10" fillId="2" borderId="0" xfId="6" applyFont="1" applyFill="1" applyAlignment="1">
      <alignment vertical="center" wrapText="1"/>
    </xf>
    <xf numFmtId="0" fontId="44" fillId="6" borderId="7" xfId="6" applyFont="1" applyFill="1" applyBorder="1" applyAlignment="1">
      <alignment horizontal="left" vertical="center" wrapText="1"/>
    </xf>
    <xf numFmtId="0" fontId="44" fillId="6" borderId="0" xfId="6" applyFont="1" applyFill="1" applyAlignment="1">
      <alignment horizontal="left" vertical="center" wrapText="1"/>
    </xf>
    <xf numFmtId="0" fontId="44" fillId="6" borderId="6" xfId="6" applyFont="1" applyFill="1" applyBorder="1" applyAlignment="1">
      <alignment horizontal="left" vertical="center" wrapText="1"/>
    </xf>
    <xf numFmtId="0" fontId="8" fillId="2" borderId="0" xfId="6" applyFont="1" applyFill="1" applyAlignment="1">
      <alignment horizontal="right" vertical="center" wrapText="1"/>
    </xf>
    <xf numFmtId="0" fontId="36" fillId="7" borderId="18" xfId="0" applyFont="1" applyFill="1" applyBorder="1" applyAlignment="1">
      <alignment horizontal="center" vertical="center" wrapText="1"/>
    </xf>
    <xf numFmtId="0" fontId="34" fillId="2" borderId="11" xfId="0" applyFont="1" applyBorder="1" applyAlignment="1">
      <alignment horizontal="center" vertical="top" wrapText="1"/>
    </xf>
    <xf numFmtId="0" fontId="34" fillId="2" borderId="12" xfId="0" applyFont="1" applyBorder="1" applyAlignment="1">
      <alignment horizontal="center" vertical="top" wrapText="1"/>
    </xf>
    <xf numFmtId="0" fontId="34" fillId="2" borderId="13" xfId="0" applyFont="1" applyBorder="1" applyAlignment="1">
      <alignment horizontal="center" vertical="top" wrapText="1"/>
    </xf>
    <xf numFmtId="0" fontId="34" fillId="2" borderId="14" xfId="0" applyFont="1" applyBorder="1" applyAlignment="1">
      <alignment horizontal="center" vertical="top" wrapText="1"/>
    </xf>
    <xf numFmtId="0" fontId="34" fillId="2" borderId="15" xfId="0" applyFont="1" applyBorder="1" applyAlignment="1">
      <alignment horizontal="center" vertical="top" wrapText="1"/>
    </xf>
    <xf numFmtId="0" fontId="34" fillId="2" borderId="16" xfId="0" applyFont="1" applyBorder="1" applyAlignment="1">
      <alignment horizontal="center" vertical="top" wrapText="1"/>
    </xf>
    <xf numFmtId="0" fontId="35" fillId="3" borderId="32" xfId="6" applyFont="1" applyFill="1" applyBorder="1" applyAlignment="1">
      <alignment horizontal="center" vertical="center" textRotation="90"/>
    </xf>
    <xf numFmtId="0" fontId="8" fillId="0" borderId="22" xfId="6" applyFont="1" applyBorder="1" applyAlignment="1" applyProtection="1">
      <alignment horizontal="center" vertical="center" wrapText="1"/>
      <protection locked="0"/>
    </xf>
    <xf numFmtId="0" fontId="8" fillId="0" borderId="30" xfId="6" applyFont="1" applyBorder="1" applyAlignment="1" applyProtection="1">
      <alignment horizontal="center" vertical="center" wrapText="1"/>
      <protection locked="0"/>
    </xf>
    <xf numFmtId="0" fontId="44" fillId="6" borderId="8" xfId="6" applyFont="1" applyFill="1" applyBorder="1" applyAlignment="1">
      <alignment horizontal="left" vertical="center" wrapText="1"/>
    </xf>
    <xf numFmtId="0" fontId="44" fillId="6" borderId="9" xfId="6" applyFont="1" applyFill="1" applyBorder="1" applyAlignment="1">
      <alignment horizontal="left" vertical="center" wrapText="1"/>
    </xf>
    <xf numFmtId="0" fontId="44" fillId="6" borderId="10" xfId="6" applyFont="1" applyFill="1" applyBorder="1" applyAlignment="1">
      <alignment horizontal="left" vertical="center" wrapText="1"/>
    </xf>
    <xf numFmtId="0" fontId="11" fillId="3" borderId="18" xfId="6" applyFont="1" applyFill="1" applyBorder="1" applyAlignment="1">
      <alignment horizontal="center" vertical="center" wrapText="1"/>
    </xf>
    <xf numFmtId="0" fontId="26" fillId="3" borderId="18" xfId="6" applyFont="1" applyFill="1" applyBorder="1" applyAlignment="1">
      <alignment horizontal="center" vertical="center" textRotation="90" wrapText="1"/>
    </xf>
    <xf numFmtId="0" fontId="32" fillId="3" borderId="18" xfId="6" applyFont="1" applyFill="1" applyBorder="1" applyAlignment="1">
      <alignment horizontal="center" vertical="center" wrapText="1"/>
    </xf>
    <xf numFmtId="0" fontId="9" fillId="3" borderId="18" xfId="6" applyFont="1" applyFill="1" applyBorder="1" applyAlignment="1">
      <alignment horizontal="center" vertical="center" wrapText="1"/>
    </xf>
    <xf numFmtId="0" fontId="33" fillId="2" borderId="2" xfId="0" applyFont="1" applyBorder="1" applyAlignment="1">
      <alignment horizontal="center" vertical="center" wrapText="1"/>
    </xf>
    <xf numFmtId="0" fontId="39" fillId="2" borderId="2" xfId="0" applyFont="1" applyBorder="1" applyAlignment="1">
      <alignment horizontal="center" vertical="center" wrapText="1"/>
    </xf>
    <xf numFmtId="0" fontId="40" fillId="4" borderId="24" xfId="6" applyFont="1" applyFill="1" applyBorder="1" applyAlignment="1">
      <alignment horizontal="center" vertical="center" wrapText="1"/>
    </xf>
    <xf numFmtId="0" fontId="27" fillId="6" borderId="24" xfId="6" applyFont="1" applyFill="1" applyBorder="1" applyAlignment="1">
      <alignment horizontal="center" vertical="center" wrapText="1"/>
    </xf>
    <xf numFmtId="0" fontId="27" fillId="6" borderId="18" xfId="6" applyFont="1" applyFill="1" applyBorder="1" applyAlignment="1">
      <alignment horizontal="center" vertical="center" wrapText="1"/>
    </xf>
    <xf numFmtId="0" fontId="40" fillId="4" borderId="18" xfId="6" applyFont="1" applyFill="1" applyBorder="1" applyAlignment="1">
      <alignment horizontal="center" vertical="center" wrapText="1"/>
    </xf>
    <xf numFmtId="0" fontId="40" fillId="4" borderId="23" xfId="6" applyFont="1" applyFill="1" applyBorder="1" applyAlignment="1">
      <alignment horizontal="center" vertical="center" wrapText="1"/>
    </xf>
    <xf numFmtId="0" fontId="40" fillId="4" borderId="26" xfId="6" applyFont="1" applyFill="1" applyBorder="1" applyAlignment="1">
      <alignment horizontal="center" vertical="center" wrapText="1"/>
    </xf>
    <xf numFmtId="0" fontId="45" fillId="6" borderId="8" xfId="6" applyFont="1" applyFill="1" applyBorder="1" applyAlignment="1">
      <alignment horizontal="left" vertical="center" wrapText="1"/>
    </xf>
    <xf numFmtId="0" fontId="45" fillId="6" borderId="9" xfId="6" applyFont="1" applyFill="1" applyBorder="1" applyAlignment="1">
      <alignment horizontal="left" vertical="center" wrapText="1"/>
    </xf>
    <xf numFmtId="0" fontId="45" fillId="6" borderId="10" xfId="6" applyFont="1" applyFill="1" applyBorder="1" applyAlignment="1">
      <alignment horizontal="left" vertical="center" wrapText="1"/>
    </xf>
    <xf numFmtId="0" fontId="27" fillId="6" borderId="24" xfId="6" applyFont="1" applyFill="1" applyBorder="1" applyAlignment="1">
      <alignment horizontal="center" vertical="center" textRotation="90" wrapText="1"/>
    </xf>
    <xf numFmtId="0" fontId="27" fillId="6" borderId="18" xfId="6" applyFont="1" applyFill="1" applyBorder="1" applyAlignment="1">
      <alignment horizontal="center" vertical="center" textRotation="90" wrapText="1"/>
    </xf>
    <xf numFmtId="0" fontId="23" fillId="6" borderId="24" xfId="0" applyFont="1" applyFill="1" applyBorder="1" applyAlignment="1">
      <alignment horizontal="center" vertical="center" wrapText="1"/>
    </xf>
    <xf numFmtId="0" fontId="23" fillId="6" borderId="18" xfId="0" applyFont="1" applyFill="1" applyBorder="1"/>
    <xf numFmtId="0" fontId="27" fillId="6" borderId="25" xfId="6" applyFont="1" applyFill="1" applyBorder="1" applyAlignment="1">
      <alignment horizontal="center" vertical="center" wrapText="1"/>
    </xf>
    <xf numFmtId="0" fontId="27" fillId="6" borderId="27" xfId="6" applyFont="1" applyFill="1" applyBorder="1" applyAlignment="1">
      <alignment horizontal="center" vertical="center" wrapText="1"/>
    </xf>
    <xf numFmtId="0" fontId="41" fillId="4" borderId="24" xfId="0" applyFont="1" applyFill="1" applyBorder="1" applyAlignment="1">
      <alignment horizontal="center" vertical="center" wrapText="1"/>
    </xf>
    <xf numFmtId="0" fontId="26" fillId="9" borderId="18" xfId="6" applyFont="1" applyFill="1" applyBorder="1" applyAlignment="1">
      <alignment horizontal="center" vertical="center" textRotation="90" wrapText="1"/>
    </xf>
    <xf numFmtId="0" fontId="30" fillId="3" borderId="18" xfId="6" applyFont="1" applyFill="1" applyBorder="1" applyAlignment="1">
      <alignment horizontal="center" vertical="center" wrapText="1"/>
    </xf>
    <xf numFmtId="0" fontId="30" fillId="9" borderId="18" xfId="6" applyFont="1" applyFill="1" applyBorder="1" applyAlignment="1">
      <alignment horizontal="center" vertical="center" wrapText="1"/>
    </xf>
    <xf numFmtId="0" fontId="19" fillId="3" borderId="18" xfId="6" applyFont="1" applyFill="1" applyBorder="1" applyAlignment="1">
      <alignment horizontal="center" vertical="center" wrapText="1"/>
    </xf>
    <xf numFmtId="0" fontId="19" fillId="9" borderId="18" xfId="6" applyFont="1" applyFill="1" applyBorder="1" applyAlignment="1">
      <alignment horizontal="center" vertical="center" wrapText="1"/>
    </xf>
    <xf numFmtId="0" fontId="11" fillId="9" borderId="18" xfId="6" applyFont="1" applyFill="1" applyBorder="1" applyAlignment="1">
      <alignment horizontal="center" vertical="center" wrapText="1"/>
    </xf>
    <xf numFmtId="0" fontId="25" fillId="3" borderId="26" xfId="6" applyFont="1" applyFill="1" applyBorder="1" applyAlignment="1">
      <alignment horizontal="center" vertical="center" textRotation="90" wrapText="1"/>
    </xf>
    <xf numFmtId="0" fontId="25" fillId="9" borderId="26" xfId="6" applyFont="1" applyFill="1" applyBorder="1" applyAlignment="1">
      <alignment horizontal="center" vertical="center" textRotation="90" wrapText="1"/>
    </xf>
    <xf numFmtId="0" fontId="25" fillId="0" borderId="26" xfId="6" applyFont="1" applyBorder="1" applyAlignment="1">
      <alignment horizontal="center" vertical="center" textRotation="90" wrapText="1"/>
    </xf>
    <xf numFmtId="0" fontId="8" fillId="3" borderId="18" xfId="0" applyFont="1" applyFill="1" applyBorder="1" applyAlignment="1" applyProtection="1">
      <alignment horizontal="center" vertical="center" wrapText="1"/>
      <protection locked="0"/>
    </xf>
    <xf numFmtId="0" fontId="25" fillId="3" borderId="18" xfId="6" applyFont="1" applyFill="1" applyBorder="1" applyAlignment="1">
      <alignment horizontal="center" vertical="center" textRotation="90" wrapText="1"/>
    </xf>
    <xf numFmtId="0" fontId="25" fillId="0" borderId="18" xfId="6" applyFont="1" applyBorder="1" applyAlignment="1">
      <alignment horizontal="center" vertical="center" textRotation="90" wrapText="1"/>
    </xf>
    <xf numFmtId="0" fontId="30" fillId="5" borderId="18" xfId="6" applyFont="1" applyFill="1" applyBorder="1" applyAlignment="1">
      <alignment horizontal="center" vertical="center" wrapText="1"/>
    </xf>
    <xf numFmtId="0" fontId="8" fillId="5" borderId="18" xfId="0" applyFont="1" applyFill="1" applyBorder="1" applyAlignment="1" applyProtection="1">
      <alignment horizontal="center" vertical="center" wrapText="1"/>
      <protection locked="0"/>
    </xf>
    <xf numFmtId="0" fontId="8" fillId="3" borderId="18" xfId="0" applyFont="1" applyFill="1" applyBorder="1" applyAlignment="1">
      <alignment horizontal="center" vertical="center" wrapText="1"/>
    </xf>
    <xf numFmtId="0" fontId="9" fillId="3" borderId="18" xfId="0" applyFont="1" applyFill="1" applyBorder="1"/>
    <xf numFmtId="0" fontId="19" fillId="3" borderId="30" xfId="6" applyFont="1" applyFill="1" applyBorder="1" applyAlignment="1">
      <alignment horizontal="center" vertical="center" wrapText="1"/>
    </xf>
    <xf numFmtId="0" fontId="30" fillId="3" borderId="18" xfId="6" applyFont="1" applyFill="1" applyBorder="1" applyAlignment="1">
      <alignment horizontal="center" vertical="center" textRotation="90" wrapText="1"/>
    </xf>
    <xf numFmtId="0" fontId="11" fillId="3" borderId="17" xfId="6" applyFont="1" applyFill="1" applyBorder="1" applyAlignment="1">
      <alignment horizontal="center" vertical="center" wrapText="1"/>
    </xf>
    <xf numFmtId="0" fontId="11" fillId="3" borderId="20" xfId="6" applyFont="1" applyFill="1" applyBorder="1" applyAlignment="1">
      <alignment horizontal="center" vertical="center" wrapText="1"/>
    </xf>
    <xf numFmtId="0" fontId="11" fillId="3" borderId="21" xfId="6" applyFont="1" applyFill="1" applyBorder="1" applyAlignment="1">
      <alignment horizontal="center" vertical="center" wrapText="1"/>
    </xf>
    <xf numFmtId="0" fontId="35" fillId="3" borderId="18" xfId="6" applyFont="1" applyFill="1" applyBorder="1" applyAlignment="1">
      <alignment horizontal="center" vertical="center" textRotation="90" wrapText="1"/>
    </xf>
    <xf numFmtId="0" fontId="35" fillId="9" borderId="18" xfId="6" applyFont="1" applyFill="1" applyBorder="1" applyAlignment="1">
      <alignment horizontal="center" vertical="center" textRotation="90" wrapText="1"/>
    </xf>
    <xf numFmtId="0" fontId="26" fillId="0" borderId="18" xfId="6" applyFont="1" applyBorder="1" applyAlignment="1">
      <alignment horizontal="center" vertical="center" textRotation="90" wrapText="1"/>
    </xf>
    <xf numFmtId="0" fontId="8" fillId="0" borderId="18" xfId="0" applyFont="1" applyFill="1" applyBorder="1" applyAlignment="1" applyProtection="1">
      <alignment horizontal="center" vertical="center" wrapText="1"/>
      <protection locked="0"/>
    </xf>
    <xf numFmtId="0" fontId="37" fillId="3" borderId="26" xfId="6" applyFont="1" applyFill="1" applyBorder="1" applyAlignment="1">
      <alignment horizontal="center" vertical="center" textRotation="90" wrapText="1"/>
    </xf>
    <xf numFmtId="0" fontId="35" fillId="3" borderId="26" xfId="6" applyFont="1" applyFill="1" applyBorder="1" applyAlignment="1">
      <alignment horizontal="center" vertical="center" textRotation="90" wrapText="1"/>
    </xf>
    <xf numFmtId="0" fontId="26" fillId="3" borderId="32" xfId="6" applyFont="1" applyFill="1" applyBorder="1" applyAlignment="1">
      <alignment horizontal="center" vertical="center" textRotation="90" wrapText="1"/>
    </xf>
    <xf numFmtId="0" fontId="26" fillId="3" borderId="19" xfId="6" applyFont="1" applyFill="1" applyBorder="1" applyAlignment="1">
      <alignment horizontal="center" vertical="center" textRotation="90" wrapText="1"/>
    </xf>
    <xf numFmtId="0" fontId="8" fillId="3" borderId="17" xfId="0" applyFont="1" applyFill="1" applyBorder="1" applyAlignment="1" applyProtection="1">
      <alignment horizontal="center" vertical="center" wrapText="1"/>
      <protection locked="0"/>
    </xf>
    <xf numFmtId="0" fontId="26" fillId="3" borderId="17" xfId="6" applyFont="1" applyFill="1" applyBorder="1" applyAlignment="1">
      <alignment horizontal="center" vertical="center" textRotation="90" wrapText="1"/>
    </xf>
    <xf numFmtId="0" fontId="26" fillId="3" borderId="20" xfId="6" applyFont="1" applyFill="1" applyBorder="1" applyAlignment="1">
      <alignment horizontal="center" vertical="center" textRotation="90" wrapText="1"/>
    </xf>
    <xf numFmtId="0" fontId="26" fillId="3" borderId="21" xfId="6" applyFont="1" applyFill="1" applyBorder="1" applyAlignment="1">
      <alignment horizontal="center" vertical="center" textRotation="90" wrapText="1"/>
    </xf>
    <xf numFmtId="0" fontId="30" fillId="3" borderId="17" xfId="6" applyFont="1" applyFill="1" applyBorder="1" applyAlignment="1">
      <alignment horizontal="center" vertical="center" textRotation="90" wrapText="1"/>
    </xf>
    <xf numFmtId="0" fontId="30" fillId="3" borderId="20" xfId="6" applyFont="1" applyFill="1" applyBorder="1" applyAlignment="1">
      <alignment horizontal="center" vertical="center" textRotation="90" wrapText="1"/>
    </xf>
    <xf numFmtId="0" fontId="30" fillId="3" borderId="21" xfId="6" applyFont="1" applyFill="1" applyBorder="1" applyAlignment="1">
      <alignment horizontal="center" vertical="center" textRotation="90" wrapText="1"/>
    </xf>
    <xf numFmtId="0" fontId="36" fillId="7" borderId="17" xfId="0" applyFont="1" applyFill="1" applyBorder="1" applyAlignment="1">
      <alignment horizontal="center" vertical="center" wrapText="1"/>
    </xf>
    <xf numFmtId="0" fontId="36" fillId="7" borderId="20" xfId="0" applyFont="1" applyFill="1" applyBorder="1" applyAlignment="1">
      <alignment horizontal="center" vertical="center" wrapText="1"/>
    </xf>
    <xf numFmtId="0" fontId="36" fillId="7" borderId="21" xfId="0" applyFont="1" applyFill="1" applyBorder="1" applyAlignment="1">
      <alignment horizontal="center" vertical="center" wrapText="1"/>
    </xf>
    <xf numFmtId="0" fontId="9" fillId="3" borderId="0" xfId="6" applyFont="1" applyFill="1" applyAlignment="1">
      <alignment horizontal="center" vertical="center" wrapText="1"/>
    </xf>
    <xf numFmtId="0" fontId="25" fillId="3" borderId="31" xfId="6" applyFont="1" applyFill="1" applyBorder="1" applyAlignment="1">
      <alignment horizontal="center" vertical="center" textRotation="90"/>
    </xf>
    <xf numFmtId="0" fontId="35" fillId="3" borderId="17" xfId="6" applyFont="1" applyFill="1" applyBorder="1" applyAlignment="1">
      <alignment horizontal="center" vertical="center" textRotation="90"/>
    </xf>
    <xf numFmtId="0" fontId="9" fillId="0" borderId="17" xfId="6" applyFont="1" applyBorder="1" applyAlignment="1" applyProtection="1">
      <alignment horizontal="center" vertical="center" wrapText="1"/>
      <protection locked="0"/>
    </xf>
  </cellXfs>
  <cellStyles count="8">
    <cellStyle name="Date" xfId="1" xr:uid="{8C1D83F2-E369-47FF-8A63-FD0BB3A9228A}"/>
    <cellStyle name="Fixed" xfId="2" xr:uid="{2B4FE707-C8C4-449D-AF17-9DA3FCF57B01}"/>
    <cellStyle name="Heading1" xfId="3" xr:uid="{D32CDF42-5043-4159-9256-0C17733AA495}"/>
    <cellStyle name="Heading2" xfId="4" xr:uid="{76FF7EC2-8C79-4AC6-B0E1-D2402DA692C4}"/>
    <cellStyle name="Normal" xfId="0" builtinId="0"/>
    <cellStyle name="Normal 2" xfId="5" xr:uid="{ACA5CEF1-BF73-4291-BC0F-1735E78EEFAC}"/>
    <cellStyle name="Normal_Panorama riesgos Coveñas  OCTUBRE 31 -1800" xfId="6" xr:uid="{A5602B08-DB8A-4D3A-A004-73284DEF2971}"/>
    <cellStyle name="Total" xfId="7" builtinId="25" customBuiltin="1"/>
  </cellStyles>
  <dxfs count="76">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323850</xdr:colOff>
      <xdr:row>0</xdr:row>
      <xdr:rowOff>66675</xdr:rowOff>
    </xdr:from>
    <xdr:to>
      <xdr:col>1</xdr:col>
      <xdr:colOff>549456</xdr:colOff>
      <xdr:row>3</xdr:row>
      <xdr:rowOff>93345</xdr:rowOff>
    </xdr:to>
    <xdr:pic>
      <xdr:nvPicPr>
        <xdr:cNvPr id="2" name="Imagen 1">
          <a:extLst>
            <a:ext uri="{FF2B5EF4-FFF2-40B4-BE49-F238E27FC236}">
              <a16:creationId xmlns:a16="http://schemas.microsoft.com/office/drawing/2014/main" id="{B04ECA3A-5EAF-4A7B-881F-1CF155E5FC28}"/>
            </a:ext>
          </a:extLst>
        </xdr:cNvPr>
        <xdr:cNvPicPr>
          <a:picLocks noChangeAspect="1"/>
        </xdr:cNvPicPr>
      </xdr:nvPicPr>
      <xdr:blipFill>
        <a:blip xmlns:r="http://schemas.openxmlformats.org/officeDocument/2006/relationships" r:embed="rId1"/>
        <a:stretch>
          <a:fillRect/>
        </a:stretch>
      </xdr:blipFill>
      <xdr:spPr>
        <a:xfrm>
          <a:off x="323850" y="66675"/>
          <a:ext cx="1384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323850</xdr:colOff>
      <xdr:row>0</xdr:row>
      <xdr:rowOff>66675</xdr:rowOff>
    </xdr:from>
    <xdr:to>
      <xdr:col>1</xdr:col>
      <xdr:colOff>643890</xdr:colOff>
      <xdr:row>3</xdr:row>
      <xdr:rowOff>93345</xdr:rowOff>
    </xdr:to>
    <xdr:pic>
      <xdr:nvPicPr>
        <xdr:cNvPr id="2" name="Imagen 1">
          <a:extLst>
            <a:ext uri="{FF2B5EF4-FFF2-40B4-BE49-F238E27FC236}">
              <a16:creationId xmlns:a16="http://schemas.microsoft.com/office/drawing/2014/main" id="{411969C2-8E86-0DA0-4C1C-6F23134F62F4}"/>
            </a:ext>
          </a:extLst>
        </xdr:cNvPr>
        <xdr:cNvPicPr>
          <a:picLocks noChangeAspect="1"/>
        </xdr:cNvPicPr>
      </xdr:nvPicPr>
      <xdr:blipFill>
        <a:blip xmlns:r="http://schemas.openxmlformats.org/officeDocument/2006/relationships" r:embed="rId1"/>
        <a:stretch>
          <a:fillRect/>
        </a:stretch>
      </xdr:blipFill>
      <xdr:spPr>
        <a:xfrm>
          <a:off x="323850" y="66675"/>
          <a:ext cx="1333500" cy="381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333A-9A13-4323-A080-DF57D4CCF5B4}">
  <sheetPr filterMode="1">
    <tabColor indexed="43"/>
    <pageSetUpPr autoPageBreaks="0" fitToPage="1"/>
  </sheetPr>
  <dimension ref="A1:EV892"/>
  <sheetViews>
    <sheetView showGridLines="0" topLeftCell="A339" zoomScale="70" zoomScaleNormal="70" zoomScaleSheetLayoutView="100" zoomScalePageLayoutView="25" workbookViewId="0">
      <pane xSplit="1" topLeftCell="B1" activePane="topRight" state="frozen"/>
      <selection activeCell="A18" sqref="A18"/>
      <selection pane="topRight" activeCell="C343" sqref="C343:C345"/>
    </sheetView>
  </sheetViews>
  <sheetFormatPr baseColWidth="10" defaultColWidth="4.77734375" defaultRowHeight="20.399999999999999" x14ac:dyDescent="0.25"/>
  <cols>
    <col min="1" max="1" width="16.6640625" style="18" bestFit="1" customWidth="1"/>
    <col min="2" max="2" width="17.109375" style="18" bestFit="1" customWidth="1"/>
    <col min="3" max="3" width="32.33203125" style="20" bestFit="1" customWidth="1"/>
    <col min="4" max="4" width="32" style="22" bestFit="1" customWidth="1"/>
    <col min="5" max="5" width="14.5546875" style="2" bestFit="1" customWidth="1"/>
    <col min="6" max="6" width="23" style="2" bestFit="1" customWidth="1"/>
    <col min="7" max="7" width="17.109375" style="2" bestFit="1" customWidth="1"/>
    <col min="8" max="8" width="16" style="2" bestFit="1" customWidth="1"/>
    <col min="9" max="9" width="15.33203125" style="2" bestFit="1" customWidth="1"/>
    <col min="10" max="10" width="20.21875" style="2" bestFit="1" customWidth="1"/>
    <col min="11" max="11" width="12.21875" style="2" bestFit="1" customWidth="1"/>
    <col min="12" max="12" width="16.21875" style="2" customWidth="1"/>
    <col min="13" max="13" width="17.88671875" style="2" bestFit="1" customWidth="1"/>
    <col min="14" max="14" width="20.44140625" style="2" bestFit="1" customWidth="1"/>
    <col min="15" max="15" width="21.33203125" style="2" bestFit="1" customWidth="1"/>
    <col min="16" max="17" width="19.44140625" style="2" bestFit="1" customWidth="1"/>
    <col min="18" max="18" width="23.44140625" style="2" bestFit="1" customWidth="1"/>
    <col min="19" max="19" width="27.44140625" style="2" bestFit="1" customWidth="1"/>
    <col min="20" max="20" width="23.44140625" style="2" bestFit="1" customWidth="1"/>
    <col min="21" max="21" width="28.88671875" style="2" bestFit="1" customWidth="1"/>
    <col min="22" max="25" width="19.44140625" style="2" bestFit="1" customWidth="1"/>
    <col min="26" max="26" width="39.33203125" style="2" bestFit="1" customWidth="1"/>
    <col min="27" max="27" width="16.77734375" style="2" bestFit="1" customWidth="1"/>
    <col min="28" max="28" width="16.109375" style="2" bestFit="1" customWidth="1"/>
    <col min="29" max="29" width="22.33203125" style="2" bestFit="1" customWidth="1"/>
    <col min="30" max="30" width="43.77734375" style="2" bestFit="1" customWidth="1"/>
    <col min="31" max="31" width="37.21875" style="2" bestFit="1" customWidth="1"/>
    <col min="32" max="32" width="19.88671875" style="2" bestFit="1" customWidth="1"/>
    <col min="33" max="34" width="21.109375" style="2" bestFit="1" customWidth="1"/>
    <col min="35" max="35" width="17.109375" style="2" bestFit="1" customWidth="1"/>
    <col min="36" max="36" width="33" style="2" bestFit="1" customWidth="1"/>
    <col min="37" max="37" width="21.109375" style="2" bestFit="1" customWidth="1"/>
    <col min="38" max="38" width="13.109375" style="2" bestFit="1" customWidth="1"/>
    <col min="39" max="39" width="17.109375" style="2" bestFit="1" customWidth="1"/>
    <col min="40" max="40" width="23" style="2" bestFit="1" customWidth="1"/>
    <col min="41" max="41" width="24.5546875" style="2" bestFit="1" customWidth="1"/>
    <col min="42" max="42" width="22.33203125" style="2" bestFit="1" customWidth="1"/>
    <col min="43" max="43" width="34.77734375" style="2" customWidth="1"/>
    <col min="44" max="44" width="21.109375" style="2" bestFit="1" customWidth="1"/>
    <col min="45" max="45" width="28.33203125" style="2" bestFit="1" customWidth="1"/>
    <col min="46" max="49" width="4.77734375" style="2"/>
    <col min="50" max="50" width="6.21875" style="2" bestFit="1" customWidth="1"/>
    <col min="51" max="53" width="4.77734375" style="2"/>
    <col min="54" max="54" width="7.44140625" style="2" bestFit="1" customWidth="1"/>
    <col min="55" max="55" width="6.77734375" style="2" bestFit="1" customWidth="1"/>
    <col min="56" max="56" width="6.21875" style="2" bestFit="1" customWidth="1"/>
    <col min="57" max="137" width="4.77734375" style="2"/>
    <col min="138" max="152" width="20.77734375" style="2" customWidth="1"/>
    <col min="153" max="16384" width="4.77734375" style="2"/>
  </cols>
  <sheetData>
    <row r="1" spans="1:152" ht="9.6" x14ac:dyDescent="0.25">
      <c r="A1" s="153"/>
      <c r="B1" s="154"/>
      <c r="C1" s="169" t="s">
        <v>0</v>
      </c>
      <c r="D1" s="169"/>
      <c r="E1" s="169"/>
      <c r="F1" s="169"/>
      <c r="G1" s="169"/>
      <c r="H1" s="169"/>
      <c r="I1" s="169"/>
      <c r="J1" s="169"/>
      <c r="K1" s="169"/>
      <c r="L1" s="169"/>
      <c r="M1" s="169"/>
      <c r="N1" s="170"/>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39" t="s">
        <v>1</v>
      </c>
      <c r="AS1" s="139"/>
    </row>
    <row r="2" spans="1:152" ht="9.6" x14ac:dyDescent="0.25">
      <c r="A2" s="155"/>
      <c r="B2" s="156"/>
      <c r="C2" s="169"/>
      <c r="D2" s="169"/>
      <c r="E2" s="169"/>
      <c r="F2" s="169"/>
      <c r="G2" s="169"/>
      <c r="H2" s="169"/>
      <c r="I2" s="169"/>
      <c r="J2" s="169"/>
      <c r="K2" s="169"/>
      <c r="L2" s="169"/>
      <c r="M2" s="169"/>
      <c r="N2" s="170"/>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39"/>
      <c r="AS2" s="139"/>
    </row>
    <row r="3" spans="1:152" ht="9.6" x14ac:dyDescent="0.25">
      <c r="A3" s="155"/>
      <c r="B3" s="156"/>
      <c r="C3" s="169"/>
      <c r="D3" s="169"/>
      <c r="E3" s="169"/>
      <c r="F3" s="169"/>
      <c r="G3" s="169"/>
      <c r="H3" s="169"/>
      <c r="I3" s="169"/>
      <c r="J3" s="169"/>
      <c r="K3" s="169"/>
      <c r="L3" s="169"/>
      <c r="M3" s="169"/>
      <c r="N3" s="170"/>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39"/>
      <c r="AS3" s="139"/>
    </row>
    <row r="4" spans="1:152" ht="9.6" x14ac:dyDescent="0.25">
      <c r="A4" s="157"/>
      <c r="B4" s="158"/>
      <c r="C4" s="169"/>
      <c r="D4" s="169"/>
      <c r="E4" s="169"/>
      <c r="F4" s="169"/>
      <c r="G4" s="169"/>
      <c r="H4" s="169"/>
      <c r="I4" s="169"/>
      <c r="J4" s="169"/>
      <c r="K4" s="169"/>
      <c r="L4" s="169"/>
      <c r="M4" s="169"/>
      <c r="N4" s="170"/>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39"/>
      <c r="AS4" s="139"/>
    </row>
    <row r="6" spans="1:152" s="9" customFormat="1" ht="13.8" x14ac:dyDescent="0.25">
      <c r="A6" s="151" t="s">
        <v>2</v>
      </c>
      <c r="B6" s="151"/>
      <c r="C6" s="27" t="s">
        <v>3</v>
      </c>
      <c r="D6" s="12"/>
      <c r="E6" s="27"/>
      <c r="F6" s="12"/>
      <c r="G6" s="12"/>
      <c r="H6" s="12"/>
      <c r="I6" s="81"/>
      <c r="J6" s="11"/>
      <c r="M6" s="146" t="s">
        <v>4</v>
      </c>
      <c r="N6" s="147"/>
      <c r="O6" s="24">
        <v>49</v>
      </c>
      <c r="P6" s="26"/>
      <c r="Q6" s="26"/>
      <c r="R6" s="26"/>
      <c r="S6" s="26"/>
      <c r="T6" s="1"/>
      <c r="U6" s="1"/>
      <c r="V6" s="1"/>
      <c r="W6" s="1"/>
      <c r="X6" s="1"/>
      <c r="Y6" s="1"/>
      <c r="Z6" s="1"/>
      <c r="AA6" s="23"/>
      <c r="AB6" s="226"/>
      <c r="AC6" s="226"/>
      <c r="AD6" s="226"/>
      <c r="AE6" s="226"/>
      <c r="AF6" s="226"/>
      <c r="AG6" s="226"/>
      <c r="AH6" s="226"/>
      <c r="AI6" s="226"/>
      <c r="AJ6" s="226"/>
      <c r="AK6" s="1"/>
      <c r="AL6" s="1"/>
      <c r="AM6" s="1"/>
      <c r="AN6" s="1"/>
      <c r="AO6" s="1"/>
      <c r="AP6" s="1"/>
      <c r="AQ6" s="1"/>
      <c r="AR6" s="1"/>
      <c r="AS6" s="1"/>
      <c r="EQ6" s="6"/>
      <c r="ER6" s="6"/>
      <c r="ES6" s="6"/>
      <c r="ET6" s="6"/>
      <c r="EU6" s="6"/>
      <c r="EV6" s="6"/>
    </row>
    <row r="7" spans="1:152" s="9" customFormat="1" ht="13.8" x14ac:dyDescent="0.25">
      <c r="A7" s="151" t="s">
        <v>5</v>
      </c>
      <c r="B7" s="151"/>
      <c r="C7" s="12" t="s">
        <v>1183</v>
      </c>
      <c r="D7" s="12"/>
      <c r="E7" s="12"/>
      <c r="F7" s="12"/>
      <c r="G7" s="12"/>
      <c r="H7" s="12"/>
      <c r="I7" s="81"/>
      <c r="J7" s="11"/>
      <c r="M7" s="146" t="s">
        <v>6</v>
      </c>
      <c r="N7" s="147"/>
      <c r="O7" s="24">
        <v>26</v>
      </c>
      <c r="P7" s="26"/>
      <c r="Q7" s="26"/>
      <c r="R7" s="26"/>
      <c r="S7" s="26"/>
      <c r="T7" s="12"/>
      <c r="U7" s="12"/>
      <c r="V7" s="12"/>
      <c r="W7" s="1"/>
      <c r="X7" s="1"/>
      <c r="Y7" s="1"/>
      <c r="Z7" s="1"/>
      <c r="AA7" s="23"/>
      <c r="AB7" s="226"/>
      <c r="AC7" s="226"/>
      <c r="AD7" s="226"/>
      <c r="AE7" s="226"/>
      <c r="AF7" s="226"/>
      <c r="AG7" s="226"/>
      <c r="AH7" s="226"/>
      <c r="AI7" s="226"/>
      <c r="AJ7" s="226"/>
      <c r="AK7" s="12"/>
      <c r="AL7" s="12"/>
      <c r="AM7" s="12"/>
      <c r="AN7" s="1"/>
      <c r="AO7" s="1"/>
      <c r="AP7" s="1"/>
      <c r="AQ7" s="1"/>
      <c r="AR7" s="1"/>
      <c r="AS7" s="1"/>
      <c r="EQ7" s="6"/>
      <c r="ER7" s="6"/>
      <c r="ES7" s="6"/>
      <c r="ET7" s="6"/>
      <c r="EU7" s="6"/>
      <c r="EV7" s="6"/>
    </row>
    <row r="8" spans="1:152" s="9" customFormat="1" ht="13.8" x14ac:dyDescent="0.25">
      <c r="A8" s="151" t="s">
        <v>7</v>
      </c>
      <c r="B8" s="151"/>
      <c r="C8" s="12" t="s">
        <v>8</v>
      </c>
      <c r="D8" s="12"/>
      <c r="E8" s="12"/>
      <c r="F8" s="12"/>
      <c r="G8" s="12"/>
      <c r="H8" s="12"/>
      <c r="I8" s="81"/>
      <c r="J8" s="11"/>
      <c r="M8" s="146" t="s">
        <v>9</v>
      </c>
      <c r="N8" s="147"/>
      <c r="O8" s="24">
        <f>O6+O7</f>
        <v>75</v>
      </c>
      <c r="P8" s="26"/>
      <c r="Q8" s="26"/>
      <c r="R8" s="26"/>
      <c r="S8" s="26"/>
      <c r="T8" s="12"/>
      <c r="U8" s="12"/>
      <c r="V8" s="12"/>
      <c r="W8" s="1"/>
      <c r="X8" s="1"/>
      <c r="Y8" s="1"/>
      <c r="Z8" s="1"/>
      <c r="AA8" s="23"/>
      <c r="AB8" s="226"/>
      <c r="AC8" s="226"/>
      <c r="AD8" s="226"/>
      <c r="AE8" s="226"/>
      <c r="AF8" s="226"/>
      <c r="AG8" s="226"/>
      <c r="AH8" s="226"/>
      <c r="AI8" s="226"/>
      <c r="AJ8" s="226"/>
      <c r="AK8" s="12"/>
      <c r="AL8" s="12"/>
      <c r="AM8" s="12"/>
      <c r="AN8" s="1"/>
      <c r="AO8" s="1"/>
      <c r="AP8" s="1"/>
      <c r="AQ8" s="1"/>
      <c r="AR8" s="1"/>
      <c r="AS8" s="1"/>
      <c r="EQ8" s="6"/>
      <c r="ER8" s="6"/>
      <c r="ES8" s="6"/>
      <c r="ET8" s="6"/>
      <c r="EU8" s="6"/>
      <c r="EV8" s="6"/>
    </row>
    <row r="9" spans="1:152" s="9" customFormat="1" ht="13.2" x14ac:dyDescent="0.25">
      <c r="A9" s="151" t="s">
        <v>10</v>
      </c>
      <c r="B9" s="151"/>
      <c r="C9" s="12" t="s">
        <v>11</v>
      </c>
      <c r="D9" s="12"/>
      <c r="E9" s="12"/>
      <c r="F9" s="12"/>
      <c r="G9" s="12"/>
      <c r="H9" s="12"/>
      <c r="I9" s="81"/>
      <c r="J9" s="11"/>
      <c r="L9" s="11"/>
      <c r="M9" s="11"/>
      <c r="N9" s="23"/>
      <c r="O9" s="11"/>
      <c r="P9" s="10"/>
      <c r="Q9" s="1"/>
      <c r="R9" s="1"/>
      <c r="T9" s="12"/>
      <c r="U9" s="12"/>
      <c r="V9" s="12"/>
      <c r="W9" s="1"/>
      <c r="X9" s="1"/>
      <c r="Y9" s="1"/>
      <c r="Z9" s="1"/>
      <c r="AA9" s="23"/>
      <c r="AB9" s="226"/>
      <c r="AC9" s="226"/>
      <c r="AD9" s="226"/>
      <c r="AE9" s="226"/>
      <c r="AF9" s="226"/>
      <c r="AG9" s="226"/>
      <c r="AH9" s="226"/>
      <c r="AI9" s="226"/>
      <c r="AJ9" s="226"/>
      <c r="AK9" s="12"/>
      <c r="AL9" s="12"/>
      <c r="AM9" s="12"/>
      <c r="AN9" s="1"/>
      <c r="AO9" s="1"/>
      <c r="AP9" s="1"/>
      <c r="AQ9" s="1"/>
      <c r="AR9" s="1"/>
      <c r="AS9" s="1"/>
      <c r="EQ9" s="6"/>
      <c r="ER9" s="6"/>
      <c r="ES9" s="6"/>
      <c r="ET9" s="6"/>
      <c r="EU9" s="6"/>
      <c r="EV9" s="6"/>
    </row>
    <row r="10" spans="1:152" s="9" customFormat="1" ht="13.2" x14ac:dyDescent="0.25">
      <c r="A10" s="151" t="s">
        <v>12</v>
      </c>
      <c r="B10" s="151"/>
      <c r="C10" s="12" t="s">
        <v>13</v>
      </c>
      <c r="D10" s="12"/>
      <c r="E10" s="12"/>
      <c r="F10" s="12"/>
      <c r="G10" s="12"/>
      <c r="H10" s="12"/>
      <c r="I10" s="81"/>
      <c r="J10" s="1"/>
      <c r="K10" s="1"/>
      <c r="L10" s="1"/>
      <c r="M10" s="1"/>
      <c r="N10" s="1"/>
      <c r="O10" s="1"/>
      <c r="P10" s="1"/>
      <c r="Q10" s="1"/>
      <c r="R10" s="1"/>
      <c r="S10" s="1"/>
      <c r="T10" s="1"/>
      <c r="U10" s="1"/>
      <c r="V10" s="1"/>
      <c r="W10" s="1"/>
      <c r="X10" s="1"/>
      <c r="Y10" s="1"/>
      <c r="Z10" s="1"/>
      <c r="AA10" s="23"/>
      <c r="AB10" s="226"/>
      <c r="AC10" s="226"/>
      <c r="AD10" s="226"/>
      <c r="AE10" s="226"/>
      <c r="AF10" s="226"/>
      <c r="AG10" s="226"/>
      <c r="AH10" s="226"/>
      <c r="AI10" s="226"/>
      <c r="AJ10" s="226"/>
      <c r="AK10" s="1"/>
      <c r="AL10" s="1"/>
      <c r="AM10" s="1"/>
      <c r="AN10" s="1"/>
      <c r="AO10" s="1"/>
      <c r="AP10" s="1"/>
      <c r="AQ10" s="1"/>
      <c r="AR10" s="1"/>
      <c r="AS10" s="1"/>
      <c r="EQ10" s="6"/>
      <c r="ER10" s="6"/>
      <c r="ES10" s="6"/>
      <c r="ET10" s="6"/>
      <c r="EU10" s="6"/>
      <c r="EV10" s="6"/>
    </row>
    <row r="11" spans="1:152" s="9" customFormat="1" ht="21.6" thickBot="1" x14ac:dyDescent="0.3">
      <c r="A11" s="25"/>
      <c r="B11" s="25"/>
      <c r="C11" s="19"/>
      <c r="D11" s="12"/>
      <c r="E11" s="16"/>
      <c r="F11" s="16"/>
      <c r="G11" s="16"/>
      <c r="H11" s="16"/>
      <c r="I11" s="59"/>
      <c r="J11" s="1"/>
      <c r="K11" s="1"/>
      <c r="L11" s="1"/>
      <c r="M11" s="1"/>
      <c r="N11" s="1"/>
      <c r="O11" s="1"/>
      <c r="P11" s="1"/>
      <c r="Q11" s="1"/>
      <c r="R11" s="1"/>
      <c r="S11" s="1"/>
      <c r="T11" s="1"/>
      <c r="U11" s="1"/>
      <c r="V11" s="1"/>
      <c r="W11" s="1"/>
      <c r="X11" s="1"/>
      <c r="Y11" s="1"/>
      <c r="Z11" s="1"/>
      <c r="AA11" s="23"/>
      <c r="AB11" s="226"/>
      <c r="AC11" s="226"/>
      <c r="AD11" s="226"/>
      <c r="AE11" s="226"/>
      <c r="AF11" s="226"/>
      <c r="AG11" s="226"/>
      <c r="AH11" s="226"/>
      <c r="AI11" s="226"/>
      <c r="AJ11" s="226"/>
      <c r="AK11" s="1"/>
      <c r="AL11" s="1"/>
      <c r="AM11" s="1"/>
      <c r="AN11" s="1"/>
      <c r="AO11" s="1"/>
      <c r="AP11" s="1"/>
      <c r="AQ11" s="1"/>
      <c r="AR11" s="1"/>
      <c r="AS11" s="1"/>
      <c r="EQ11" s="6"/>
      <c r="ER11" s="6"/>
      <c r="ES11" s="6"/>
      <c r="ET11" s="6"/>
      <c r="EU11" s="6"/>
      <c r="EV11" s="6"/>
    </row>
    <row r="12" spans="1:152" s="100" customFormat="1" ht="17.399999999999999" x14ac:dyDescent="0.25">
      <c r="A12" s="140" t="s">
        <v>14</v>
      </c>
      <c r="B12" s="141"/>
      <c r="C12" s="141"/>
      <c r="D12" s="142"/>
      <c r="E12" s="140" t="s">
        <v>15</v>
      </c>
      <c r="F12" s="141"/>
      <c r="G12" s="141"/>
      <c r="H12" s="141"/>
      <c r="I12" s="141"/>
      <c r="J12" s="141"/>
      <c r="K12" s="142"/>
      <c r="L12" s="140" t="s">
        <v>16</v>
      </c>
      <c r="M12" s="141"/>
      <c r="N12" s="141"/>
      <c r="O12" s="141"/>
      <c r="P12" s="141"/>
      <c r="Q12" s="141"/>
      <c r="R12" s="141"/>
      <c r="S12" s="141"/>
      <c r="T12" s="141"/>
      <c r="U12" s="141"/>
      <c r="V12" s="141"/>
      <c r="W12" s="141"/>
      <c r="X12" s="141"/>
      <c r="Y12" s="141"/>
      <c r="Z12" s="141"/>
      <c r="AA12" s="142"/>
      <c r="AB12" s="226"/>
      <c r="AC12" s="226"/>
      <c r="AD12" s="226"/>
      <c r="AE12" s="226"/>
      <c r="AF12" s="226"/>
      <c r="AG12" s="226"/>
      <c r="AH12" s="226"/>
      <c r="AI12" s="226"/>
      <c r="AJ12" s="226"/>
      <c r="AK12" s="99"/>
      <c r="AL12" s="99"/>
      <c r="AM12" s="99"/>
      <c r="AN12" s="99"/>
      <c r="AO12" s="99"/>
      <c r="AP12" s="99"/>
      <c r="AQ12" s="99"/>
      <c r="AR12" s="99"/>
      <c r="AS12" s="99"/>
      <c r="EQ12" s="101"/>
      <c r="ER12" s="101"/>
      <c r="ES12" s="101"/>
      <c r="ET12" s="101"/>
      <c r="EU12" s="101"/>
      <c r="EV12" s="101"/>
    </row>
    <row r="13" spans="1:152" s="100" customFormat="1" ht="17.399999999999999" x14ac:dyDescent="0.25">
      <c r="A13" s="143" t="s">
        <v>17</v>
      </c>
      <c r="B13" s="144"/>
      <c r="C13" s="144"/>
      <c r="D13" s="145"/>
      <c r="E13" s="148" t="s">
        <v>18</v>
      </c>
      <c r="F13" s="149"/>
      <c r="G13" s="149"/>
      <c r="H13" s="149"/>
      <c r="I13" s="149"/>
      <c r="J13" s="149"/>
      <c r="K13" s="150"/>
      <c r="L13" s="148" t="s">
        <v>19</v>
      </c>
      <c r="M13" s="149"/>
      <c r="N13" s="149"/>
      <c r="O13" s="149"/>
      <c r="P13" s="149"/>
      <c r="Q13" s="149"/>
      <c r="R13" s="149"/>
      <c r="S13" s="149"/>
      <c r="T13" s="149"/>
      <c r="U13" s="149"/>
      <c r="V13" s="149"/>
      <c r="W13" s="149"/>
      <c r="X13" s="149"/>
      <c r="Y13" s="149"/>
      <c r="Z13" s="149"/>
      <c r="AA13" s="150"/>
      <c r="AB13" s="226"/>
      <c r="AC13" s="226"/>
      <c r="AD13" s="226"/>
      <c r="AE13" s="226"/>
      <c r="AF13" s="226"/>
      <c r="AG13" s="226"/>
      <c r="AH13" s="226"/>
      <c r="AI13" s="226"/>
      <c r="AJ13" s="226"/>
      <c r="AK13" s="99"/>
      <c r="AL13" s="99"/>
      <c r="AM13" s="99"/>
      <c r="AN13" s="99"/>
      <c r="AO13" s="99"/>
      <c r="AP13" s="99"/>
      <c r="AQ13" s="99"/>
      <c r="AR13" s="99"/>
      <c r="AS13" s="99"/>
      <c r="EQ13" s="101"/>
      <c r="ER13" s="101"/>
      <c r="ES13" s="101"/>
      <c r="ET13" s="101"/>
      <c r="EU13" s="101"/>
      <c r="EV13" s="101"/>
    </row>
    <row r="14" spans="1:152" s="100" customFormat="1" ht="17.399999999999999" x14ac:dyDescent="0.25">
      <c r="A14" s="143" t="s">
        <v>20</v>
      </c>
      <c r="B14" s="144"/>
      <c r="C14" s="144"/>
      <c r="D14" s="145"/>
      <c r="E14" s="148" t="s">
        <v>21</v>
      </c>
      <c r="F14" s="149"/>
      <c r="G14" s="149"/>
      <c r="H14" s="149"/>
      <c r="I14" s="149"/>
      <c r="J14" s="149"/>
      <c r="K14" s="150"/>
      <c r="L14" s="148" t="s">
        <v>22</v>
      </c>
      <c r="M14" s="149"/>
      <c r="N14" s="149"/>
      <c r="O14" s="149"/>
      <c r="P14" s="149"/>
      <c r="Q14" s="149"/>
      <c r="R14" s="149"/>
      <c r="S14" s="149"/>
      <c r="T14" s="149"/>
      <c r="U14" s="149"/>
      <c r="V14" s="149"/>
      <c r="W14" s="149"/>
      <c r="X14" s="149"/>
      <c r="Y14" s="149"/>
      <c r="Z14" s="149"/>
      <c r="AA14" s="150"/>
      <c r="AB14" s="226"/>
      <c r="AC14" s="226"/>
      <c r="AD14" s="226"/>
      <c r="AE14" s="226"/>
      <c r="AF14" s="226"/>
      <c r="AG14" s="226"/>
      <c r="AH14" s="226"/>
      <c r="AI14" s="226"/>
      <c r="AJ14" s="226"/>
      <c r="AK14" s="99"/>
      <c r="AL14" s="99"/>
      <c r="AM14" s="99"/>
      <c r="AN14" s="99"/>
      <c r="AO14" s="99"/>
      <c r="AP14" s="99"/>
      <c r="AQ14" s="99"/>
      <c r="AR14" s="99"/>
      <c r="AS14" s="99"/>
      <c r="EQ14" s="101"/>
      <c r="ER14" s="101"/>
      <c r="ES14" s="101"/>
      <c r="ET14" s="101"/>
      <c r="EU14" s="101"/>
      <c r="EV14" s="101"/>
    </row>
    <row r="15" spans="1:152" s="100" customFormat="1" ht="17.399999999999999" x14ac:dyDescent="0.25">
      <c r="A15" s="143" t="s">
        <v>23</v>
      </c>
      <c r="B15" s="144"/>
      <c r="C15" s="144"/>
      <c r="D15" s="145"/>
      <c r="E15" s="148" t="s">
        <v>24</v>
      </c>
      <c r="F15" s="149"/>
      <c r="G15" s="149"/>
      <c r="H15" s="149"/>
      <c r="I15" s="149"/>
      <c r="J15" s="149"/>
      <c r="K15" s="150"/>
      <c r="L15" s="148" t="s">
        <v>25</v>
      </c>
      <c r="M15" s="149"/>
      <c r="N15" s="149"/>
      <c r="O15" s="149"/>
      <c r="P15" s="149"/>
      <c r="Q15" s="149"/>
      <c r="R15" s="149"/>
      <c r="S15" s="149"/>
      <c r="T15" s="149"/>
      <c r="U15" s="149"/>
      <c r="V15" s="149"/>
      <c r="W15" s="149"/>
      <c r="X15" s="149"/>
      <c r="Y15" s="149"/>
      <c r="Z15" s="149"/>
      <c r="AA15" s="150"/>
      <c r="AB15" s="226"/>
      <c r="AC15" s="226"/>
      <c r="AD15" s="226"/>
      <c r="AE15" s="226"/>
      <c r="AF15" s="226"/>
      <c r="AG15" s="226"/>
      <c r="AH15" s="226"/>
      <c r="AI15" s="226"/>
      <c r="AJ15" s="226"/>
      <c r="AK15" s="99"/>
      <c r="AL15" s="99"/>
      <c r="AM15" s="99"/>
      <c r="AN15" s="99"/>
      <c r="AO15" s="99"/>
      <c r="AP15" s="99"/>
      <c r="AQ15" s="99"/>
      <c r="AR15" s="99"/>
      <c r="AS15" s="99"/>
      <c r="EQ15" s="101"/>
      <c r="ER15" s="101"/>
      <c r="ES15" s="101"/>
      <c r="ET15" s="101"/>
      <c r="EU15" s="101"/>
      <c r="EV15" s="101"/>
    </row>
    <row r="16" spans="1:152" s="100" customFormat="1" ht="18" thickBot="1" x14ac:dyDescent="0.3">
      <c r="A16" s="177" t="s">
        <v>26</v>
      </c>
      <c r="B16" s="178"/>
      <c r="C16" s="178"/>
      <c r="D16" s="179"/>
      <c r="E16" s="162" t="s">
        <v>27</v>
      </c>
      <c r="F16" s="163"/>
      <c r="G16" s="163"/>
      <c r="H16" s="163"/>
      <c r="I16" s="163"/>
      <c r="J16" s="163"/>
      <c r="K16" s="164"/>
      <c r="L16" s="162" t="s">
        <v>28</v>
      </c>
      <c r="M16" s="163"/>
      <c r="N16" s="163"/>
      <c r="O16" s="163"/>
      <c r="P16" s="163"/>
      <c r="Q16" s="163"/>
      <c r="R16" s="163"/>
      <c r="S16" s="163"/>
      <c r="T16" s="163"/>
      <c r="U16" s="163"/>
      <c r="V16" s="163"/>
      <c r="W16" s="163"/>
      <c r="X16" s="163"/>
      <c r="Y16" s="163"/>
      <c r="Z16" s="163"/>
      <c r="AA16" s="164"/>
      <c r="AB16" s="226"/>
      <c r="AC16" s="226"/>
      <c r="AD16" s="226"/>
      <c r="AE16" s="226"/>
      <c r="AF16" s="226"/>
      <c r="AG16" s="226"/>
      <c r="AH16" s="226"/>
      <c r="AI16" s="226"/>
      <c r="AJ16" s="226"/>
      <c r="AK16" s="99"/>
      <c r="AL16" s="99"/>
      <c r="AM16" s="99"/>
      <c r="AN16" s="99"/>
      <c r="AO16" s="99"/>
      <c r="AP16" s="99"/>
      <c r="AQ16" s="99"/>
      <c r="AR16" s="99"/>
      <c r="AS16" s="99"/>
      <c r="EQ16" s="101"/>
      <c r="ER16" s="101"/>
      <c r="ES16" s="101"/>
      <c r="ET16" s="101"/>
      <c r="EU16" s="101"/>
      <c r="EV16" s="101"/>
    </row>
    <row r="17" spans="1:152" s="9" customFormat="1" ht="21.6" thickBot="1" x14ac:dyDescent="0.3">
      <c r="A17" s="28"/>
      <c r="B17" s="28"/>
      <c r="C17" s="58"/>
      <c r="D17" s="16"/>
      <c r="E17" s="59"/>
      <c r="F17" s="59"/>
      <c r="G17" s="59"/>
      <c r="H17" s="59"/>
      <c r="I17" s="59"/>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EQ17" s="6"/>
      <c r="ER17" s="6"/>
      <c r="ES17" s="6"/>
      <c r="ET17" s="6"/>
      <c r="EU17" s="6"/>
      <c r="EV17" s="6"/>
    </row>
    <row r="18" spans="1:152" s="91" customFormat="1" ht="61.2" x14ac:dyDescent="0.25">
      <c r="A18" s="175" t="s">
        <v>29</v>
      </c>
      <c r="B18" s="171" t="s">
        <v>30</v>
      </c>
      <c r="C18" s="171" t="s">
        <v>31</v>
      </c>
      <c r="D18" s="171" t="s">
        <v>32</v>
      </c>
      <c r="E18" s="171" t="s">
        <v>33</v>
      </c>
      <c r="F18" s="172" t="s">
        <v>34</v>
      </c>
      <c r="G18" s="172" t="s">
        <v>35</v>
      </c>
      <c r="H18" s="171" t="s">
        <v>36</v>
      </c>
      <c r="I18" s="171"/>
      <c r="J18" s="172" t="s">
        <v>37</v>
      </c>
      <c r="K18" s="172" t="s">
        <v>38</v>
      </c>
      <c r="L18" s="171" t="s">
        <v>39</v>
      </c>
      <c r="M18" s="171" t="s">
        <v>40</v>
      </c>
      <c r="N18" s="171"/>
      <c r="O18" s="171"/>
      <c r="P18" s="171" t="s">
        <v>41</v>
      </c>
      <c r="Q18" s="171"/>
      <c r="R18" s="171"/>
      <c r="S18" s="171"/>
      <c r="T18" s="171"/>
      <c r="U18" s="171"/>
      <c r="V18" s="171"/>
      <c r="W18" s="88" t="s">
        <v>42</v>
      </c>
      <c r="X18" s="171" t="s">
        <v>41</v>
      </c>
      <c r="Y18" s="171"/>
      <c r="Z18" s="171"/>
      <c r="AA18" s="171" t="s">
        <v>43</v>
      </c>
      <c r="AB18" s="186"/>
      <c r="AC18" s="186"/>
      <c r="AD18" s="186"/>
      <c r="AE18" s="186"/>
      <c r="AF18" s="172" t="s">
        <v>44</v>
      </c>
      <c r="AG18" s="180" t="s">
        <v>45</v>
      </c>
      <c r="AH18" s="180" t="s">
        <v>46</v>
      </c>
      <c r="AI18" s="89" t="s">
        <v>47</v>
      </c>
      <c r="AJ18" s="180" t="s">
        <v>48</v>
      </c>
      <c r="AK18" s="180" t="s">
        <v>49</v>
      </c>
      <c r="AL18" s="90" t="s">
        <v>50</v>
      </c>
      <c r="AM18" s="180" t="s">
        <v>51</v>
      </c>
      <c r="AN18" s="172" t="s">
        <v>52</v>
      </c>
      <c r="AO18" s="182"/>
      <c r="AP18" s="182"/>
      <c r="AQ18" s="182"/>
      <c r="AR18" s="182"/>
      <c r="AS18" s="184" t="s">
        <v>44</v>
      </c>
      <c r="EQ18" s="92"/>
      <c r="ER18" s="92"/>
      <c r="ES18" s="92"/>
      <c r="ET18" s="92"/>
      <c r="EU18" s="92"/>
      <c r="EV18" s="92"/>
    </row>
    <row r="19" spans="1:152" s="91" customFormat="1" ht="81" x14ac:dyDescent="0.25">
      <c r="A19" s="176"/>
      <c r="B19" s="174"/>
      <c r="C19" s="174"/>
      <c r="D19" s="174"/>
      <c r="E19" s="174"/>
      <c r="F19" s="173"/>
      <c r="G19" s="173"/>
      <c r="H19" s="95" t="s">
        <v>53</v>
      </c>
      <c r="I19" s="95" t="s">
        <v>54</v>
      </c>
      <c r="J19" s="173"/>
      <c r="K19" s="173"/>
      <c r="L19" s="174"/>
      <c r="M19" s="96" t="s">
        <v>55</v>
      </c>
      <c r="N19" s="96" t="s">
        <v>56</v>
      </c>
      <c r="O19" s="96" t="s">
        <v>57</v>
      </c>
      <c r="P19" s="97" t="s">
        <v>45</v>
      </c>
      <c r="Q19" s="97" t="s">
        <v>46</v>
      </c>
      <c r="R19" s="97" t="s">
        <v>58</v>
      </c>
      <c r="S19" s="97" t="s">
        <v>48</v>
      </c>
      <c r="T19" s="97" t="s">
        <v>49</v>
      </c>
      <c r="U19" s="97" t="s">
        <v>59</v>
      </c>
      <c r="V19" s="97" t="s">
        <v>60</v>
      </c>
      <c r="W19" s="97" t="s">
        <v>51</v>
      </c>
      <c r="X19" s="98" t="s">
        <v>61</v>
      </c>
      <c r="Y19" s="97" t="s">
        <v>62</v>
      </c>
      <c r="Z19" s="97" t="s">
        <v>63</v>
      </c>
      <c r="AA19" s="93" t="s">
        <v>64</v>
      </c>
      <c r="AB19" s="93" t="s">
        <v>65</v>
      </c>
      <c r="AC19" s="93" t="s">
        <v>66</v>
      </c>
      <c r="AD19" s="93" t="s">
        <v>67</v>
      </c>
      <c r="AE19" s="93" t="s">
        <v>68</v>
      </c>
      <c r="AF19" s="173"/>
      <c r="AG19" s="181"/>
      <c r="AH19" s="181"/>
      <c r="AI19" s="94" t="s">
        <v>69</v>
      </c>
      <c r="AJ19" s="181"/>
      <c r="AK19" s="183"/>
      <c r="AL19" s="94" t="s">
        <v>70</v>
      </c>
      <c r="AM19" s="181"/>
      <c r="AN19" s="94" t="s">
        <v>64</v>
      </c>
      <c r="AO19" s="94" t="s">
        <v>65</v>
      </c>
      <c r="AP19" s="94" t="s">
        <v>71</v>
      </c>
      <c r="AQ19" s="94" t="s">
        <v>1184</v>
      </c>
      <c r="AR19" s="94" t="s">
        <v>72</v>
      </c>
      <c r="AS19" s="185"/>
      <c r="EQ19" s="92"/>
      <c r="ER19" s="92"/>
      <c r="ES19" s="92"/>
      <c r="ET19" s="92"/>
      <c r="EU19" s="92"/>
      <c r="EV19" s="92"/>
    </row>
    <row r="20" spans="1:152" s="3" customFormat="1" ht="86.4" x14ac:dyDescent="0.25">
      <c r="A20" s="79" t="s">
        <v>73</v>
      </c>
      <c r="B20" s="80"/>
      <c r="C20" s="80" t="s">
        <v>74</v>
      </c>
      <c r="D20" s="80" t="s">
        <v>75</v>
      </c>
      <c r="E20" s="80" t="s">
        <v>76</v>
      </c>
      <c r="F20" s="80" t="s">
        <v>77</v>
      </c>
      <c r="G20" s="80" t="s">
        <v>78</v>
      </c>
      <c r="H20" s="34" t="s">
        <v>79</v>
      </c>
      <c r="I20" s="32" t="s">
        <v>80</v>
      </c>
      <c r="J20" s="32" t="s">
        <v>81</v>
      </c>
      <c r="K20" s="40" t="s">
        <v>82</v>
      </c>
      <c r="L20" s="68" t="s">
        <v>83</v>
      </c>
      <c r="M20" s="7" t="s">
        <v>84</v>
      </c>
      <c r="N20" s="7" t="s">
        <v>84</v>
      </c>
      <c r="O20" s="7" t="s">
        <v>85</v>
      </c>
      <c r="P20" s="67">
        <v>2</v>
      </c>
      <c r="Q20" s="41">
        <v>2</v>
      </c>
      <c r="R20" s="33">
        <f t="shared" ref="R20:R35" si="0">P20*Q20</f>
        <v>4</v>
      </c>
      <c r="S20" s="33" t="str">
        <f t="shared" ref="S20:S83" si="1">IF(AND(R20&gt;=0,R20&lt;=4),"BAJO",IF(AND(R20&gt;=6,R20&lt;=8),"MEDIO",IF(AND(R20&gt;=10,R20&lt;=20),"ALTO",IF(AND(R20&gt;=24,R20&lt;=40),"MUY ALTO"))))</f>
        <v>BAJO</v>
      </c>
      <c r="T20" s="33">
        <v>25</v>
      </c>
      <c r="U20" s="75">
        <f>R20*T20</f>
        <v>100</v>
      </c>
      <c r="V20" s="33" t="str">
        <f>IF(AND(U20&gt;=0,U20&lt;=20),"IV ",IF(AND(U20&gt;=40,U20&lt;=120),"lll",IF(AND(U20&gt;=150,U20&lt;=500),"ll",IF(AND(U20&gt;=600,U20&lt;=4000),"l"))))</f>
        <v>lll</v>
      </c>
      <c r="W20" s="74" t="str">
        <f>IF(AND(V20="lV"),"SI",IF(AND(V20="lll"),"SI",IF(AND(V20="ll"),"NO",IF(AND(V20="l"),"NO"))))</f>
        <v>SI</v>
      </c>
      <c r="X20" s="77">
        <v>50</v>
      </c>
      <c r="Y20" s="31" t="s">
        <v>86</v>
      </c>
      <c r="Z20" s="33" t="s">
        <v>87</v>
      </c>
      <c r="AA20" s="38"/>
      <c r="AB20" s="38"/>
      <c r="AC20" s="38"/>
      <c r="AD20" s="39" t="s">
        <v>88</v>
      </c>
      <c r="AE20" s="39" t="s">
        <v>89</v>
      </c>
      <c r="AF20" s="39" t="s">
        <v>90</v>
      </c>
      <c r="AG20" s="36">
        <v>2</v>
      </c>
      <c r="AH20" s="36">
        <v>2</v>
      </c>
      <c r="AI20" s="37">
        <v>4</v>
      </c>
      <c r="AJ20" s="33" t="s">
        <v>91</v>
      </c>
      <c r="AK20" s="37">
        <v>10</v>
      </c>
      <c r="AL20" s="37">
        <f>AI20*AK20</f>
        <v>40</v>
      </c>
      <c r="AM20" s="33" t="str">
        <f>IF(AND(AL20&gt;=0,AL20&lt;=120),"RIESGO ACEPTABLE",IF(AND(AL20&gt;=150,AL20&lt;=500),"RIESGO ALTO",IF(AND(AL20&gt;=600,AL20&lt;=4000),"RIESGO NO ACEPTABLE")))</f>
        <v>RIESGO ACEPTABLE</v>
      </c>
      <c r="AN20" s="35"/>
      <c r="AO20" s="35"/>
      <c r="AP20" s="39"/>
      <c r="AQ20" s="35" t="s">
        <v>92</v>
      </c>
      <c r="AR20" s="35" t="s">
        <v>93</v>
      </c>
      <c r="AS20" s="60" t="s">
        <v>94</v>
      </c>
      <c r="EQ20" s="6"/>
      <c r="ER20" s="6"/>
      <c r="ES20" s="6"/>
      <c r="ET20" s="6"/>
      <c r="EU20" s="6"/>
      <c r="EV20" s="6"/>
    </row>
    <row r="21" spans="1:152" s="8" customFormat="1" ht="67.2" x14ac:dyDescent="0.25">
      <c r="A21" s="193" t="s">
        <v>95</v>
      </c>
      <c r="B21" s="208" t="s">
        <v>96</v>
      </c>
      <c r="C21" s="166" t="s">
        <v>97</v>
      </c>
      <c r="D21" s="166" t="s">
        <v>97</v>
      </c>
      <c r="E21" s="165" t="s">
        <v>98</v>
      </c>
      <c r="F21" s="167" t="s">
        <v>99</v>
      </c>
      <c r="G21" s="165" t="s">
        <v>100</v>
      </c>
      <c r="H21" s="34" t="s">
        <v>101</v>
      </c>
      <c r="I21" s="32" t="s">
        <v>102</v>
      </c>
      <c r="J21" s="32" t="s">
        <v>103</v>
      </c>
      <c r="K21" s="40" t="s">
        <v>104</v>
      </c>
      <c r="L21" s="68" t="s">
        <v>105</v>
      </c>
      <c r="M21" s="73" t="s">
        <v>84</v>
      </c>
      <c r="N21" s="73" t="s">
        <v>106</v>
      </c>
      <c r="O21" s="73" t="s">
        <v>107</v>
      </c>
      <c r="P21" s="70">
        <v>2</v>
      </c>
      <c r="Q21" s="41">
        <v>3</v>
      </c>
      <c r="R21" s="33">
        <f t="shared" si="0"/>
        <v>6</v>
      </c>
      <c r="S21" s="33" t="str">
        <f t="shared" si="1"/>
        <v>MEDIO</v>
      </c>
      <c r="T21" s="33">
        <v>25</v>
      </c>
      <c r="U21" s="75">
        <f t="shared" ref="U21:U84" si="2">R21*T21</f>
        <v>150</v>
      </c>
      <c r="V21" s="33" t="str">
        <f t="shared" ref="V21:V84" si="3">IF(AND(U21&gt;=0,U21&lt;=20),"IV ",IF(AND(U21&gt;=40,U21&lt;=120),"lll",IF(AND(U21&gt;=150,U21&lt;=500),"ll",IF(AND(U21&gt;=600,U21&lt;=4000),"l"))))</f>
        <v>ll</v>
      </c>
      <c r="W21" s="74" t="str">
        <f t="shared" ref="W21:W84" si="4">IF(AND(V21="lV"),"SI",IF(AND(V21="lll"),"SI",IF(AND(V21="ll"),"NO",IF(AND(V21="l"),"NO"))))</f>
        <v>NO</v>
      </c>
      <c r="X21" s="5">
        <v>30</v>
      </c>
      <c r="Y21" s="31" t="s">
        <v>108</v>
      </c>
      <c r="Z21" s="33" t="s">
        <v>87</v>
      </c>
      <c r="AA21" s="34"/>
      <c r="AB21" s="34"/>
      <c r="AC21" s="42"/>
      <c r="AD21" s="42" t="s">
        <v>109</v>
      </c>
      <c r="AE21" s="42" t="s">
        <v>93</v>
      </c>
      <c r="AF21" s="42" t="s">
        <v>110</v>
      </c>
      <c r="AG21" s="41">
        <v>2</v>
      </c>
      <c r="AH21" s="41">
        <v>2</v>
      </c>
      <c r="AI21" s="33">
        <f t="shared" ref="AI21:AI35" si="5">AG21*AH21</f>
        <v>4</v>
      </c>
      <c r="AJ21" s="33" t="str">
        <f t="shared" ref="AJ21:AJ35" si="6">IF(AND(AI21&gt;=0,AI21&lt;=4),"BAJO",IF(AND(AI21&gt;=6,AI21&lt;=8),"MEDIO",IF(AND(AI21&gt;=10,AI21&lt;=20),"ALTO",IF(AND(AI21&gt;=24,AI21&lt;=40),"MUY ALTO"))))</f>
        <v>BAJO</v>
      </c>
      <c r="AK21" s="33">
        <v>10</v>
      </c>
      <c r="AL21" s="33">
        <f t="shared" ref="AL21:AL84" si="7">AI21*AK21</f>
        <v>40</v>
      </c>
      <c r="AM21" s="33" t="str">
        <f t="shared" ref="AM21:AM35" si="8">IF(AND(AL21&gt;=0,AL21&lt;=120),"RIESGO ACEPTABLE",IF(AND(AL21&gt;=150,AL21&lt;=500),"RIESGO ALTO",IF(AND(AL21&gt;=600,AL21&lt;=4000),"RIESGO NO ACEPTABLE")))</f>
        <v>RIESGO ACEPTABLE</v>
      </c>
      <c r="AN21" s="34"/>
      <c r="AO21" s="34"/>
      <c r="AP21" s="42"/>
      <c r="AQ21" s="43" t="s">
        <v>111</v>
      </c>
      <c r="AR21" s="34" t="s">
        <v>112</v>
      </c>
      <c r="AS21" s="61" t="s">
        <v>113</v>
      </c>
      <c r="EQ21" s="15"/>
      <c r="ER21" s="15"/>
      <c r="ES21" s="15"/>
      <c r="ET21" s="15"/>
      <c r="EU21" s="15"/>
      <c r="EV21" s="15"/>
    </row>
    <row r="22" spans="1:152" s="8" customFormat="1" ht="38.4" x14ac:dyDescent="0.25">
      <c r="A22" s="193"/>
      <c r="B22" s="208"/>
      <c r="C22" s="166"/>
      <c r="D22" s="166"/>
      <c r="E22" s="165"/>
      <c r="F22" s="167"/>
      <c r="G22" s="165"/>
      <c r="H22" s="34" t="s">
        <v>114</v>
      </c>
      <c r="I22" s="32" t="s">
        <v>115</v>
      </c>
      <c r="J22" s="34" t="s">
        <v>116</v>
      </c>
      <c r="K22" s="34" t="s">
        <v>104</v>
      </c>
      <c r="L22" s="68" t="s">
        <v>117</v>
      </c>
      <c r="M22" s="73" t="s">
        <v>84</v>
      </c>
      <c r="N22" s="73" t="s">
        <v>84</v>
      </c>
      <c r="O22" s="73" t="s">
        <v>118</v>
      </c>
      <c r="P22" s="71">
        <v>2</v>
      </c>
      <c r="Q22" s="41">
        <v>2</v>
      </c>
      <c r="R22" s="33">
        <f t="shared" si="0"/>
        <v>4</v>
      </c>
      <c r="S22" s="33" t="str">
        <f t="shared" si="1"/>
        <v>BAJO</v>
      </c>
      <c r="T22" s="33">
        <v>25</v>
      </c>
      <c r="U22" s="75">
        <f t="shared" si="2"/>
        <v>100</v>
      </c>
      <c r="V22" s="33" t="str">
        <f t="shared" si="3"/>
        <v>lll</v>
      </c>
      <c r="W22" s="74" t="str">
        <f t="shared" si="4"/>
        <v>SI</v>
      </c>
      <c r="X22" s="76">
        <v>30</v>
      </c>
      <c r="Y22" s="31" t="s">
        <v>119</v>
      </c>
      <c r="Z22" s="33" t="s">
        <v>87</v>
      </c>
      <c r="AA22" s="45"/>
      <c r="AB22" s="32"/>
      <c r="AC22" s="40" t="s">
        <v>120</v>
      </c>
      <c r="AD22" s="34" t="s">
        <v>121</v>
      </c>
      <c r="AE22" s="34" t="s">
        <v>122</v>
      </c>
      <c r="AF22" s="34" t="s">
        <v>123</v>
      </c>
      <c r="AG22" s="44">
        <v>2</v>
      </c>
      <c r="AH22" s="44">
        <v>3</v>
      </c>
      <c r="AI22" s="33">
        <f t="shared" si="5"/>
        <v>6</v>
      </c>
      <c r="AJ22" s="33" t="str">
        <f t="shared" si="6"/>
        <v>MEDIO</v>
      </c>
      <c r="AK22" s="33">
        <v>10</v>
      </c>
      <c r="AL22" s="33">
        <f t="shared" si="7"/>
        <v>60</v>
      </c>
      <c r="AM22" s="33" t="str">
        <f t="shared" si="8"/>
        <v>RIESGO ACEPTABLE</v>
      </c>
      <c r="AN22" s="33"/>
      <c r="AO22" s="32"/>
      <c r="AP22" s="40" t="s">
        <v>124</v>
      </c>
      <c r="AQ22" s="34" t="s">
        <v>125</v>
      </c>
      <c r="AR22" s="34" t="s">
        <v>126</v>
      </c>
      <c r="AS22" s="61" t="s">
        <v>127</v>
      </c>
      <c r="EQ22" s="15"/>
      <c r="ER22" s="15"/>
      <c r="ES22" s="15"/>
      <c r="ET22" s="15"/>
      <c r="EU22" s="15"/>
      <c r="EV22" s="15"/>
    </row>
    <row r="23" spans="1:152" s="8" customFormat="1" ht="38.4" x14ac:dyDescent="0.25">
      <c r="A23" s="193"/>
      <c r="B23" s="208"/>
      <c r="C23" s="166"/>
      <c r="D23" s="166"/>
      <c r="E23" s="165"/>
      <c r="F23" s="167"/>
      <c r="G23" s="165"/>
      <c r="H23" s="34" t="s">
        <v>128</v>
      </c>
      <c r="I23" s="32" t="s">
        <v>129</v>
      </c>
      <c r="J23" s="32" t="s">
        <v>130</v>
      </c>
      <c r="K23" s="32" t="s">
        <v>104</v>
      </c>
      <c r="L23" s="68" t="s">
        <v>131</v>
      </c>
      <c r="M23" s="73" t="s">
        <v>84</v>
      </c>
      <c r="N23" s="73" t="s">
        <v>84</v>
      </c>
      <c r="O23" s="73" t="s">
        <v>132</v>
      </c>
      <c r="P23" s="70">
        <v>2</v>
      </c>
      <c r="Q23" s="41">
        <v>2</v>
      </c>
      <c r="R23" s="33">
        <f t="shared" si="0"/>
        <v>4</v>
      </c>
      <c r="S23" s="33" t="str">
        <f t="shared" si="1"/>
        <v>BAJO</v>
      </c>
      <c r="T23" s="33">
        <v>25</v>
      </c>
      <c r="U23" s="75">
        <f t="shared" si="2"/>
        <v>100</v>
      </c>
      <c r="V23" s="33" t="str">
        <f t="shared" si="3"/>
        <v>lll</v>
      </c>
      <c r="W23" s="74" t="str">
        <f t="shared" si="4"/>
        <v>SI</v>
      </c>
      <c r="X23" s="33">
        <v>30</v>
      </c>
      <c r="Y23" s="31" t="s">
        <v>133</v>
      </c>
      <c r="Z23" s="33" t="s">
        <v>87</v>
      </c>
      <c r="AA23" s="46"/>
      <c r="AB23" s="33"/>
      <c r="AC23" s="34"/>
      <c r="AD23" s="34" t="s">
        <v>134</v>
      </c>
      <c r="AE23" s="34"/>
      <c r="AF23" s="34" t="s">
        <v>135</v>
      </c>
      <c r="AG23" s="41">
        <v>2</v>
      </c>
      <c r="AH23" s="41">
        <v>3</v>
      </c>
      <c r="AI23" s="33">
        <f t="shared" si="5"/>
        <v>6</v>
      </c>
      <c r="AJ23" s="33" t="str">
        <f t="shared" si="6"/>
        <v>MEDIO</v>
      </c>
      <c r="AK23" s="33">
        <v>10</v>
      </c>
      <c r="AL23" s="33">
        <f t="shared" si="7"/>
        <v>60</v>
      </c>
      <c r="AM23" s="33" t="str">
        <f t="shared" si="8"/>
        <v>RIESGO ACEPTABLE</v>
      </c>
      <c r="AN23" s="34"/>
      <c r="AO23" s="34"/>
      <c r="AP23" s="34"/>
      <c r="AQ23" s="34" t="s">
        <v>136</v>
      </c>
      <c r="AR23" s="34" t="s">
        <v>93</v>
      </c>
      <c r="AS23" s="61" t="s">
        <v>137</v>
      </c>
      <c r="EQ23" s="15"/>
      <c r="ER23" s="15"/>
      <c r="ES23" s="15"/>
      <c r="ET23" s="15"/>
      <c r="EU23" s="15"/>
      <c r="EV23" s="15"/>
    </row>
    <row r="24" spans="1:152" s="8" customFormat="1" ht="38.4" x14ac:dyDescent="0.25">
      <c r="A24" s="193"/>
      <c r="B24" s="208"/>
      <c r="C24" s="166"/>
      <c r="D24" s="166"/>
      <c r="E24" s="165"/>
      <c r="F24" s="167"/>
      <c r="G24" s="165"/>
      <c r="H24" s="34" t="s">
        <v>138</v>
      </c>
      <c r="I24" s="165" t="s">
        <v>139</v>
      </c>
      <c r="J24" s="40" t="s">
        <v>140</v>
      </c>
      <c r="K24" s="32" t="s">
        <v>104</v>
      </c>
      <c r="L24" s="68" t="s">
        <v>141</v>
      </c>
      <c r="M24" s="73" t="s">
        <v>84</v>
      </c>
      <c r="N24" s="73" t="s">
        <v>84</v>
      </c>
      <c r="O24" s="73" t="s">
        <v>142</v>
      </c>
      <c r="P24" s="70">
        <v>2</v>
      </c>
      <c r="Q24" s="41">
        <v>2</v>
      </c>
      <c r="R24" s="33">
        <f t="shared" si="0"/>
        <v>4</v>
      </c>
      <c r="S24" s="33" t="str">
        <f t="shared" si="1"/>
        <v>BAJO</v>
      </c>
      <c r="T24" s="33">
        <v>10</v>
      </c>
      <c r="U24" s="75">
        <f t="shared" si="2"/>
        <v>40</v>
      </c>
      <c r="V24" s="33" t="str">
        <f t="shared" si="3"/>
        <v>lll</v>
      </c>
      <c r="W24" s="74" t="str">
        <f t="shared" si="4"/>
        <v>SI</v>
      </c>
      <c r="X24" s="33">
        <v>30</v>
      </c>
      <c r="Y24" s="31" t="s">
        <v>143</v>
      </c>
      <c r="Z24" s="33" t="s">
        <v>87</v>
      </c>
      <c r="AA24" s="34"/>
      <c r="AB24" s="34"/>
      <c r="AC24" s="34" t="s">
        <v>144</v>
      </c>
      <c r="AD24" s="34" t="s">
        <v>145</v>
      </c>
      <c r="AE24" s="34"/>
      <c r="AF24" s="34" t="s">
        <v>146</v>
      </c>
      <c r="AG24" s="41">
        <v>2</v>
      </c>
      <c r="AH24" s="41">
        <v>3</v>
      </c>
      <c r="AI24" s="33">
        <f t="shared" si="5"/>
        <v>6</v>
      </c>
      <c r="AJ24" s="33" t="str">
        <f t="shared" si="6"/>
        <v>MEDIO</v>
      </c>
      <c r="AK24" s="33">
        <v>10</v>
      </c>
      <c r="AL24" s="33">
        <f t="shared" si="7"/>
        <v>60</v>
      </c>
      <c r="AM24" s="33" t="str">
        <f t="shared" si="8"/>
        <v>RIESGO ACEPTABLE</v>
      </c>
      <c r="AN24" s="34"/>
      <c r="AO24" s="34"/>
      <c r="AP24" s="34" t="s">
        <v>144</v>
      </c>
      <c r="AQ24" s="34" t="s">
        <v>147</v>
      </c>
      <c r="AR24" s="34"/>
      <c r="AS24" s="61" t="s">
        <v>148</v>
      </c>
      <c r="EQ24" s="15"/>
      <c r="ER24" s="15"/>
      <c r="ES24" s="15"/>
      <c r="ET24" s="15"/>
      <c r="EU24" s="15"/>
      <c r="EV24" s="15"/>
    </row>
    <row r="25" spans="1:152" s="8" customFormat="1" ht="48" x14ac:dyDescent="0.25">
      <c r="A25" s="193"/>
      <c r="B25" s="208"/>
      <c r="C25" s="166"/>
      <c r="D25" s="166"/>
      <c r="E25" s="165"/>
      <c r="F25" s="167"/>
      <c r="G25" s="165"/>
      <c r="H25" s="34" t="s">
        <v>149</v>
      </c>
      <c r="I25" s="165"/>
      <c r="J25" s="32" t="s">
        <v>150</v>
      </c>
      <c r="K25" s="40" t="s">
        <v>104</v>
      </c>
      <c r="L25" s="68" t="s">
        <v>151</v>
      </c>
      <c r="M25" s="73" t="s">
        <v>84</v>
      </c>
      <c r="N25" s="73" t="s">
        <v>84</v>
      </c>
      <c r="O25" s="73" t="s">
        <v>152</v>
      </c>
      <c r="P25" s="70">
        <v>2</v>
      </c>
      <c r="Q25" s="41">
        <v>3</v>
      </c>
      <c r="R25" s="33">
        <f t="shared" si="0"/>
        <v>6</v>
      </c>
      <c r="S25" s="33" t="str">
        <f t="shared" si="1"/>
        <v>MEDIO</v>
      </c>
      <c r="T25" s="33">
        <v>10</v>
      </c>
      <c r="U25" s="75">
        <f t="shared" si="2"/>
        <v>60</v>
      </c>
      <c r="V25" s="33" t="str">
        <f t="shared" si="3"/>
        <v>lll</v>
      </c>
      <c r="W25" s="74" t="str">
        <f t="shared" si="4"/>
        <v>SI</v>
      </c>
      <c r="X25" s="33">
        <v>30</v>
      </c>
      <c r="Y25" s="31" t="s">
        <v>143</v>
      </c>
      <c r="Z25" s="33" t="s">
        <v>87</v>
      </c>
      <c r="AA25" s="34"/>
      <c r="AB25" s="34"/>
      <c r="AC25" s="42"/>
      <c r="AD25" s="42" t="s">
        <v>153</v>
      </c>
      <c r="AE25" s="42"/>
      <c r="AF25" s="42" t="s">
        <v>154</v>
      </c>
      <c r="AG25" s="41">
        <v>2</v>
      </c>
      <c r="AH25" s="41">
        <v>3</v>
      </c>
      <c r="AI25" s="33">
        <f t="shared" si="5"/>
        <v>6</v>
      </c>
      <c r="AJ25" s="33" t="str">
        <f t="shared" si="6"/>
        <v>MEDIO</v>
      </c>
      <c r="AK25" s="33">
        <v>10</v>
      </c>
      <c r="AL25" s="33">
        <f>AI25*AK25</f>
        <v>60</v>
      </c>
      <c r="AM25" s="33" t="str">
        <f t="shared" si="8"/>
        <v>RIESGO ACEPTABLE</v>
      </c>
      <c r="AN25" s="34"/>
      <c r="AO25" s="34"/>
      <c r="AP25" s="42"/>
      <c r="AQ25" s="43" t="s">
        <v>155</v>
      </c>
      <c r="AR25" s="34"/>
      <c r="AS25" s="61" t="s">
        <v>156</v>
      </c>
      <c r="EQ25" s="15"/>
      <c r="ER25" s="15"/>
      <c r="ES25" s="15"/>
      <c r="ET25" s="15"/>
      <c r="EU25" s="15"/>
      <c r="EV25" s="15"/>
    </row>
    <row r="26" spans="1:152" s="8" customFormat="1" ht="38.4" x14ac:dyDescent="0.25">
      <c r="A26" s="193"/>
      <c r="B26" s="208"/>
      <c r="C26" s="166"/>
      <c r="D26" s="166"/>
      <c r="E26" s="165"/>
      <c r="F26" s="167"/>
      <c r="G26" s="165"/>
      <c r="H26" s="34" t="s">
        <v>157</v>
      </c>
      <c r="I26" s="47" t="s">
        <v>158</v>
      </c>
      <c r="J26" s="47" t="s">
        <v>159</v>
      </c>
      <c r="K26" s="32" t="s">
        <v>104</v>
      </c>
      <c r="L26" s="68" t="s">
        <v>160</v>
      </c>
      <c r="M26" s="73" t="s">
        <v>84</v>
      </c>
      <c r="N26" s="73" t="s">
        <v>161</v>
      </c>
      <c r="O26" s="73" t="s">
        <v>162</v>
      </c>
      <c r="P26" s="70">
        <v>2</v>
      </c>
      <c r="Q26" s="41">
        <v>3</v>
      </c>
      <c r="R26" s="33">
        <f t="shared" si="0"/>
        <v>6</v>
      </c>
      <c r="S26" s="33" t="str">
        <f t="shared" si="1"/>
        <v>MEDIO</v>
      </c>
      <c r="T26" s="33">
        <v>25</v>
      </c>
      <c r="U26" s="75">
        <f t="shared" si="2"/>
        <v>150</v>
      </c>
      <c r="V26" s="33" t="str">
        <f t="shared" si="3"/>
        <v>ll</v>
      </c>
      <c r="W26" s="74" t="str">
        <f t="shared" si="4"/>
        <v>NO</v>
      </c>
      <c r="X26" s="33">
        <v>30</v>
      </c>
      <c r="Y26" s="31" t="s">
        <v>163</v>
      </c>
      <c r="Z26" s="33" t="s">
        <v>87</v>
      </c>
      <c r="AA26" s="45"/>
      <c r="AB26" s="33"/>
      <c r="AC26" s="34"/>
      <c r="AD26" s="34" t="s">
        <v>164</v>
      </c>
      <c r="AE26" s="34" t="s">
        <v>165</v>
      </c>
      <c r="AF26" s="34" t="s">
        <v>166</v>
      </c>
      <c r="AG26" s="41">
        <v>2</v>
      </c>
      <c r="AH26" s="41">
        <v>2</v>
      </c>
      <c r="AI26" s="33">
        <f t="shared" si="5"/>
        <v>4</v>
      </c>
      <c r="AJ26" s="33" t="str">
        <f t="shared" si="6"/>
        <v>BAJO</v>
      </c>
      <c r="AK26" s="33">
        <v>10</v>
      </c>
      <c r="AL26" s="33">
        <f t="shared" si="7"/>
        <v>40</v>
      </c>
      <c r="AM26" s="33" t="str">
        <f t="shared" si="8"/>
        <v>RIESGO ACEPTABLE</v>
      </c>
      <c r="AN26" s="34"/>
      <c r="AO26" s="34"/>
      <c r="AP26" s="34" t="s">
        <v>167</v>
      </c>
      <c r="AQ26" s="34" t="s">
        <v>168</v>
      </c>
      <c r="AR26" s="34" t="s">
        <v>165</v>
      </c>
      <c r="AS26" s="61" t="s">
        <v>166</v>
      </c>
      <c r="EQ26" s="15"/>
      <c r="ER26" s="15"/>
      <c r="ES26" s="15"/>
      <c r="ET26" s="15"/>
      <c r="EU26" s="15"/>
      <c r="EV26" s="15"/>
    </row>
    <row r="27" spans="1:152" s="8" customFormat="1" ht="86.4" x14ac:dyDescent="0.25">
      <c r="A27" s="193"/>
      <c r="B27" s="208"/>
      <c r="C27" s="166" t="s">
        <v>169</v>
      </c>
      <c r="D27" s="188" t="s">
        <v>169</v>
      </c>
      <c r="E27" s="190" t="s">
        <v>87</v>
      </c>
      <c r="F27" s="165" t="s">
        <v>170</v>
      </c>
      <c r="G27" s="165" t="s">
        <v>171</v>
      </c>
      <c r="H27" s="34" t="s">
        <v>172</v>
      </c>
      <c r="I27" s="165" t="s">
        <v>173</v>
      </c>
      <c r="J27" s="32" t="s">
        <v>174</v>
      </c>
      <c r="K27" s="40" t="s">
        <v>104</v>
      </c>
      <c r="L27" s="68" t="s">
        <v>175</v>
      </c>
      <c r="M27" s="73" t="s">
        <v>84</v>
      </c>
      <c r="N27" s="73" t="s">
        <v>176</v>
      </c>
      <c r="O27" s="73" t="s">
        <v>177</v>
      </c>
      <c r="P27" s="41">
        <v>2</v>
      </c>
      <c r="Q27" s="41">
        <v>3</v>
      </c>
      <c r="R27" s="33">
        <f t="shared" si="0"/>
        <v>6</v>
      </c>
      <c r="S27" s="33" t="str">
        <f t="shared" si="1"/>
        <v>MEDIO</v>
      </c>
      <c r="T27" s="33">
        <v>10</v>
      </c>
      <c r="U27" s="75">
        <f t="shared" si="2"/>
        <v>60</v>
      </c>
      <c r="V27" s="33" t="str">
        <f t="shared" si="3"/>
        <v>lll</v>
      </c>
      <c r="W27" s="74" t="str">
        <f t="shared" si="4"/>
        <v>SI</v>
      </c>
      <c r="X27" s="33">
        <v>30</v>
      </c>
      <c r="Y27" s="31" t="s">
        <v>178</v>
      </c>
      <c r="Z27" s="33" t="s">
        <v>87</v>
      </c>
      <c r="AA27" s="34"/>
      <c r="AB27" s="34"/>
      <c r="AC27" s="42"/>
      <c r="AD27" s="42" t="s">
        <v>179</v>
      </c>
      <c r="AE27" s="42"/>
      <c r="AF27" s="42"/>
      <c r="AG27" s="41">
        <v>2</v>
      </c>
      <c r="AH27" s="41">
        <v>3</v>
      </c>
      <c r="AI27" s="33">
        <f t="shared" si="5"/>
        <v>6</v>
      </c>
      <c r="AJ27" s="33" t="str">
        <f t="shared" si="6"/>
        <v>MEDIO</v>
      </c>
      <c r="AK27" s="33">
        <v>10</v>
      </c>
      <c r="AL27" s="33">
        <f t="shared" si="7"/>
        <v>60</v>
      </c>
      <c r="AM27" s="33" t="str">
        <f t="shared" si="8"/>
        <v>RIESGO ACEPTABLE</v>
      </c>
      <c r="AN27" s="34"/>
      <c r="AO27" s="34"/>
      <c r="AP27" s="42"/>
      <c r="AQ27" s="43" t="s">
        <v>180</v>
      </c>
      <c r="AR27" s="34" t="s">
        <v>181</v>
      </c>
      <c r="AS27" s="61" t="s">
        <v>182</v>
      </c>
      <c r="EQ27" s="15"/>
      <c r="ER27" s="15"/>
      <c r="ES27" s="15"/>
      <c r="ET27" s="15"/>
      <c r="EU27" s="15"/>
      <c r="EV27" s="15"/>
    </row>
    <row r="28" spans="1:152" s="8" customFormat="1" ht="86.4" x14ac:dyDescent="0.25">
      <c r="A28" s="193"/>
      <c r="B28" s="208"/>
      <c r="C28" s="166"/>
      <c r="D28" s="188"/>
      <c r="E28" s="190"/>
      <c r="F28" s="165"/>
      <c r="G28" s="165"/>
      <c r="H28" s="34" t="s">
        <v>183</v>
      </c>
      <c r="I28" s="165"/>
      <c r="J28" s="32" t="s">
        <v>184</v>
      </c>
      <c r="K28" s="34" t="s">
        <v>104</v>
      </c>
      <c r="L28" s="68" t="s">
        <v>185</v>
      </c>
      <c r="M28" s="73" t="s">
        <v>84</v>
      </c>
      <c r="N28" s="73" t="s">
        <v>176</v>
      </c>
      <c r="O28" s="73" t="s">
        <v>186</v>
      </c>
      <c r="P28" s="70">
        <v>2</v>
      </c>
      <c r="Q28" s="41">
        <v>3</v>
      </c>
      <c r="R28" s="33">
        <f t="shared" si="0"/>
        <v>6</v>
      </c>
      <c r="S28" s="33" t="str">
        <f t="shared" si="1"/>
        <v>MEDIO</v>
      </c>
      <c r="T28" s="33">
        <v>10</v>
      </c>
      <c r="U28" s="75">
        <f t="shared" si="2"/>
        <v>60</v>
      </c>
      <c r="V28" s="33" t="str">
        <f t="shared" si="3"/>
        <v>lll</v>
      </c>
      <c r="W28" s="74" t="str">
        <f t="shared" si="4"/>
        <v>SI</v>
      </c>
      <c r="X28" s="33">
        <v>30</v>
      </c>
      <c r="Y28" s="31" t="s">
        <v>178</v>
      </c>
      <c r="Z28" s="33" t="s">
        <v>87</v>
      </c>
      <c r="AA28" s="34"/>
      <c r="AB28" s="40"/>
      <c r="AC28" s="40"/>
      <c r="AD28" s="34" t="s">
        <v>187</v>
      </c>
      <c r="AE28" s="34" t="s">
        <v>188</v>
      </c>
      <c r="AF28" s="34"/>
      <c r="AG28" s="41">
        <v>2</v>
      </c>
      <c r="AH28" s="41">
        <v>3</v>
      </c>
      <c r="AI28" s="33">
        <f t="shared" si="5"/>
        <v>6</v>
      </c>
      <c r="AJ28" s="33" t="str">
        <f t="shared" si="6"/>
        <v>MEDIO</v>
      </c>
      <c r="AK28" s="33">
        <v>10</v>
      </c>
      <c r="AL28" s="33">
        <f t="shared" si="7"/>
        <v>60</v>
      </c>
      <c r="AM28" s="33" t="str">
        <f t="shared" si="8"/>
        <v>RIESGO ACEPTABLE</v>
      </c>
      <c r="AN28" s="34"/>
      <c r="AO28" s="40"/>
      <c r="AP28" s="40"/>
      <c r="AQ28" s="34" t="s">
        <v>189</v>
      </c>
      <c r="AR28" s="34" t="s">
        <v>190</v>
      </c>
      <c r="AS28" s="61"/>
      <c r="EQ28" s="15"/>
      <c r="ER28" s="15"/>
      <c r="ES28" s="15"/>
      <c r="ET28" s="15"/>
      <c r="EU28" s="15"/>
      <c r="EV28" s="15"/>
    </row>
    <row r="29" spans="1:152" s="8" customFormat="1" ht="86.4" x14ac:dyDescent="0.25">
      <c r="A29" s="193"/>
      <c r="B29" s="208"/>
      <c r="C29" s="166"/>
      <c r="D29" s="188"/>
      <c r="E29" s="190"/>
      <c r="F29" s="165"/>
      <c r="G29" s="165"/>
      <c r="H29" s="34" t="s">
        <v>191</v>
      </c>
      <c r="I29" s="165"/>
      <c r="J29" s="32" t="s">
        <v>192</v>
      </c>
      <c r="K29" s="34" t="s">
        <v>104</v>
      </c>
      <c r="L29" s="68" t="s">
        <v>193</v>
      </c>
      <c r="M29" s="73" t="s">
        <v>84</v>
      </c>
      <c r="N29" s="73" t="s">
        <v>176</v>
      </c>
      <c r="O29" s="73" t="s">
        <v>194</v>
      </c>
      <c r="P29" s="70">
        <v>2</v>
      </c>
      <c r="Q29" s="41">
        <v>3</v>
      </c>
      <c r="R29" s="33">
        <f t="shared" si="0"/>
        <v>6</v>
      </c>
      <c r="S29" s="33" t="str">
        <f t="shared" si="1"/>
        <v>MEDIO</v>
      </c>
      <c r="T29" s="33">
        <v>10</v>
      </c>
      <c r="U29" s="75">
        <f t="shared" si="2"/>
        <v>60</v>
      </c>
      <c r="V29" s="33" t="str">
        <f t="shared" si="3"/>
        <v>lll</v>
      </c>
      <c r="W29" s="74" t="str">
        <f t="shared" si="4"/>
        <v>SI</v>
      </c>
      <c r="X29" s="33">
        <v>30</v>
      </c>
      <c r="Y29" s="31" t="s">
        <v>195</v>
      </c>
      <c r="Z29" s="33" t="s">
        <v>87</v>
      </c>
      <c r="AA29" s="34"/>
      <c r="AB29" s="40"/>
      <c r="AC29" s="40"/>
      <c r="AD29" s="34" t="s">
        <v>196</v>
      </c>
      <c r="AE29" s="34" t="s">
        <v>93</v>
      </c>
      <c r="AF29" s="34"/>
      <c r="AG29" s="41">
        <v>2</v>
      </c>
      <c r="AH29" s="41">
        <v>2</v>
      </c>
      <c r="AI29" s="33">
        <f t="shared" si="5"/>
        <v>4</v>
      </c>
      <c r="AJ29" s="33" t="str">
        <f t="shared" si="6"/>
        <v>BAJO</v>
      </c>
      <c r="AK29" s="33">
        <v>25</v>
      </c>
      <c r="AL29" s="33">
        <f t="shared" si="7"/>
        <v>100</v>
      </c>
      <c r="AM29" s="33" t="str">
        <f t="shared" si="8"/>
        <v>RIESGO ACEPTABLE</v>
      </c>
      <c r="AN29" s="34"/>
      <c r="AO29" s="40"/>
      <c r="AP29" s="40"/>
      <c r="AQ29" s="34" t="s">
        <v>197</v>
      </c>
      <c r="AR29" s="34" t="s">
        <v>181</v>
      </c>
      <c r="AS29" s="61"/>
      <c r="EQ29" s="15"/>
      <c r="ER29" s="15"/>
      <c r="ES29" s="15"/>
      <c r="ET29" s="15"/>
      <c r="EU29" s="15"/>
      <c r="EV29" s="15"/>
    </row>
    <row r="30" spans="1:152" s="8" customFormat="1" ht="86.4" x14ac:dyDescent="0.25">
      <c r="A30" s="193"/>
      <c r="B30" s="208"/>
      <c r="C30" s="166"/>
      <c r="D30" s="188"/>
      <c r="E30" s="190"/>
      <c r="F30" s="165"/>
      <c r="G30" s="165"/>
      <c r="H30" s="34" t="s">
        <v>198</v>
      </c>
      <c r="I30" s="32" t="s">
        <v>115</v>
      </c>
      <c r="J30" s="32" t="s">
        <v>199</v>
      </c>
      <c r="K30" s="34" t="s">
        <v>104</v>
      </c>
      <c r="L30" s="68" t="s">
        <v>200</v>
      </c>
      <c r="M30" s="73" t="s">
        <v>84</v>
      </c>
      <c r="N30" s="73" t="s">
        <v>176</v>
      </c>
      <c r="O30" s="73" t="s">
        <v>201</v>
      </c>
      <c r="P30" s="70">
        <v>2</v>
      </c>
      <c r="Q30" s="41">
        <v>3</v>
      </c>
      <c r="R30" s="33">
        <f t="shared" si="0"/>
        <v>6</v>
      </c>
      <c r="S30" s="33" t="str">
        <f t="shared" si="1"/>
        <v>MEDIO</v>
      </c>
      <c r="T30" s="33">
        <v>10</v>
      </c>
      <c r="U30" s="75">
        <f t="shared" si="2"/>
        <v>60</v>
      </c>
      <c r="V30" s="33" t="str">
        <f t="shared" si="3"/>
        <v>lll</v>
      </c>
      <c r="W30" s="74" t="str">
        <f t="shared" si="4"/>
        <v>SI</v>
      </c>
      <c r="X30" s="33">
        <v>30</v>
      </c>
      <c r="Y30" s="31" t="s">
        <v>202</v>
      </c>
      <c r="Z30" s="33" t="s">
        <v>87</v>
      </c>
      <c r="AA30" s="34"/>
      <c r="AB30" s="40"/>
      <c r="AC30" s="40"/>
      <c r="AD30" s="34" t="s">
        <v>203</v>
      </c>
      <c r="AE30" s="34"/>
      <c r="AF30" s="34"/>
      <c r="AG30" s="41"/>
      <c r="AH30" s="41">
        <v>2</v>
      </c>
      <c r="AI30" s="33">
        <f t="shared" si="5"/>
        <v>0</v>
      </c>
      <c r="AJ30" s="33" t="str">
        <f t="shared" si="6"/>
        <v>BAJO</v>
      </c>
      <c r="AK30" s="33">
        <v>10</v>
      </c>
      <c r="AL30" s="33">
        <f t="shared" si="7"/>
        <v>0</v>
      </c>
      <c r="AM30" s="33" t="str">
        <f t="shared" si="8"/>
        <v>RIESGO ACEPTABLE</v>
      </c>
      <c r="AN30" s="34"/>
      <c r="AO30" s="40"/>
      <c r="AP30" s="40"/>
      <c r="AQ30" s="34" t="s">
        <v>204</v>
      </c>
      <c r="AR30" s="34"/>
      <c r="AS30" s="61"/>
      <c r="EQ30" s="15"/>
      <c r="ER30" s="15"/>
      <c r="ES30" s="15"/>
      <c r="ET30" s="15"/>
      <c r="EU30" s="15"/>
      <c r="EV30" s="15"/>
    </row>
    <row r="31" spans="1:152" s="8" customFormat="1" ht="86.4" x14ac:dyDescent="0.25">
      <c r="A31" s="193"/>
      <c r="B31" s="208"/>
      <c r="C31" s="166"/>
      <c r="D31" s="188"/>
      <c r="E31" s="190"/>
      <c r="F31" s="165"/>
      <c r="G31" s="165"/>
      <c r="H31" s="34" t="s">
        <v>205</v>
      </c>
      <c r="I31" s="32" t="s">
        <v>102</v>
      </c>
      <c r="J31" s="47" t="s">
        <v>206</v>
      </c>
      <c r="K31" s="32" t="s">
        <v>104</v>
      </c>
      <c r="L31" s="68" t="s">
        <v>207</v>
      </c>
      <c r="M31" s="73" t="s">
        <v>84</v>
      </c>
      <c r="N31" s="73" t="s">
        <v>176</v>
      </c>
      <c r="O31" s="73" t="s">
        <v>208</v>
      </c>
      <c r="P31" s="70">
        <v>2</v>
      </c>
      <c r="Q31" s="41">
        <v>3</v>
      </c>
      <c r="R31" s="33">
        <f t="shared" si="0"/>
        <v>6</v>
      </c>
      <c r="S31" s="33" t="str">
        <f t="shared" si="1"/>
        <v>MEDIO</v>
      </c>
      <c r="T31" s="33">
        <v>10</v>
      </c>
      <c r="U31" s="75">
        <f t="shared" si="2"/>
        <v>60</v>
      </c>
      <c r="V31" s="33" t="str">
        <f t="shared" si="3"/>
        <v>lll</v>
      </c>
      <c r="W31" s="74" t="str">
        <f t="shared" si="4"/>
        <v>SI</v>
      </c>
      <c r="X31" s="33">
        <v>30</v>
      </c>
      <c r="Y31" s="31" t="s">
        <v>209</v>
      </c>
      <c r="Z31" s="33" t="s">
        <v>87</v>
      </c>
      <c r="AA31" s="45"/>
      <c r="AB31" s="33"/>
      <c r="AC31" s="34"/>
      <c r="AD31" s="34" t="s">
        <v>210</v>
      </c>
      <c r="AE31" s="34" t="s">
        <v>93</v>
      </c>
      <c r="AF31" s="34"/>
      <c r="AG31" s="41">
        <v>2</v>
      </c>
      <c r="AH31" s="41">
        <v>3</v>
      </c>
      <c r="AI31" s="33">
        <f t="shared" si="5"/>
        <v>6</v>
      </c>
      <c r="AJ31" s="33" t="str">
        <f t="shared" si="6"/>
        <v>MEDIO</v>
      </c>
      <c r="AK31" s="33">
        <v>10</v>
      </c>
      <c r="AL31" s="33">
        <f t="shared" si="7"/>
        <v>60</v>
      </c>
      <c r="AM31" s="33" t="str">
        <f t="shared" si="8"/>
        <v>RIESGO ACEPTABLE</v>
      </c>
      <c r="AN31" s="34"/>
      <c r="AO31" s="34"/>
      <c r="AP31" s="34" t="s">
        <v>211</v>
      </c>
      <c r="AQ31" s="34" t="s">
        <v>210</v>
      </c>
      <c r="AR31" s="34" t="s">
        <v>212</v>
      </c>
      <c r="AS31" s="61"/>
      <c r="EQ31" s="15"/>
      <c r="ER31" s="15"/>
      <c r="ES31" s="15"/>
      <c r="ET31" s="15"/>
      <c r="EU31" s="15"/>
      <c r="EV31" s="15"/>
    </row>
    <row r="32" spans="1:152" s="8" customFormat="1" ht="86.4" x14ac:dyDescent="0.25">
      <c r="A32" s="193"/>
      <c r="B32" s="208"/>
      <c r="C32" s="166"/>
      <c r="D32" s="188"/>
      <c r="E32" s="190"/>
      <c r="F32" s="165"/>
      <c r="G32" s="165"/>
      <c r="H32" s="34" t="s">
        <v>138</v>
      </c>
      <c r="I32" s="165" t="s">
        <v>139</v>
      </c>
      <c r="J32" s="40" t="s">
        <v>140</v>
      </c>
      <c r="K32" s="32" t="s">
        <v>104</v>
      </c>
      <c r="L32" s="68" t="s">
        <v>141</v>
      </c>
      <c r="M32" s="73" t="s">
        <v>84</v>
      </c>
      <c r="N32" s="73" t="s">
        <v>176</v>
      </c>
      <c r="O32" s="73" t="s">
        <v>213</v>
      </c>
      <c r="P32" s="70">
        <v>2</v>
      </c>
      <c r="Q32" s="41">
        <v>2</v>
      </c>
      <c r="R32" s="33">
        <f t="shared" si="0"/>
        <v>4</v>
      </c>
      <c r="S32" s="33" t="str">
        <f t="shared" si="1"/>
        <v>BAJO</v>
      </c>
      <c r="T32" s="33">
        <v>10</v>
      </c>
      <c r="U32" s="75">
        <f t="shared" si="2"/>
        <v>40</v>
      </c>
      <c r="V32" s="33" t="str">
        <f t="shared" si="3"/>
        <v>lll</v>
      </c>
      <c r="W32" s="74" t="str">
        <f t="shared" si="4"/>
        <v>SI</v>
      </c>
      <c r="X32" s="33">
        <v>30</v>
      </c>
      <c r="Y32" s="31" t="s">
        <v>143</v>
      </c>
      <c r="Z32" s="33" t="s">
        <v>87</v>
      </c>
      <c r="AA32" s="34"/>
      <c r="AB32" s="34"/>
      <c r="AC32" s="34"/>
      <c r="AD32" s="34" t="s">
        <v>145</v>
      </c>
      <c r="AE32" s="34"/>
      <c r="AF32" s="34" t="s">
        <v>146</v>
      </c>
      <c r="AG32" s="41">
        <v>2</v>
      </c>
      <c r="AH32" s="41">
        <v>3</v>
      </c>
      <c r="AI32" s="33">
        <f t="shared" si="5"/>
        <v>6</v>
      </c>
      <c r="AJ32" s="33" t="str">
        <f t="shared" si="6"/>
        <v>MEDIO</v>
      </c>
      <c r="AK32" s="33">
        <v>10</v>
      </c>
      <c r="AL32" s="33">
        <f t="shared" si="7"/>
        <v>60</v>
      </c>
      <c r="AM32" s="33" t="str">
        <f t="shared" si="8"/>
        <v>RIESGO ACEPTABLE</v>
      </c>
      <c r="AN32" s="34"/>
      <c r="AO32" s="34"/>
      <c r="AP32" s="34"/>
      <c r="AQ32" s="34" t="s">
        <v>147</v>
      </c>
      <c r="AR32" s="34"/>
      <c r="AS32" s="61" t="s">
        <v>148</v>
      </c>
      <c r="EQ32" s="15"/>
      <c r="ER32" s="15"/>
      <c r="ES32" s="15"/>
      <c r="ET32" s="15"/>
      <c r="EU32" s="15"/>
      <c r="EV32" s="15"/>
    </row>
    <row r="33" spans="1:152" s="8" customFormat="1" ht="86.4" x14ac:dyDescent="0.25">
      <c r="A33" s="193"/>
      <c r="B33" s="208"/>
      <c r="C33" s="166"/>
      <c r="D33" s="188"/>
      <c r="E33" s="190"/>
      <c r="F33" s="165"/>
      <c r="G33" s="165"/>
      <c r="H33" s="34" t="s">
        <v>214</v>
      </c>
      <c r="I33" s="165"/>
      <c r="J33" s="47" t="s">
        <v>215</v>
      </c>
      <c r="K33" s="32" t="s">
        <v>104</v>
      </c>
      <c r="L33" s="68" t="s">
        <v>216</v>
      </c>
      <c r="M33" s="73" t="s">
        <v>84</v>
      </c>
      <c r="N33" s="73" t="s">
        <v>176</v>
      </c>
      <c r="O33" s="73" t="s">
        <v>217</v>
      </c>
      <c r="P33" s="70">
        <v>2</v>
      </c>
      <c r="Q33" s="41">
        <v>3</v>
      </c>
      <c r="R33" s="33">
        <f t="shared" si="0"/>
        <v>6</v>
      </c>
      <c r="S33" s="33" t="str">
        <f t="shared" si="1"/>
        <v>MEDIO</v>
      </c>
      <c r="T33" s="33">
        <v>10</v>
      </c>
      <c r="U33" s="75">
        <f t="shared" si="2"/>
        <v>60</v>
      </c>
      <c r="V33" s="33" t="str">
        <f t="shared" si="3"/>
        <v>lll</v>
      </c>
      <c r="W33" s="74" t="str">
        <f t="shared" si="4"/>
        <v>SI</v>
      </c>
      <c r="X33" s="33">
        <v>30</v>
      </c>
      <c r="Y33" s="31" t="s">
        <v>218</v>
      </c>
      <c r="Z33" s="33" t="s">
        <v>87</v>
      </c>
      <c r="AA33" s="46"/>
      <c r="AB33" s="33"/>
      <c r="AC33" s="34"/>
      <c r="AD33" s="34" t="s">
        <v>219</v>
      </c>
      <c r="AE33" s="34"/>
      <c r="AF33" s="34" t="s">
        <v>220</v>
      </c>
      <c r="AG33" s="41">
        <v>2</v>
      </c>
      <c r="AH33" s="41">
        <v>3</v>
      </c>
      <c r="AI33" s="33">
        <f t="shared" si="5"/>
        <v>6</v>
      </c>
      <c r="AJ33" s="33" t="str">
        <f t="shared" si="6"/>
        <v>MEDIO</v>
      </c>
      <c r="AK33" s="33">
        <v>10</v>
      </c>
      <c r="AL33" s="33">
        <f t="shared" si="7"/>
        <v>60</v>
      </c>
      <c r="AM33" s="33" t="str">
        <f t="shared" si="8"/>
        <v>RIESGO ACEPTABLE</v>
      </c>
      <c r="AN33" s="34"/>
      <c r="AO33" s="34"/>
      <c r="AP33" s="34"/>
      <c r="AQ33" s="34" t="s">
        <v>221</v>
      </c>
      <c r="AR33" s="34"/>
      <c r="AS33" s="61" t="s">
        <v>222</v>
      </c>
      <c r="EQ33" s="15"/>
      <c r="ER33" s="15"/>
      <c r="ES33" s="15"/>
      <c r="ET33" s="15"/>
      <c r="EU33" s="15"/>
      <c r="EV33" s="15"/>
    </row>
    <row r="34" spans="1:152" s="8" customFormat="1" ht="86.4" x14ac:dyDescent="0.25">
      <c r="A34" s="193"/>
      <c r="B34" s="208"/>
      <c r="C34" s="166"/>
      <c r="D34" s="188"/>
      <c r="E34" s="190"/>
      <c r="F34" s="165"/>
      <c r="G34" s="165"/>
      <c r="H34" s="34" t="s">
        <v>149</v>
      </c>
      <c r="I34" s="165"/>
      <c r="J34" s="32" t="s">
        <v>150</v>
      </c>
      <c r="K34" s="40" t="s">
        <v>104</v>
      </c>
      <c r="L34" s="68" t="s">
        <v>151</v>
      </c>
      <c r="M34" s="73" t="s">
        <v>84</v>
      </c>
      <c r="N34" s="73" t="s">
        <v>176</v>
      </c>
      <c r="O34" s="73" t="s">
        <v>223</v>
      </c>
      <c r="P34" s="70">
        <v>2</v>
      </c>
      <c r="Q34" s="41">
        <v>3</v>
      </c>
      <c r="R34" s="33">
        <f t="shared" si="0"/>
        <v>6</v>
      </c>
      <c r="S34" s="33" t="str">
        <f t="shared" si="1"/>
        <v>MEDIO</v>
      </c>
      <c r="T34" s="33">
        <v>10</v>
      </c>
      <c r="U34" s="75">
        <f t="shared" si="2"/>
        <v>60</v>
      </c>
      <c r="V34" s="33" t="str">
        <f t="shared" si="3"/>
        <v>lll</v>
      </c>
      <c r="W34" s="74" t="str">
        <f t="shared" si="4"/>
        <v>SI</v>
      </c>
      <c r="X34" s="33">
        <v>30</v>
      </c>
      <c r="Y34" s="31" t="s">
        <v>143</v>
      </c>
      <c r="Z34" s="33" t="s">
        <v>87</v>
      </c>
      <c r="AA34" s="34"/>
      <c r="AB34" s="34"/>
      <c r="AC34" s="42"/>
      <c r="AD34" s="42" t="s">
        <v>224</v>
      </c>
      <c r="AE34" s="42"/>
      <c r="AF34" s="42" t="s">
        <v>154</v>
      </c>
      <c r="AG34" s="41">
        <v>2</v>
      </c>
      <c r="AH34" s="41">
        <v>3</v>
      </c>
      <c r="AI34" s="33">
        <f t="shared" si="5"/>
        <v>6</v>
      </c>
      <c r="AJ34" s="33" t="str">
        <f t="shared" si="6"/>
        <v>MEDIO</v>
      </c>
      <c r="AK34" s="33">
        <v>10</v>
      </c>
      <c r="AL34" s="33">
        <f t="shared" si="7"/>
        <v>60</v>
      </c>
      <c r="AM34" s="33" t="str">
        <f t="shared" si="8"/>
        <v>RIESGO ACEPTABLE</v>
      </c>
      <c r="AN34" s="34"/>
      <c r="AO34" s="34"/>
      <c r="AP34" s="42" t="s">
        <v>225</v>
      </c>
      <c r="AQ34" s="43" t="s">
        <v>155</v>
      </c>
      <c r="AR34" s="34"/>
      <c r="AS34" s="61" t="s">
        <v>156</v>
      </c>
      <c r="EQ34" s="15"/>
      <c r="ER34" s="15"/>
      <c r="ES34" s="15"/>
      <c r="ET34" s="15"/>
      <c r="EU34" s="15"/>
      <c r="EV34" s="15"/>
    </row>
    <row r="35" spans="1:152" s="8" customFormat="1" ht="86.4" x14ac:dyDescent="0.25">
      <c r="A35" s="193"/>
      <c r="B35" s="208"/>
      <c r="C35" s="166"/>
      <c r="D35" s="188"/>
      <c r="E35" s="190"/>
      <c r="F35" s="165"/>
      <c r="G35" s="165"/>
      <c r="H35" s="34" t="s">
        <v>157</v>
      </c>
      <c r="I35" s="47" t="s">
        <v>158</v>
      </c>
      <c r="J35" s="47" t="s">
        <v>226</v>
      </c>
      <c r="K35" s="32" t="s">
        <v>104</v>
      </c>
      <c r="L35" s="68" t="s">
        <v>160</v>
      </c>
      <c r="M35" s="73" t="s">
        <v>84</v>
      </c>
      <c r="N35" s="73" t="s">
        <v>176</v>
      </c>
      <c r="O35" s="73" t="s">
        <v>162</v>
      </c>
      <c r="P35" s="70">
        <v>2</v>
      </c>
      <c r="Q35" s="41">
        <v>3</v>
      </c>
      <c r="R35" s="33">
        <f t="shared" si="0"/>
        <v>6</v>
      </c>
      <c r="S35" s="33" t="str">
        <f t="shared" si="1"/>
        <v>MEDIO</v>
      </c>
      <c r="T35" s="33">
        <v>10</v>
      </c>
      <c r="U35" s="75">
        <f t="shared" si="2"/>
        <v>60</v>
      </c>
      <c r="V35" s="33" t="str">
        <f t="shared" si="3"/>
        <v>lll</v>
      </c>
      <c r="W35" s="74" t="str">
        <f t="shared" si="4"/>
        <v>SI</v>
      </c>
      <c r="X35" s="33">
        <v>30</v>
      </c>
      <c r="Y35" s="31" t="s">
        <v>163</v>
      </c>
      <c r="Z35" s="33" t="s">
        <v>87</v>
      </c>
      <c r="AA35" s="45"/>
      <c r="AB35" s="33"/>
      <c r="AC35" s="34"/>
      <c r="AD35" s="34" t="s">
        <v>164</v>
      </c>
      <c r="AE35" s="34" t="s">
        <v>93</v>
      </c>
      <c r="AF35" s="34" t="s">
        <v>166</v>
      </c>
      <c r="AG35" s="41">
        <v>2</v>
      </c>
      <c r="AH35" s="41">
        <v>3</v>
      </c>
      <c r="AI35" s="33">
        <f t="shared" si="5"/>
        <v>6</v>
      </c>
      <c r="AJ35" s="33" t="str">
        <f t="shared" si="6"/>
        <v>MEDIO</v>
      </c>
      <c r="AK35" s="33">
        <v>10</v>
      </c>
      <c r="AL35" s="33">
        <f t="shared" si="7"/>
        <v>60</v>
      </c>
      <c r="AM35" s="33" t="str">
        <f t="shared" si="8"/>
        <v>RIESGO ACEPTABLE</v>
      </c>
      <c r="AN35" s="34"/>
      <c r="AO35" s="34"/>
      <c r="AP35" s="34" t="s">
        <v>167</v>
      </c>
      <c r="AQ35" s="34" t="s">
        <v>168</v>
      </c>
      <c r="AR35" s="34" t="s">
        <v>93</v>
      </c>
      <c r="AS35" s="61" t="s">
        <v>166</v>
      </c>
      <c r="EQ35" s="15"/>
      <c r="ER35" s="15"/>
      <c r="ES35" s="15"/>
      <c r="ET35" s="15"/>
      <c r="EU35" s="15"/>
      <c r="EV35" s="15"/>
    </row>
    <row r="36" spans="1:152" s="8" customFormat="1" ht="86.4" x14ac:dyDescent="0.25">
      <c r="A36" s="193"/>
      <c r="B36" s="208"/>
      <c r="C36" s="166"/>
      <c r="D36" s="188"/>
      <c r="E36" s="190"/>
      <c r="F36" s="165"/>
      <c r="G36" s="165"/>
      <c r="H36" s="34" t="s">
        <v>227</v>
      </c>
      <c r="I36" s="47" t="s">
        <v>158</v>
      </c>
      <c r="J36" s="32" t="s">
        <v>228</v>
      </c>
      <c r="K36" s="34" t="s">
        <v>104</v>
      </c>
      <c r="L36" s="68" t="s">
        <v>229</v>
      </c>
      <c r="M36" s="73" t="s">
        <v>84</v>
      </c>
      <c r="N36" s="73" t="s">
        <v>176</v>
      </c>
      <c r="O36" s="73" t="s">
        <v>230</v>
      </c>
      <c r="P36" s="70">
        <v>2</v>
      </c>
      <c r="Q36" s="41">
        <v>3</v>
      </c>
      <c r="R36" s="33">
        <f>P36*Q36</f>
        <v>6</v>
      </c>
      <c r="S36" s="33" t="str">
        <f t="shared" si="1"/>
        <v>MEDIO</v>
      </c>
      <c r="T36" s="33">
        <v>10</v>
      </c>
      <c r="U36" s="75">
        <f t="shared" si="2"/>
        <v>60</v>
      </c>
      <c r="V36" s="33" t="str">
        <f t="shared" si="3"/>
        <v>lll</v>
      </c>
      <c r="W36" s="74" t="str">
        <f t="shared" si="4"/>
        <v>SI</v>
      </c>
      <c r="X36" s="33">
        <v>30</v>
      </c>
      <c r="Y36" s="31" t="s">
        <v>163</v>
      </c>
      <c r="Z36" s="33" t="s">
        <v>87</v>
      </c>
      <c r="AA36" s="34"/>
      <c r="AB36" s="40"/>
      <c r="AC36" s="40"/>
      <c r="AD36" s="34" t="s">
        <v>231</v>
      </c>
      <c r="AE36" s="34" t="s">
        <v>93</v>
      </c>
      <c r="AF36" s="34" t="s">
        <v>166</v>
      </c>
      <c r="AG36" s="41">
        <v>2</v>
      </c>
      <c r="AH36" s="41">
        <v>3</v>
      </c>
      <c r="AI36" s="33">
        <f>AG36*AH36</f>
        <v>6</v>
      </c>
      <c r="AJ36" s="33" t="str">
        <f>IF(AND(AI36&gt;=0,AI36&lt;=4),"BAJO",IF(AND(AI36&gt;=6,AI36&lt;=8),"MEDIO",IF(AND(AI36&gt;=10,AI36&lt;=20),"ALTO",IF(AND(AI36&gt;=24,AI36&lt;=40),"MUY ALTO"))))</f>
        <v>MEDIO</v>
      </c>
      <c r="AK36" s="33">
        <v>10</v>
      </c>
      <c r="AL36" s="33">
        <f t="shared" si="7"/>
        <v>60</v>
      </c>
      <c r="AM36" s="33" t="str">
        <f>IF(AND(AL36&gt;=0,AL36&lt;=120),"RIESGO ACEPTABLE",IF(AND(AL36&gt;=150,AL36&lt;=500),"RIESGO ALTO",IF(AND(AL36&gt;=600,AL36&lt;=4000),"RIESGO NO ACEPTABLE")))</f>
        <v>RIESGO ACEPTABLE</v>
      </c>
      <c r="AN36" s="34"/>
      <c r="AO36" s="40"/>
      <c r="AP36" s="40" t="s">
        <v>232</v>
      </c>
      <c r="AQ36" s="34" t="s">
        <v>233</v>
      </c>
      <c r="AR36" s="34" t="s">
        <v>234</v>
      </c>
      <c r="AS36" s="61" t="s">
        <v>235</v>
      </c>
      <c r="EQ36" s="15"/>
      <c r="ER36" s="15"/>
      <c r="ES36" s="15"/>
      <c r="ET36" s="15"/>
      <c r="EU36" s="15"/>
      <c r="EV36" s="15"/>
    </row>
    <row r="37" spans="1:152" s="8" customFormat="1" ht="38.4" x14ac:dyDescent="0.25">
      <c r="A37" s="193"/>
      <c r="B37" s="208"/>
      <c r="C37" s="166" t="s">
        <v>236</v>
      </c>
      <c r="D37" s="188" t="s">
        <v>237</v>
      </c>
      <c r="E37" s="190" t="s">
        <v>87</v>
      </c>
      <c r="F37" s="165" t="s">
        <v>238</v>
      </c>
      <c r="G37" s="165" t="s">
        <v>239</v>
      </c>
      <c r="H37" s="34" t="s">
        <v>183</v>
      </c>
      <c r="I37" s="47" t="s">
        <v>173</v>
      </c>
      <c r="J37" s="32" t="s">
        <v>240</v>
      </c>
      <c r="K37" s="34" t="s">
        <v>104</v>
      </c>
      <c r="L37" s="68" t="s">
        <v>185</v>
      </c>
      <c r="M37" s="73" t="s">
        <v>84</v>
      </c>
      <c r="N37" s="73" t="s">
        <v>161</v>
      </c>
      <c r="O37" s="73" t="s">
        <v>241</v>
      </c>
      <c r="P37" s="70">
        <v>2</v>
      </c>
      <c r="Q37" s="41">
        <v>3</v>
      </c>
      <c r="R37" s="33">
        <f>P37*Q37</f>
        <v>6</v>
      </c>
      <c r="S37" s="33" t="str">
        <f t="shared" si="1"/>
        <v>MEDIO</v>
      </c>
      <c r="T37" s="33">
        <v>10</v>
      </c>
      <c r="U37" s="75">
        <f t="shared" si="2"/>
        <v>60</v>
      </c>
      <c r="V37" s="33" t="str">
        <f t="shared" si="3"/>
        <v>lll</v>
      </c>
      <c r="W37" s="74" t="str">
        <f t="shared" si="4"/>
        <v>SI</v>
      </c>
      <c r="X37" s="33">
        <v>30</v>
      </c>
      <c r="Y37" s="31" t="s">
        <v>178</v>
      </c>
      <c r="Z37" s="33" t="s">
        <v>87</v>
      </c>
      <c r="AA37" s="34"/>
      <c r="AB37" s="40"/>
      <c r="AC37" s="40"/>
      <c r="AD37" s="34" t="s">
        <v>187</v>
      </c>
      <c r="AE37" s="34" t="s">
        <v>188</v>
      </c>
      <c r="AF37" s="34" t="s">
        <v>166</v>
      </c>
      <c r="AG37" s="41">
        <v>2</v>
      </c>
      <c r="AH37" s="41">
        <v>3</v>
      </c>
      <c r="AI37" s="33">
        <f>AG37*AH37</f>
        <v>6</v>
      </c>
      <c r="AJ37" s="33" t="str">
        <f>IF(AND(AI37&gt;=0,AI37&lt;=4),"BAJO",IF(AND(AI37&gt;=6,AI37&lt;=8),"MEDIO",IF(AND(AI37&gt;=10,AI37&lt;=20),"ALTO",IF(AND(AI37&gt;=24,AI37&lt;=40),"MUY ALTO"))))</f>
        <v>MEDIO</v>
      </c>
      <c r="AK37" s="33">
        <v>10</v>
      </c>
      <c r="AL37" s="33">
        <f t="shared" si="7"/>
        <v>60</v>
      </c>
      <c r="AM37" s="33" t="str">
        <f>IF(AND(AL37&gt;=0,AL37&lt;=120),"RIESGO ACEPTABLE",IF(AND(AL37&gt;=150,AL37&lt;=500),"RIESGO ALTO",IF(AND(AL37&gt;=600,AL37&lt;=4000),"RIESGO NO ACEPTABLE")))</f>
        <v>RIESGO ACEPTABLE</v>
      </c>
      <c r="AN37" s="34"/>
      <c r="AO37" s="40"/>
      <c r="AP37" s="40"/>
      <c r="AQ37" s="34" t="s">
        <v>189</v>
      </c>
      <c r="AR37" s="34" t="s">
        <v>190</v>
      </c>
      <c r="AS37" s="61" t="s">
        <v>166</v>
      </c>
      <c r="EQ37" s="15"/>
      <c r="ER37" s="15"/>
      <c r="ES37" s="15"/>
      <c r="ET37" s="15"/>
      <c r="EU37" s="15"/>
      <c r="EV37" s="15"/>
    </row>
    <row r="38" spans="1:152" s="8" customFormat="1" ht="67.2" x14ac:dyDescent="0.25">
      <c r="A38" s="193"/>
      <c r="B38" s="208"/>
      <c r="C38" s="166"/>
      <c r="D38" s="188"/>
      <c r="E38" s="190"/>
      <c r="F38" s="165"/>
      <c r="G38" s="165"/>
      <c r="H38" s="34" t="s">
        <v>242</v>
      </c>
      <c r="I38" s="32" t="s">
        <v>129</v>
      </c>
      <c r="J38" s="32" t="s">
        <v>130</v>
      </c>
      <c r="K38" s="32" t="s">
        <v>104</v>
      </c>
      <c r="L38" s="68" t="s">
        <v>243</v>
      </c>
      <c r="M38" s="73" t="s">
        <v>84</v>
      </c>
      <c r="N38" s="73" t="s">
        <v>106</v>
      </c>
      <c r="O38" s="73" t="s">
        <v>132</v>
      </c>
      <c r="P38" s="70">
        <v>2</v>
      </c>
      <c r="Q38" s="41">
        <v>3</v>
      </c>
      <c r="R38" s="33">
        <f t="shared" ref="R38:R46" si="9">P38*Q38</f>
        <v>6</v>
      </c>
      <c r="S38" s="33" t="str">
        <f t="shared" si="1"/>
        <v>MEDIO</v>
      </c>
      <c r="T38" s="33">
        <v>10</v>
      </c>
      <c r="U38" s="75">
        <f t="shared" si="2"/>
        <v>60</v>
      </c>
      <c r="V38" s="33" t="str">
        <f t="shared" si="3"/>
        <v>lll</v>
      </c>
      <c r="W38" s="74" t="str">
        <f t="shared" si="4"/>
        <v>SI</v>
      </c>
      <c r="X38" s="33">
        <v>30</v>
      </c>
      <c r="Y38" s="31" t="s">
        <v>133</v>
      </c>
      <c r="Z38" s="33" t="s">
        <v>87</v>
      </c>
      <c r="AA38" s="46"/>
      <c r="AB38" s="33"/>
      <c r="AC38" s="34"/>
      <c r="AD38" s="34" t="s">
        <v>244</v>
      </c>
      <c r="AE38" s="34"/>
      <c r="AF38" s="34" t="s">
        <v>245</v>
      </c>
      <c r="AG38" s="41">
        <v>2</v>
      </c>
      <c r="AH38" s="41">
        <v>3</v>
      </c>
      <c r="AI38" s="33">
        <f t="shared" ref="AI38:AI101" si="10">AG38*AH38</f>
        <v>6</v>
      </c>
      <c r="AJ38" s="33" t="str">
        <f t="shared" ref="AJ38:AJ101" si="11">IF(AND(AI38&gt;=0,AI38&lt;=4),"BAJO",IF(AND(AI38&gt;=6,AI38&lt;=8),"MEDIO",IF(AND(AI38&gt;=10,AI38&lt;=20),"ALTO",IF(AND(AI38&gt;=24,AI38&lt;=40),"MUY ALTO"))))</f>
        <v>MEDIO</v>
      </c>
      <c r="AK38" s="33">
        <v>10</v>
      </c>
      <c r="AL38" s="33">
        <f t="shared" si="7"/>
        <v>60</v>
      </c>
      <c r="AM38" s="33" t="str">
        <f t="shared" ref="AM38:AM101" si="12">IF(AND(AL38&gt;=0,AL38&lt;=120),"RIESGO ACEPTABLE",IF(AND(AL38&gt;=150,AL38&lt;=500),"RIESGO ALTO",IF(AND(AL38&gt;=600,AL38&lt;=4000),"RIESGO NO ACEPTABLE")))</f>
        <v>RIESGO ACEPTABLE</v>
      </c>
      <c r="AN38" s="34"/>
      <c r="AO38" s="34"/>
      <c r="AP38" s="34"/>
      <c r="AQ38" s="34" t="s">
        <v>136</v>
      </c>
      <c r="AR38" s="34" t="s">
        <v>93</v>
      </c>
      <c r="AS38" s="61" t="s">
        <v>245</v>
      </c>
      <c r="EQ38" s="15"/>
      <c r="ER38" s="15"/>
      <c r="ES38" s="15"/>
      <c r="ET38" s="15"/>
      <c r="EU38" s="15"/>
      <c r="EV38" s="15"/>
    </row>
    <row r="39" spans="1:152" s="8" customFormat="1" ht="67.2" x14ac:dyDescent="0.25">
      <c r="A39" s="193"/>
      <c r="B39" s="208"/>
      <c r="C39" s="166"/>
      <c r="D39" s="188"/>
      <c r="E39" s="190"/>
      <c r="F39" s="165"/>
      <c r="G39" s="165"/>
      <c r="H39" s="34" t="s">
        <v>246</v>
      </c>
      <c r="I39" s="32" t="s">
        <v>115</v>
      </c>
      <c r="J39" s="32" t="s">
        <v>247</v>
      </c>
      <c r="K39" s="32" t="s">
        <v>248</v>
      </c>
      <c r="L39" s="68" t="s">
        <v>249</v>
      </c>
      <c r="M39" s="73" t="s">
        <v>84</v>
      </c>
      <c r="N39" s="73" t="s">
        <v>106</v>
      </c>
      <c r="O39" s="73" t="s">
        <v>250</v>
      </c>
      <c r="P39" s="70">
        <v>2</v>
      </c>
      <c r="Q39" s="41">
        <v>2</v>
      </c>
      <c r="R39" s="33">
        <f t="shared" si="9"/>
        <v>4</v>
      </c>
      <c r="S39" s="33" t="str">
        <f t="shared" si="1"/>
        <v>BAJO</v>
      </c>
      <c r="T39" s="33">
        <v>10</v>
      </c>
      <c r="U39" s="75">
        <f t="shared" si="2"/>
        <v>40</v>
      </c>
      <c r="V39" s="33" t="str">
        <f t="shared" si="3"/>
        <v>lll</v>
      </c>
      <c r="W39" s="74" t="str">
        <f t="shared" si="4"/>
        <v>SI</v>
      </c>
      <c r="X39" s="33">
        <v>30</v>
      </c>
      <c r="Y39" s="31" t="s">
        <v>251</v>
      </c>
      <c r="Z39" s="33" t="s">
        <v>87</v>
      </c>
      <c r="AA39" s="34"/>
      <c r="AB39" s="40"/>
      <c r="AC39" s="40"/>
      <c r="AD39" s="34" t="s">
        <v>252</v>
      </c>
      <c r="AE39" s="34"/>
      <c r="AF39" s="34"/>
      <c r="AG39" s="41">
        <v>2</v>
      </c>
      <c r="AH39" s="41">
        <v>3</v>
      </c>
      <c r="AI39" s="33">
        <f t="shared" si="10"/>
        <v>6</v>
      </c>
      <c r="AJ39" s="33" t="str">
        <f t="shared" si="11"/>
        <v>MEDIO</v>
      </c>
      <c r="AK39" s="33">
        <v>10</v>
      </c>
      <c r="AL39" s="33">
        <f t="shared" si="7"/>
        <v>60</v>
      </c>
      <c r="AM39" s="33" t="str">
        <f t="shared" si="12"/>
        <v>RIESGO ACEPTABLE</v>
      </c>
      <c r="AN39" s="34"/>
      <c r="AO39" s="40"/>
      <c r="AP39" s="40"/>
      <c r="AQ39" s="34" t="s">
        <v>252</v>
      </c>
      <c r="AR39" s="34"/>
      <c r="AS39" s="61"/>
      <c r="EQ39" s="15"/>
      <c r="ER39" s="15"/>
      <c r="ES39" s="15"/>
      <c r="ET39" s="15"/>
      <c r="EU39" s="15"/>
      <c r="EV39" s="15"/>
    </row>
    <row r="40" spans="1:152" s="8" customFormat="1" ht="48" x14ac:dyDescent="0.25">
      <c r="A40" s="193"/>
      <c r="B40" s="208"/>
      <c r="C40" s="166"/>
      <c r="D40" s="188"/>
      <c r="E40" s="190"/>
      <c r="F40" s="165"/>
      <c r="G40" s="165"/>
      <c r="H40" s="34" t="s">
        <v>253</v>
      </c>
      <c r="I40" s="32" t="s">
        <v>115</v>
      </c>
      <c r="J40" s="32" t="s">
        <v>254</v>
      </c>
      <c r="K40" s="34" t="s">
        <v>104</v>
      </c>
      <c r="L40" s="68" t="s">
        <v>255</v>
      </c>
      <c r="M40" s="73" t="s">
        <v>84</v>
      </c>
      <c r="N40" s="73" t="s">
        <v>161</v>
      </c>
      <c r="O40" s="73" t="s">
        <v>256</v>
      </c>
      <c r="P40" s="70">
        <v>6</v>
      </c>
      <c r="Q40" s="70">
        <v>2</v>
      </c>
      <c r="R40" s="33">
        <f t="shared" si="9"/>
        <v>12</v>
      </c>
      <c r="S40" s="33" t="str">
        <f t="shared" si="1"/>
        <v>ALTO</v>
      </c>
      <c r="T40" s="33">
        <v>10</v>
      </c>
      <c r="U40" s="75">
        <f t="shared" si="2"/>
        <v>120</v>
      </c>
      <c r="V40" s="33" t="str">
        <f t="shared" si="3"/>
        <v>lll</v>
      </c>
      <c r="W40" s="74" t="str">
        <f t="shared" si="4"/>
        <v>SI</v>
      </c>
      <c r="X40" s="33">
        <v>30</v>
      </c>
      <c r="Y40" s="31" t="s">
        <v>257</v>
      </c>
      <c r="Z40" s="33" t="s">
        <v>87</v>
      </c>
      <c r="AA40" s="34"/>
      <c r="AB40" s="40"/>
      <c r="AC40" s="40" t="s">
        <v>258</v>
      </c>
      <c r="AD40" s="34" t="s">
        <v>259</v>
      </c>
      <c r="AE40" s="34"/>
      <c r="AF40" s="34" t="s">
        <v>260</v>
      </c>
      <c r="AG40" s="41">
        <v>2</v>
      </c>
      <c r="AH40" s="41">
        <v>3</v>
      </c>
      <c r="AI40" s="33">
        <f t="shared" si="10"/>
        <v>6</v>
      </c>
      <c r="AJ40" s="33" t="str">
        <f t="shared" si="11"/>
        <v>MEDIO</v>
      </c>
      <c r="AK40" s="33">
        <v>25</v>
      </c>
      <c r="AL40" s="33">
        <f t="shared" si="7"/>
        <v>150</v>
      </c>
      <c r="AM40" s="33" t="str">
        <f t="shared" si="12"/>
        <v>RIESGO ALTO</v>
      </c>
      <c r="AN40" s="34"/>
      <c r="AO40" s="40"/>
      <c r="AP40" s="40" t="s">
        <v>261</v>
      </c>
      <c r="AQ40" s="34" t="s">
        <v>262</v>
      </c>
      <c r="AR40" s="34"/>
      <c r="AS40" s="61" t="s">
        <v>260</v>
      </c>
      <c r="EQ40" s="15"/>
      <c r="ER40" s="15"/>
      <c r="ES40" s="15"/>
      <c r="ET40" s="15"/>
      <c r="EU40" s="15"/>
      <c r="EV40" s="15"/>
    </row>
    <row r="41" spans="1:152" s="8" customFormat="1" ht="86.4" x14ac:dyDescent="0.25">
      <c r="A41" s="193"/>
      <c r="B41" s="208"/>
      <c r="C41" s="166"/>
      <c r="D41" s="188"/>
      <c r="E41" s="190"/>
      <c r="F41" s="165"/>
      <c r="G41" s="165"/>
      <c r="H41" s="34" t="s">
        <v>114</v>
      </c>
      <c r="I41" s="32" t="s">
        <v>115</v>
      </c>
      <c r="J41" s="34" t="s">
        <v>263</v>
      </c>
      <c r="K41" s="34" t="s">
        <v>104</v>
      </c>
      <c r="L41" s="68" t="s">
        <v>117</v>
      </c>
      <c r="M41" s="73" t="s">
        <v>84</v>
      </c>
      <c r="N41" s="73" t="s">
        <v>176</v>
      </c>
      <c r="O41" s="73" t="s">
        <v>264</v>
      </c>
      <c r="P41" s="70">
        <v>2</v>
      </c>
      <c r="Q41" s="44">
        <v>3</v>
      </c>
      <c r="R41" s="33">
        <f t="shared" si="9"/>
        <v>6</v>
      </c>
      <c r="S41" s="33" t="str">
        <f t="shared" si="1"/>
        <v>MEDIO</v>
      </c>
      <c r="T41" s="33">
        <v>10</v>
      </c>
      <c r="U41" s="75">
        <f t="shared" si="2"/>
        <v>60</v>
      </c>
      <c r="V41" s="33" t="str">
        <f t="shared" si="3"/>
        <v>lll</v>
      </c>
      <c r="W41" s="74" t="str">
        <f t="shared" si="4"/>
        <v>SI</v>
      </c>
      <c r="X41" s="33">
        <v>30</v>
      </c>
      <c r="Y41" s="31" t="s">
        <v>119</v>
      </c>
      <c r="Z41" s="33" t="s">
        <v>87</v>
      </c>
      <c r="AA41" s="45"/>
      <c r="AB41" s="32"/>
      <c r="AC41" s="40" t="s">
        <v>120</v>
      </c>
      <c r="AD41" s="34" t="s">
        <v>121</v>
      </c>
      <c r="AE41" s="34" t="s">
        <v>265</v>
      </c>
      <c r="AF41" s="34" t="s">
        <v>123</v>
      </c>
      <c r="AG41" s="44">
        <v>2</v>
      </c>
      <c r="AH41" s="44">
        <v>3</v>
      </c>
      <c r="AI41" s="33">
        <f t="shared" si="10"/>
        <v>6</v>
      </c>
      <c r="AJ41" s="33" t="str">
        <f t="shared" si="11"/>
        <v>MEDIO</v>
      </c>
      <c r="AK41" s="33">
        <v>10</v>
      </c>
      <c r="AL41" s="33">
        <f t="shared" si="7"/>
        <v>60</v>
      </c>
      <c r="AM41" s="33" t="str">
        <f t="shared" si="12"/>
        <v>RIESGO ACEPTABLE</v>
      </c>
      <c r="AN41" s="33"/>
      <c r="AO41" s="32"/>
      <c r="AP41" s="40" t="s">
        <v>266</v>
      </c>
      <c r="AQ41" s="34" t="s">
        <v>267</v>
      </c>
      <c r="AR41" s="34" t="s">
        <v>265</v>
      </c>
      <c r="AS41" s="61" t="s">
        <v>123</v>
      </c>
      <c r="EQ41" s="15"/>
      <c r="ER41" s="15"/>
      <c r="ES41" s="15"/>
      <c r="ET41" s="15"/>
      <c r="EU41" s="15"/>
      <c r="EV41" s="15"/>
    </row>
    <row r="42" spans="1:152" s="8" customFormat="1" ht="67.2" x14ac:dyDescent="0.25">
      <c r="A42" s="193"/>
      <c r="B42" s="208"/>
      <c r="C42" s="166"/>
      <c r="D42" s="188"/>
      <c r="E42" s="190"/>
      <c r="F42" s="165"/>
      <c r="G42" s="165"/>
      <c r="H42" s="34" t="s">
        <v>205</v>
      </c>
      <c r="I42" s="165" t="s">
        <v>102</v>
      </c>
      <c r="J42" s="47" t="s">
        <v>268</v>
      </c>
      <c r="K42" s="32" t="s">
        <v>104</v>
      </c>
      <c r="L42" s="68" t="s">
        <v>207</v>
      </c>
      <c r="M42" s="73" t="s">
        <v>84</v>
      </c>
      <c r="N42" s="73" t="s">
        <v>106</v>
      </c>
      <c r="O42" s="73" t="s">
        <v>132</v>
      </c>
      <c r="P42" s="70">
        <v>2</v>
      </c>
      <c r="Q42" s="41">
        <v>3</v>
      </c>
      <c r="R42" s="33">
        <f t="shared" si="9"/>
        <v>6</v>
      </c>
      <c r="S42" s="33" t="str">
        <f t="shared" si="1"/>
        <v>MEDIO</v>
      </c>
      <c r="T42" s="33">
        <v>10</v>
      </c>
      <c r="U42" s="75">
        <f t="shared" si="2"/>
        <v>60</v>
      </c>
      <c r="V42" s="33" t="str">
        <f t="shared" si="3"/>
        <v>lll</v>
      </c>
      <c r="W42" s="74" t="str">
        <f t="shared" si="4"/>
        <v>SI</v>
      </c>
      <c r="X42" s="33">
        <v>30</v>
      </c>
      <c r="Y42" s="31" t="s">
        <v>209</v>
      </c>
      <c r="Z42" s="33" t="s">
        <v>87</v>
      </c>
      <c r="AA42" s="45"/>
      <c r="AB42" s="33"/>
      <c r="AC42" s="34"/>
      <c r="AD42" s="34" t="s">
        <v>210</v>
      </c>
      <c r="AE42" s="34" t="s">
        <v>93</v>
      </c>
      <c r="AF42" s="34"/>
      <c r="AG42" s="41">
        <v>6</v>
      </c>
      <c r="AH42" s="41">
        <v>3</v>
      </c>
      <c r="AI42" s="33">
        <f t="shared" si="10"/>
        <v>18</v>
      </c>
      <c r="AJ42" s="33" t="str">
        <f t="shared" si="11"/>
        <v>ALTO</v>
      </c>
      <c r="AK42" s="33">
        <v>10</v>
      </c>
      <c r="AL42" s="33">
        <f t="shared" si="7"/>
        <v>180</v>
      </c>
      <c r="AM42" s="33" t="str">
        <f t="shared" si="12"/>
        <v>RIESGO ALTO</v>
      </c>
      <c r="AN42" s="34"/>
      <c r="AO42" s="34"/>
      <c r="AP42" s="34" t="s">
        <v>211</v>
      </c>
      <c r="AQ42" s="34" t="s">
        <v>269</v>
      </c>
      <c r="AR42" s="34" t="s">
        <v>212</v>
      </c>
      <c r="AS42" s="61" t="s">
        <v>113</v>
      </c>
      <c r="EQ42" s="15"/>
      <c r="ER42" s="15"/>
      <c r="ES42" s="15"/>
      <c r="ET42" s="15"/>
      <c r="EU42" s="15"/>
      <c r="EV42" s="15"/>
    </row>
    <row r="43" spans="1:152" s="8" customFormat="1" ht="67.2" x14ac:dyDescent="0.25">
      <c r="A43" s="193"/>
      <c r="B43" s="208"/>
      <c r="C43" s="166"/>
      <c r="D43" s="188"/>
      <c r="E43" s="190"/>
      <c r="F43" s="165"/>
      <c r="G43" s="165"/>
      <c r="H43" s="34" t="s">
        <v>101</v>
      </c>
      <c r="I43" s="165"/>
      <c r="J43" s="32" t="s">
        <v>270</v>
      </c>
      <c r="K43" s="40" t="s">
        <v>104</v>
      </c>
      <c r="L43" s="68" t="s">
        <v>105</v>
      </c>
      <c r="M43" s="73" t="s">
        <v>84</v>
      </c>
      <c r="N43" s="73" t="s">
        <v>106</v>
      </c>
      <c r="O43" s="73" t="s">
        <v>107</v>
      </c>
      <c r="P43" s="70">
        <v>2</v>
      </c>
      <c r="Q43" s="41">
        <v>3</v>
      </c>
      <c r="R43" s="33">
        <f t="shared" si="9"/>
        <v>6</v>
      </c>
      <c r="S43" s="33" t="str">
        <f t="shared" si="1"/>
        <v>MEDIO</v>
      </c>
      <c r="T43" s="33">
        <v>10</v>
      </c>
      <c r="U43" s="75">
        <f t="shared" si="2"/>
        <v>60</v>
      </c>
      <c r="V43" s="33" t="str">
        <f t="shared" si="3"/>
        <v>lll</v>
      </c>
      <c r="W43" s="74" t="str">
        <f t="shared" si="4"/>
        <v>SI</v>
      </c>
      <c r="X43" s="33">
        <v>30</v>
      </c>
      <c r="Y43" s="31" t="s">
        <v>108</v>
      </c>
      <c r="Z43" s="33" t="s">
        <v>87</v>
      </c>
      <c r="AA43" s="34"/>
      <c r="AB43" s="34" t="s">
        <v>271</v>
      </c>
      <c r="AC43" s="42" t="s">
        <v>272</v>
      </c>
      <c r="AD43" s="42" t="s">
        <v>273</v>
      </c>
      <c r="AE43" s="42" t="s">
        <v>93</v>
      </c>
      <c r="AF43" s="42" t="s">
        <v>274</v>
      </c>
      <c r="AG43" s="41">
        <v>2</v>
      </c>
      <c r="AH43" s="41">
        <v>3</v>
      </c>
      <c r="AI43" s="33">
        <f t="shared" si="10"/>
        <v>6</v>
      </c>
      <c r="AJ43" s="33" t="str">
        <f t="shared" si="11"/>
        <v>MEDIO</v>
      </c>
      <c r="AK43" s="33">
        <v>10</v>
      </c>
      <c r="AL43" s="33">
        <f t="shared" si="7"/>
        <v>60</v>
      </c>
      <c r="AM43" s="33" t="str">
        <f t="shared" si="12"/>
        <v>RIESGO ACEPTABLE</v>
      </c>
      <c r="AN43" s="34"/>
      <c r="AO43" s="34" t="s">
        <v>275</v>
      </c>
      <c r="AP43" s="42" t="s">
        <v>276</v>
      </c>
      <c r="AQ43" s="43" t="s">
        <v>111</v>
      </c>
      <c r="AR43" s="34" t="s">
        <v>112</v>
      </c>
      <c r="AS43" s="61" t="s">
        <v>113</v>
      </c>
      <c r="EQ43" s="15"/>
      <c r="ER43" s="15"/>
      <c r="ES43" s="15"/>
      <c r="ET43" s="15"/>
      <c r="EU43" s="15"/>
      <c r="EV43" s="15"/>
    </row>
    <row r="44" spans="1:152" s="8" customFormat="1" ht="48" x14ac:dyDescent="0.25">
      <c r="A44" s="193"/>
      <c r="B44" s="208"/>
      <c r="C44" s="166"/>
      <c r="D44" s="188"/>
      <c r="E44" s="190"/>
      <c r="F44" s="165"/>
      <c r="G44" s="165"/>
      <c r="H44" s="34" t="s">
        <v>138</v>
      </c>
      <c r="I44" s="165" t="s">
        <v>139</v>
      </c>
      <c r="J44" s="40" t="s">
        <v>277</v>
      </c>
      <c r="K44" s="32" t="s">
        <v>104</v>
      </c>
      <c r="L44" s="68" t="s">
        <v>141</v>
      </c>
      <c r="M44" s="73" t="s">
        <v>84</v>
      </c>
      <c r="N44" s="73" t="s">
        <v>278</v>
      </c>
      <c r="O44" s="73" t="s">
        <v>213</v>
      </c>
      <c r="P44" s="70">
        <v>2</v>
      </c>
      <c r="Q44" s="41">
        <v>2</v>
      </c>
      <c r="R44" s="33">
        <f t="shared" si="9"/>
        <v>4</v>
      </c>
      <c r="S44" s="33" t="str">
        <f t="shared" si="1"/>
        <v>BAJO</v>
      </c>
      <c r="T44" s="33">
        <v>10</v>
      </c>
      <c r="U44" s="75">
        <f t="shared" si="2"/>
        <v>40</v>
      </c>
      <c r="V44" s="33" t="str">
        <f t="shared" si="3"/>
        <v>lll</v>
      </c>
      <c r="W44" s="74" t="str">
        <f t="shared" si="4"/>
        <v>SI</v>
      </c>
      <c r="X44" s="33">
        <v>30</v>
      </c>
      <c r="Y44" s="31" t="s">
        <v>143</v>
      </c>
      <c r="Z44" s="33" t="s">
        <v>87</v>
      </c>
      <c r="AA44" s="34"/>
      <c r="AB44" s="34"/>
      <c r="AC44" s="34" t="s">
        <v>144</v>
      </c>
      <c r="AD44" s="34" t="s">
        <v>279</v>
      </c>
      <c r="AE44" s="34"/>
      <c r="AF44" s="34" t="s">
        <v>146</v>
      </c>
      <c r="AG44" s="41">
        <v>2</v>
      </c>
      <c r="AH44" s="41">
        <v>3</v>
      </c>
      <c r="AI44" s="33">
        <f t="shared" si="10"/>
        <v>6</v>
      </c>
      <c r="AJ44" s="33" t="str">
        <f t="shared" si="11"/>
        <v>MEDIO</v>
      </c>
      <c r="AK44" s="33">
        <v>10</v>
      </c>
      <c r="AL44" s="33">
        <f t="shared" si="7"/>
        <v>60</v>
      </c>
      <c r="AM44" s="33" t="str">
        <f t="shared" si="12"/>
        <v>RIESGO ACEPTABLE</v>
      </c>
      <c r="AN44" s="34"/>
      <c r="AO44" s="34"/>
      <c r="AP44" s="34" t="s">
        <v>144</v>
      </c>
      <c r="AQ44" s="34" t="s">
        <v>147</v>
      </c>
      <c r="AR44" s="34"/>
      <c r="AS44" s="61" t="s">
        <v>280</v>
      </c>
      <c r="EQ44" s="15"/>
      <c r="ER44" s="15"/>
      <c r="ES44" s="15"/>
      <c r="ET44" s="15"/>
      <c r="EU44" s="15"/>
      <c r="EV44" s="15"/>
    </row>
    <row r="45" spans="1:152" s="8" customFormat="1" ht="86.4" x14ac:dyDescent="0.25">
      <c r="A45" s="193"/>
      <c r="B45" s="208"/>
      <c r="C45" s="166"/>
      <c r="D45" s="188"/>
      <c r="E45" s="190"/>
      <c r="F45" s="165"/>
      <c r="G45" s="165"/>
      <c r="H45" s="34" t="s">
        <v>149</v>
      </c>
      <c r="I45" s="165"/>
      <c r="J45" s="32" t="s">
        <v>281</v>
      </c>
      <c r="K45" s="40" t="s">
        <v>104</v>
      </c>
      <c r="L45" s="68" t="s">
        <v>151</v>
      </c>
      <c r="M45" s="73" t="s">
        <v>84</v>
      </c>
      <c r="N45" s="73" t="s">
        <v>176</v>
      </c>
      <c r="O45" s="73" t="s">
        <v>282</v>
      </c>
      <c r="P45" s="70">
        <v>2</v>
      </c>
      <c r="Q45" s="41">
        <v>3</v>
      </c>
      <c r="R45" s="33">
        <f t="shared" si="9"/>
        <v>6</v>
      </c>
      <c r="S45" s="33" t="str">
        <f t="shared" si="1"/>
        <v>MEDIO</v>
      </c>
      <c r="T45" s="33">
        <v>10</v>
      </c>
      <c r="U45" s="75">
        <f t="shared" si="2"/>
        <v>60</v>
      </c>
      <c r="V45" s="33" t="str">
        <f t="shared" si="3"/>
        <v>lll</v>
      </c>
      <c r="W45" s="74" t="str">
        <f t="shared" si="4"/>
        <v>SI</v>
      </c>
      <c r="X45" s="33">
        <v>30</v>
      </c>
      <c r="Y45" s="31" t="s">
        <v>143</v>
      </c>
      <c r="Z45" s="33" t="s">
        <v>87</v>
      </c>
      <c r="AA45" s="34"/>
      <c r="AB45" s="34"/>
      <c r="AC45" s="42"/>
      <c r="AD45" s="42" t="s">
        <v>283</v>
      </c>
      <c r="AE45" s="42"/>
      <c r="AF45" s="34" t="s">
        <v>146</v>
      </c>
      <c r="AG45" s="41">
        <v>2</v>
      </c>
      <c r="AH45" s="41">
        <v>3</v>
      </c>
      <c r="AI45" s="33">
        <f t="shared" si="10"/>
        <v>6</v>
      </c>
      <c r="AJ45" s="33" t="str">
        <f t="shared" si="11"/>
        <v>MEDIO</v>
      </c>
      <c r="AK45" s="33">
        <v>10</v>
      </c>
      <c r="AL45" s="33">
        <f t="shared" si="7"/>
        <v>60</v>
      </c>
      <c r="AM45" s="33" t="str">
        <f t="shared" si="12"/>
        <v>RIESGO ACEPTABLE</v>
      </c>
      <c r="AN45" s="34"/>
      <c r="AO45" s="34"/>
      <c r="AP45" s="42"/>
      <c r="AQ45" s="43" t="s">
        <v>155</v>
      </c>
      <c r="AR45" s="34"/>
      <c r="AS45" s="61" t="s">
        <v>284</v>
      </c>
      <c r="EQ45" s="15"/>
      <c r="ER45" s="15"/>
      <c r="ES45" s="15"/>
      <c r="ET45" s="15"/>
      <c r="EU45" s="15"/>
      <c r="EV45" s="15"/>
    </row>
    <row r="46" spans="1:152" s="8" customFormat="1" ht="38.4" x14ac:dyDescent="0.25">
      <c r="A46" s="193"/>
      <c r="B46" s="208"/>
      <c r="C46" s="166"/>
      <c r="D46" s="188"/>
      <c r="E46" s="190"/>
      <c r="F46" s="165"/>
      <c r="G46" s="165"/>
      <c r="H46" s="34" t="s">
        <v>157</v>
      </c>
      <c r="I46" s="165" t="s">
        <v>158</v>
      </c>
      <c r="J46" s="47" t="s">
        <v>285</v>
      </c>
      <c r="K46" s="32" t="s">
        <v>104</v>
      </c>
      <c r="L46" s="68" t="s">
        <v>160</v>
      </c>
      <c r="M46" s="73" t="s">
        <v>84</v>
      </c>
      <c r="N46" s="73" t="s">
        <v>161</v>
      </c>
      <c r="O46" s="73" t="s">
        <v>286</v>
      </c>
      <c r="P46" s="70">
        <v>2</v>
      </c>
      <c r="Q46" s="41">
        <v>3</v>
      </c>
      <c r="R46" s="33">
        <f t="shared" si="9"/>
        <v>6</v>
      </c>
      <c r="S46" s="33" t="str">
        <f t="shared" si="1"/>
        <v>MEDIO</v>
      </c>
      <c r="T46" s="33">
        <v>10</v>
      </c>
      <c r="U46" s="75">
        <f t="shared" si="2"/>
        <v>60</v>
      </c>
      <c r="V46" s="33" t="str">
        <f t="shared" si="3"/>
        <v>lll</v>
      </c>
      <c r="W46" s="74" t="str">
        <f t="shared" si="4"/>
        <v>SI</v>
      </c>
      <c r="X46" s="33">
        <v>30</v>
      </c>
      <c r="Y46" s="31" t="s">
        <v>163</v>
      </c>
      <c r="Z46" s="33" t="s">
        <v>87</v>
      </c>
      <c r="AA46" s="45"/>
      <c r="AB46" s="33"/>
      <c r="AC46" s="34"/>
      <c r="AD46" s="34" t="s">
        <v>231</v>
      </c>
      <c r="AE46" s="34" t="s">
        <v>287</v>
      </c>
      <c r="AF46" s="34" t="s">
        <v>182</v>
      </c>
      <c r="AG46" s="41">
        <v>2</v>
      </c>
      <c r="AH46" s="41">
        <v>3</v>
      </c>
      <c r="AI46" s="33">
        <f t="shared" si="10"/>
        <v>6</v>
      </c>
      <c r="AJ46" s="33" t="str">
        <f t="shared" si="11"/>
        <v>MEDIO</v>
      </c>
      <c r="AK46" s="33">
        <v>10</v>
      </c>
      <c r="AL46" s="33">
        <f t="shared" si="7"/>
        <v>60</v>
      </c>
      <c r="AM46" s="33" t="str">
        <f t="shared" si="12"/>
        <v>RIESGO ACEPTABLE</v>
      </c>
      <c r="AN46" s="34"/>
      <c r="AO46" s="34"/>
      <c r="AP46" s="40" t="s">
        <v>232</v>
      </c>
      <c r="AQ46" s="34" t="s">
        <v>233</v>
      </c>
      <c r="AR46" s="34" t="s">
        <v>234</v>
      </c>
      <c r="AS46" s="61" t="s">
        <v>235</v>
      </c>
      <c r="EQ46" s="15"/>
      <c r="ER46" s="15"/>
      <c r="ES46" s="15"/>
      <c r="ET46" s="15"/>
      <c r="EU46" s="15"/>
      <c r="EV46" s="15"/>
    </row>
    <row r="47" spans="1:152" s="8" customFormat="1" ht="38.4" x14ac:dyDescent="0.25">
      <c r="A47" s="193"/>
      <c r="B47" s="208"/>
      <c r="C47" s="166"/>
      <c r="D47" s="188"/>
      <c r="E47" s="190"/>
      <c r="F47" s="165"/>
      <c r="G47" s="165"/>
      <c r="H47" s="34" t="s">
        <v>227</v>
      </c>
      <c r="I47" s="165"/>
      <c r="J47" s="32" t="s">
        <v>288</v>
      </c>
      <c r="K47" s="34" t="s">
        <v>104</v>
      </c>
      <c r="L47" s="68" t="s">
        <v>229</v>
      </c>
      <c r="M47" s="73" t="s">
        <v>84</v>
      </c>
      <c r="N47" s="73" t="s">
        <v>161</v>
      </c>
      <c r="O47" s="73" t="s">
        <v>289</v>
      </c>
      <c r="P47" s="70">
        <v>2</v>
      </c>
      <c r="Q47" s="41">
        <v>3</v>
      </c>
      <c r="R47" s="33">
        <f>P47*Q47</f>
        <v>6</v>
      </c>
      <c r="S47" s="33" t="str">
        <f t="shared" si="1"/>
        <v>MEDIO</v>
      </c>
      <c r="T47" s="33">
        <v>10</v>
      </c>
      <c r="U47" s="75">
        <f t="shared" si="2"/>
        <v>60</v>
      </c>
      <c r="V47" s="33" t="str">
        <f t="shared" si="3"/>
        <v>lll</v>
      </c>
      <c r="W47" s="74" t="str">
        <f t="shared" si="4"/>
        <v>SI</v>
      </c>
      <c r="X47" s="33">
        <v>30</v>
      </c>
      <c r="Y47" s="31" t="s">
        <v>163</v>
      </c>
      <c r="Z47" s="33" t="s">
        <v>87</v>
      </c>
      <c r="AA47" s="34"/>
      <c r="AB47" s="40"/>
      <c r="AC47" s="40"/>
      <c r="AD47" s="34" t="s">
        <v>231</v>
      </c>
      <c r="AE47" s="34" t="s">
        <v>287</v>
      </c>
      <c r="AF47" s="34" t="s">
        <v>166</v>
      </c>
      <c r="AG47" s="41">
        <v>2</v>
      </c>
      <c r="AH47" s="41">
        <v>3</v>
      </c>
      <c r="AI47" s="33">
        <f t="shared" si="10"/>
        <v>6</v>
      </c>
      <c r="AJ47" s="33" t="str">
        <f t="shared" si="11"/>
        <v>MEDIO</v>
      </c>
      <c r="AK47" s="33">
        <v>10</v>
      </c>
      <c r="AL47" s="33">
        <f t="shared" si="7"/>
        <v>60</v>
      </c>
      <c r="AM47" s="33" t="str">
        <f t="shared" si="12"/>
        <v>RIESGO ACEPTABLE</v>
      </c>
      <c r="AN47" s="34"/>
      <c r="AO47" s="40"/>
      <c r="AP47" s="40" t="s">
        <v>232</v>
      </c>
      <c r="AQ47" s="34" t="s">
        <v>233</v>
      </c>
      <c r="AR47" s="34" t="s">
        <v>234</v>
      </c>
      <c r="AS47" s="61" t="s">
        <v>235</v>
      </c>
      <c r="EQ47" s="15"/>
      <c r="ER47" s="15"/>
      <c r="ES47" s="15"/>
      <c r="ET47" s="15"/>
      <c r="EU47" s="15"/>
      <c r="EV47" s="15"/>
    </row>
    <row r="48" spans="1:152" s="8" customFormat="1" ht="67.2" x14ac:dyDescent="0.25">
      <c r="A48" s="193"/>
      <c r="B48" s="208"/>
      <c r="C48" s="166"/>
      <c r="D48" s="188"/>
      <c r="E48" s="190"/>
      <c r="F48" s="165"/>
      <c r="G48" s="165"/>
      <c r="H48" s="34" t="s">
        <v>290</v>
      </c>
      <c r="I48" s="32" t="s">
        <v>291</v>
      </c>
      <c r="J48" s="47" t="s">
        <v>292</v>
      </c>
      <c r="K48" s="32" t="s">
        <v>104</v>
      </c>
      <c r="L48" s="68" t="s">
        <v>293</v>
      </c>
      <c r="M48" s="73" t="s">
        <v>84</v>
      </c>
      <c r="N48" s="73" t="s">
        <v>106</v>
      </c>
      <c r="O48" s="73" t="s">
        <v>294</v>
      </c>
      <c r="P48" s="70">
        <v>2</v>
      </c>
      <c r="Q48" s="41">
        <v>3</v>
      </c>
      <c r="R48" s="33">
        <f t="shared" ref="R48:R73" si="13">P48*Q48</f>
        <v>6</v>
      </c>
      <c r="S48" s="33" t="str">
        <f t="shared" si="1"/>
        <v>MEDIO</v>
      </c>
      <c r="T48" s="33">
        <v>10</v>
      </c>
      <c r="U48" s="75">
        <f t="shared" si="2"/>
        <v>60</v>
      </c>
      <c r="V48" s="33" t="str">
        <f t="shared" si="3"/>
        <v>lll</v>
      </c>
      <c r="W48" s="74" t="str">
        <f t="shared" si="4"/>
        <v>SI</v>
      </c>
      <c r="X48" s="33">
        <v>30</v>
      </c>
      <c r="Y48" s="31" t="s">
        <v>295</v>
      </c>
      <c r="Z48" s="33" t="s">
        <v>87</v>
      </c>
      <c r="AA48" s="46"/>
      <c r="AB48" s="33"/>
      <c r="AC48" s="34" t="s">
        <v>296</v>
      </c>
      <c r="AD48" s="34" t="s">
        <v>297</v>
      </c>
      <c r="AE48" s="34" t="s">
        <v>93</v>
      </c>
      <c r="AF48" s="34"/>
      <c r="AG48" s="41">
        <v>2</v>
      </c>
      <c r="AH48" s="41">
        <v>3</v>
      </c>
      <c r="AI48" s="33">
        <f t="shared" si="10"/>
        <v>6</v>
      </c>
      <c r="AJ48" s="33" t="str">
        <f t="shared" si="11"/>
        <v>MEDIO</v>
      </c>
      <c r="AK48" s="33">
        <v>10</v>
      </c>
      <c r="AL48" s="33">
        <f t="shared" si="7"/>
        <v>60</v>
      </c>
      <c r="AM48" s="33" t="str">
        <f t="shared" si="12"/>
        <v>RIESGO ACEPTABLE</v>
      </c>
      <c r="AN48" s="34"/>
      <c r="AO48" s="34"/>
      <c r="AP48" s="34" t="s">
        <v>298</v>
      </c>
      <c r="AQ48" s="34" t="s">
        <v>299</v>
      </c>
      <c r="AR48" s="34"/>
      <c r="AS48" s="61" t="s">
        <v>182</v>
      </c>
      <c r="EQ48" s="15"/>
      <c r="ER48" s="15"/>
      <c r="ES48" s="15"/>
      <c r="ET48" s="15"/>
      <c r="EU48" s="15"/>
      <c r="EV48" s="15"/>
    </row>
    <row r="49" spans="1:152" s="8" customFormat="1" ht="48" x14ac:dyDescent="0.25">
      <c r="A49" s="193"/>
      <c r="B49" s="208"/>
      <c r="C49" s="166" t="s">
        <v>300</v>
      </c>
      <c r="D49" s="188" t="s">
        <v>301</v>
      </c>
      <c r="E49" s="190" t="s">
        <v>87</v>
      </c>
      <c r="F49" s="165" t="s">
        <v>302</v>
      </c>
      <c r="G49" s="165" t="s">
        <v>303</v>
      </c>
      <c r="H49" s="34" t="s">
        <v>183</v>
      </c>
      <c r="I49" s="47" t="s">
        <v>173</v>
      </c>
      <c r="J49" s="32" t="s">
        <v>304</v>
      </c>
      <c r="K49" s="34" t="s">
        <v>104</v>
      </c>
      <c r="L49" s="68" t="s">
        <v>185</v>
      </c>
      <c r="M49" s="73" t="s">
        <v>84</v>
      </c>
      <c r="N49" s="73" t="s">
        <v>161</v>
      </c>
      <c r="O49" s="73" t="s">
        <v>186</v>
      </c>
      <c r="P49" s="70">
        <v>2</v>
      </c>
      <c r="Q49" s="41">
        <v>3</v>
      </c>
      <c r="R49" s="33">
        <f>P49*Q49</f>
        <v>6</v>
      </c>
      <c r="S49" s="33" t="str">
        <f t="shared" si="1"/>
        <v>MEDIO</v>
      </c>
      <c r="T49" s="33">
        <v>10</v>
      </c>
      <c r="U49" s="75">
        <f t="shared" si="2"/>
        <v>60</v>
      </c>
      <c r="V49" s="33" t="str">
        <f t="shared" si="3"/>
        <v>lll</v>
      </c>
      <c r="W49" s="74" t="str">
        <f t="shared" si="4"/>
        <v>SI</v>
      </c>
      <c r="X49" s="33">
        <v>30</v>
      </c>
      <c r="Y49" s="31" t="s">
        <v>178</v>
      </c>
      <c r="Z49" s="33" t="s">
        <v>87</v>
      </c>
      <c r="AA49" s="34"/>
      <c r="AB49" s="40"/>
      <c r="AC49" s="40"/>
      <c r="AD49" s="34" t="s">
        <v>305</v>
      </c>
      <c r="AE49" s="34" t="s">
        <v>93</v>
      </c>
      <c r="AF49" s="34"/>
      <c r="AG49" s="41">
        <v>2</v>
      </c>
      <c r="AH49" s="41">
        <v>3</v>
      </c>
      <c r="AI49" s="33">
        <f t="shared" si="10"/>
        <v>6</v>
      </c>
      <c r="AJ49" s="33" t="str">
        <f t="shared" si="11"/>
        <v>MEDIO</v>
      </c>
      <c r="AK49" s="33">
        <v>10</v>
      </c>
      <c r="AL49" s="33">
        <f t="shared" si="7"/>
        <v>60</v>
      </c>
      <c r="AM49" s="33" t="str">
        <f t="shared" si="12"/>
        <v>RIESGO ACEPTABLE</v>
      </c>
      <c r="AN49" s="34"/>
      <c r="AO49" s="40"/>
      <c r="AP49" s="40" t="s">
        <v>306</v>
      </c>
      <c r="AQ49" s="34" t="s">
        <v>305</v>
      </c>
      <c r="AR49" s="34" t="s">
        <v>307</v>
      </c>
      <c r="AS49" s="61" t="s">
        <v>182</v>
      </c>
      <c r="EQ49" s="15"/>
      <c r="ER49" s="15"/>
      <c r="ES49" s="15"/>
      <c r="ET49" s="15"/>
      <c r="EU49" s="15"/>
      <c r="EV49" s="15"/>
    </row>
    <row r="50" spans="1:152" s="8" customFormat="1" ht="67.2" x14ac:dyDescent="0.25">
      <c r="A50" s="193"/>
      <c r="B50" s="208"/>
      <c r="C50" s="166"/>
      <c r="D50" s="188"/>
      <c r="E50" s="190"/>
      <c r="F50" s="165"/>
      <c r="G50" s="165"/>
      <c r="H50" s="34" t="s">
        <v>308</v>
      </c>
      <c r="I50" s="34" t="s">
        <v>291</v>
      </c>
      <c r="J50" s="32" t="s">
        <v>309</v>
      </c>
      <c r="K50" s="34" t="s">
        <v>248</v>
      </c>
      <c r="L50" s="68" t="s">
        <v>310</v>
      </c>
      <c r="M50" s="73" t="s">
        <v>84</v>
      </c>
      <c r="N50" s="73" t="s">
        <v>311</v>
      </c>
      <c r="O50" s="73" t="s">
        <v>312</v>
      </c>
      <c r="P50" s="70">
        <v>2</v>
      </c>
      <c r="Q50" s="41">
        <v>3</v>
      </c>
      <c r="R50" s="33">
        <f t="shared" si="13"/>
        <v>6</v>
      </c>
      <c r="S50" s="33" t="str">
        <f t="shared" si="1"/>
        <v>MEDIO</v>
      </c>
      <c r="T50" s="33">
        <v>10</v>
      </c>
      <c r="U50" s="75">
        <f t="shared" si="2"/>
        <v>60</v>
      </c>
      <c r="V50" s="33" t="str">
        <f t="shared" si="3"/>
        <v>lll</v>
      </c>
      <c r="W50" s="74" t="str">
        <f t="shared" si="4"/>
        <v>SI</v>
      </c>
      <c r="X50" s="33">
        <v>30</v>
      </c>
      <c r="Y50" s="31" t="s">
        <v>313</v>
      </c>
      <c r="Z50" s="33" t="s">
        <v>87</v>
      </c>
      <c r="AA50" s="34"/>
      <c r="AB50" s="40"/>
      <c r="AC50" s="40"/>
      <c r="AD50" s="34" t="s">
        <v>314</v>
      </c>
      <c r="AE50" s="34"/>
      <c r="AF50" s="34"/>
      <c r="AG50" s="41">
        <v>2</v>
      </c>
      <c r="AH50" s="41">
        <v>3</v>
      </c>
      <c r="AI50" s="33">
        <f t="shared" si="10"/>
        <v>6</v>
      </c>
      <c r="AJ50" s="33" t="str">
        <f t="shared" si="11"/>
        <v>MEDIO</v>
      </c>
      <c r="AK50" s="33">
        <v>25</v>
      </c>
      <c r="AL50" s="33">
        <f t="shared" si="7"/>
        <v>150</v>
      </c>
      <c r="AM50" s="33" t="str">
        <f t="shared" si="12"/>
        <v>RIESGO ALTO</v>
      </c>
      <c r="AN50" s="34"/>
      <c r="AO50" s="40"/>
      <c r="AP50" s="40"/>
      <c r="AQ50" s="34" t="s">
        <v>315</v>
      </c>
      <c r="AR50" s="34"/>
      <c r="AS50" s="61"/>
      <c r="EQ50" s="15"/>
      <c r="ER50" s="15"/>
      <c r="ES50" s="15"/>
      <c r="ET50" s="15"/>
      <c r="EU50" s="15"/>
      <c r="EV50" s="15"/>
    </row>
    <row r="51" spans="1:152" s="8" customFormat="1" ht="76.8" x14ac:dyDescent="0.25">
      <c r="A51" s="193"/>
      <c r="B51" s="208"/>
      <c r="C51" s="166"/>
      <c r="D51" s="188"/>
      <c r="E51" s="190"/>
      <c r="F51" s="165"/>
      <c r="G51" s="165"/>
      <c r="H51" s="34" t="s">
        <v>316</v>
      </c>
      <c r="I51" s="34" t="s">
        <v>102</v>
      </c>
      <c r="J51" s="32" t="s">
        <v>317</v>
      </c>
      <c r="K51" s="34" t="s">
        <v>104</v>
      </c>
      <c r="L51" s="68" t="s">
        <v>83</v>
      </c>
      <c r="M51" s="73" t="s">
        <v>84</v>
      </c>
      <c r="N51" s="73" t="s">
        <v>106</v>
      </c>
      <c r="O51" s="73" t="s">
        <v>318</v>
      </c>
      <c r="P51" s="70">
        <v>2</v>
      </c>
      <c r="Q51" s="41">
        <v>3</v>
      </c>
      <c r="R51" s="33">
        <f t="shared" si="13"/>
        <v>6</v>
      </c>
      <c r="S51" s="33" t="str">
        <f t="shared" si="1"/>
        <v>MEDIO</v>
      </c>
      <c r="T51" s="33">
        <v>10</v>
      </c>
      <c r="U51" s="75">
        <f t="shared" si="2"/>
        <v>60</v>
      </c>
      <c r="V51" s="33" t="str">
        <f t="shared" si="3"/>
        <v>lll</v>
      </c>
      <c r="W51" s="74" t="str">
        <f t="shared" si="4"/>
        <v>SI</v>
      </c>
      <c r="X51" s="33">
        <v>30</v>
      </c>
      <c r="Y51" s="31" t="s">
        <v>108</v>
      </c>
      <c r="Z51" s="33" t="s">
        <v>87</v>
      </c>
      <c r="AA51" s="34"/>
      <c r="AB51" s="40"/>
      <c r="AC51" s="34" t="s">
        <v>319</v>
      </c>
      <c r="AD51" s="34" t="s">
        <v>109</v>
      </c>
      <c r="AE51" s="34" t="s">
        <v>274</v>
      </c>
      <c r="AF51" s="34" t="s">
        <v>320</v>
      </c>
      <c r="AG51" s="41">
        <v>2</v>
      </c>
      <c r="AH51" s="41">
        <v>3</v>
      </c>
      <c r="AI51" s="33">
        <f t="shared" si="10"/>
        <v>6</v>
      </c>
      <c r="AJ51" s="33" t="str">
        <f t="shared" si="11"/>
        <v>MEDIO</v>
      </c>
      <c r="AK51" s="33">
        <v>10</v>
      </c>
      <c r="AL51" s="33">
        <f t="shared" si="7"/>
        <v>60</v>
      </c>
      <c r="AM51" s="33" t="str">
        <f t="shared" si="12"/>
        <v>RIESGO ACEPTABLE</v>
      </c>
      <c r="AN51" s="34"/>
      <c r="AO51" s="40"/>
      <c r="AP51" s="40" t="s">
        <v>321</v>
      </c>
      <c r="AQ51" s="34" t="s">
        <v>322</v>
      </c>
      <c r="AR51" s="34" t="s">
        <v>323</v>
      </c>
      <c r="AS51" s="61" t="s">
        <v>320</v>
      </c>
      <c r="EQ51" s="15"/>
      <c r="ER51" s="15"/>
      <c r="ES51" s="15"/>
      <c r="ET51" s="15"/>
      <c r="EU51" s="15"/>
      <c r="EV51" s="15"/>
    </row>
    <row r="52" spans="1:152" s="8" customFormat="1" ht="57.6" x14ac:dyDescent="0.25">
      <c r="A52" s="193"/>
      <c r="B52" s="208"/>
      <c r="C52" s="166"/>
      <c r="D52" s="188"/>
      <c r="E52" s="190"/>
      <c r="F52" s="165"/>
      <c r="G52" s="165"/>
      <c r="H52" s="34" t="s">
        <v>242</v>
      </c>
      <c r="I52" s="32" t="s">
        <v>129</v>
      </c>
      <c r="J52" s="32" t="s">
        <v>130</v>
      </c>
      <c r="K52" s="32" t="s">
        <v>104</v>
      </c>
      <c r="L52" s="68" t="s">
        <v>243</v>
      </c>
      <c r="M52" s="73" t="s">
        <v>84</v>
      </c>
      <c r="N52" s="73" t="s">
        <v>324</v>
      </c>
      <c r="O52" s="73" t="s">
        <v>132</v>
      </c>
      <c r="P52" s="70">
        <v>2</v>
      </c>
      <c r="Q52" s="41">
        <v>3</v>
      </c>
      <c r="R52" s="33">
        <f t="shared" si="13"/>
        <v>6</v>
      </c>
      <c r="S52" s="33" t="str">
        <f t="shared" si="1"/>
        <v>MEDIO</v>
      </c>
      <c r="T52" s="33">
        <v>10</v>
      </c>
      <c r="U52" s="75">
        <f t="shared" si="2"/>
        <v>60</v>
      </c>
      <c r="V52" s="33" t="str">
        <f t="shared" si="3"/>
        <v>lll</v>
      </c>
      <c r="W52" s="74" t="str">
        <f t="shared" si="4"/>
        <v>SI</v>
      </c>
      <c r="X52" s="33">
        <v>30</v>
      </c>
      <c r="Y52" s="31" t="s">
        <v>133</v>
      </c>
      <c r="Z52" s="33" t="s">
        <v>87</v>
      </c>
      <c r="AA52" s="46"/>
      <c r="AB52" s="33"/>
      <c r="AC52" s="34"/>
      <c r="AD52" s="34" t="s">
        <v>325</v>
      </c>
      <c r="AE52" s="34"/>
      <c r="AF52" s="34" t="s">
        <v>245</v>
      </c>
      <c r="AG52" s="41">
        <v>2</v>
      </c>
      <c r="AH52" s="41">
        <v>3</v>
      </c>
      <c r="AI52" s="33">
        <f t="shared" si="10"/>
        <v>6</v>
      </c>
      <c r="AJ52" s="33" t="str">
        <f t="shared" si="11"/>
        <v>MEDIO</v>
      </c>
      <c r="AK52" s="33">
        <v>10</v>
      </c>
      <c r="AL52" s="33">
        <f t="shared" si="7"/>
        <v>60</v>
      </c>
      <c r="AM52" s="33" t="str">
        <f t="shared" si="12"/>
        <v>RIESGO ACEPTABLE</v>
      </c>
      <c r="AN52" s="34"/>
      <c r="AO52" s="34"/>
      <c r="AP52" s="34"/>
      <c r="AQ52" s="34" t="s">
        <v>136</v>
      </c>
      <c r="AR52" s="34" t="s">
        <v>93</v>
      </c>
      <c r="AS52" s="61" t="s">
        <v>245</v>
      </c>
      <c r="EQ52" s="15"/>
      <c r="ER52" s="15"/>
      <c r="ES52" s="15"/>
      <c r="ET52" s="15"/>
      <c r="EU52" s="15"/>
      <c r="EV52" s="15"/>
    </row>
    <row r="53" spans="1:152" s="8" customFormat="1" ht="57.6" x14ac:dyDescent="0.25">
      <c r="A53" s="193"/>
      <c r="B53" s="208"/>
      <c r="C53" s="166"/>
      <c r="D53" s="188"/>
      <c r="E53" s="190"/>
      <c r="F53" s="165"/>
      <c r="G53" s="165"/>
      <c r="H53" s="34" t="s">
        <v>149</v>
      </c>
      <c r="I53" s="34" t="s">
        <v>139</v>
      </c>
      <c r="J53" s="32" t="s">
        <v>326</v>
      </c>
      <c r="K53" s="40" t="s">
        <v>104</v>
      </c>
      <c r="L53" s="68" t="s">
        <v>327</v>
      </c>
      <c r="M53" s="73" t="s">
        <v>84</v>
      </c>
      <c r="N53" s="73" t="s">
        <v>324</v>
      </c>
      <c r="O53" s="73" t="s">
        <v>328</v>
      </c>
      <c r="P53" s="70">
        <v>2</v>
      </c>
      <c r="Q53" s="41">
        <v>3</v>
      </c>
      <c r="R53" s="33">
        <f t="shared" si="13"/>
        <v>6</v>
      </c>
      <c r="S53" s="33" t="str">
        <f t="shared" si="1"/>
        <v>MEDIO</v>
      </c>
      <c r="T53" s="33">
        <v>10</v>
      </c>
      <c r="U53" s="75">
        <f t="shared" si="2"/>
        <v>60</v>
      </c>
      <c r="V53" s="33" t="str">
        <f t="shared" si="3"/>
        <v>lll</v>
      </c>
      <c r="W53" s="74" t="str">
        <f t="shared" si="4"/>
        <v>SI</v>
      </c>
      <c r="X53" s="33">
        <v>30</v>
      </c>
      <c r="Y53" s="31" t="s">
        <v>143</v>
      </c>
      <c r="Z53" s="33" t="s">
        <v>87</v>
      </c>
      <c r="AA53" s="34"/>
      <c r="AB53" s="34"/>
      <c r="AC53" s="42" t="s">
        <v>329</v>
      </c>
      <c r="AD53" s="42" t="s">
        <v>330</v>
      </c>
      <c r="AE53" s="42"/>
      <c r="AF53" s="42" t="s">
        <v>148</v>
      </c>
      <c r="AG53" s="41">
        <v>2</v>
      </c>
      <c r="AH53" s="41">
        <v>3</v>
      </c>
      <c r="AI53" s="33">
        <f t="shared" si="10"/>
        <v>6</v>
      </c>
      <c r="AJ53" s="33" t="str">
        <f t="shared" si="11"/>
        <v>MEDIO</v>
      </c>
      <c r="AK53" s="33">
        <v>10</v>
      </c>
      <c r="AL53" s="33">
        <f t="shared" si="7"/>
        <v>60</v>
      </c>
      <c r="AM53" s="33" t="str">
        <f t="shared" si="12"/>
        <v>RIESGO ACEPTABLE</v>
      </c>
      <c r="AN53" s="34"/>
      <c r="AO53" s="34"/>
      <c r="AP53" s="42" t="s">
        <v>329</v>
      </c>
      <c r="AQ53" s="43" t="s">
        <v>331</v>
      </c>
      <c r="AR53" s="34"/>
      <c r="AS53" s="61" t="s">
        <v>156</v>
      </c>
      <c r="EQ53" s="15"/>
      <c r="ER53" s="15"/>
      <c r="ES53" s="15"/>
      <c r="ET53" s="15"/>
      <c r="EU53" s="15"/>
      <c r="EV53" s="15"/>
    </row>
    <row r="54" spans="1:152" s="8" customFormat="1" ht="48" x14ac:dyDescent="0.25">
      <c r="A54" s="193"/>
      <c r="B54" s="208"/>
      <c r="C54" s="166"/>
      <c r="D54" s="188"/>
      <c r="E54" s="190"/>
      <c r="F54" s="165"/>
      <c r="G54" s="165"/>
      <c r="H54" s="34" t="s">
        <v>138</v>
      </c>
      <c r="I54" s="34" t="s">
        <v>139</v>
      </c>
      <c r="J54" s="40" t="s">
        <v>277</v>
      </c>
      <c r="K54" s="32" t="s">
        <v>104</v>
      </c>
      <c r="L54" s="68" t="s">
        <v>141</v>
      </c>
      <c r="M54" s="73" t="s">
        <v>332</v>
      </c>
      <c r="N54" s="73" t="s">
        <v>333</v>
      </c>
      <c r="O54" s="73" t="s">
        <v>213</v>
      </c>
      <c r="P54" s="70">
        <v>2</v>
      </c>
      <c r="Q54" s="41">
        <v>2</v>
      </c>
      <c r="R54" s="33">
        <f t="shared" si="13"/>
        <v>4</v>
      </c>
      <c r="S54" s="33" t="str">
        <f t="shared" si="1"/>
        <v>BAJO</v>
      </c>
      <c r="T54" s="33">
        <v>10</v>
      </c>
      <c r="U54" s="75">
        <f t="shared" si="2"/>
        <v>40</v>
      </c>
      <c r="V54" s="33" t="str">
        <f t="shared" si="3"/>
        <v>lll</v>
      </c>
      <c r="W54" s="74" t="str">
        <f t="shared" si="4"/>
        <v>SI</v>
      </c>
      <c r="X54" s="33">
        <v>30</v>
      </c>
      <c r="Y54" s="31" t="s">
        <v>143</v>
      </c>
      <c r="Z54" s="33" t="s">
        <v>87</v>
      </c>
      <c r="AA54" s="34"/>
      <c r="AB54" s="34"/>
      <c r="AC54" s="42" t="s">
        <v>329</v>
      </c>
      <c r="AD54" s="34" t="s">
        <v>279</v>
      </c>
      <c r="AE54" s="34"/>
      <c r="AF54" s="34" t="s">
        <v>146</v>
      </c>
      <c r="AG54" s="41">
        <v>2</v>
      </c>
      <c r="AH54" s="41">
        <v>3</v>
      </c>
      <c r="AI54" s="33">
        <f t="shared" si="10"/>
        <v>6</v>
      </c>
      <c r="AJ54" s="33" t="str">
        <f t="shared" si="11"/>
        <v>MEDIO</v>
      </c>
      <c r="AK54" s="33">
        <v>10</v>
      </c>
      <c r="AL54" s="33">
        <f t="shared" si="7"/>
        <v>60</v>
      </c>
      <c r="AM54" s="33" t="str">
        <f t="shared" si="12"/>
        <v>RIESGO ACEPTABLE</v>
      </c>
      <c r="AN54" s="34"/>
      <c r="AO54" s="34"/>
      <c r="AP54" s="42" t="s">
        <v>329</v>
      </c>
      <c r="AQ54" s="34" t="s">
        <v>147</v>
      </c>
      <c r="AR54" s="34"/>
      <c r="AS54" s="61" t="s">
        <v>280</v>
      </c>
      <c r="EQ54" s="15"/>
      <c r="ER54" s="15"/>
      <c r="ES54" s="15"/>
      <c r="ET54" s="15"/>
      <c r="EU54" s="15"/>
      <c r="EV54" s="15"/>
    </row>
    <row r="55" spans="1:152" s="8" customFormat="1" ht="57.6" x14ac:dyDescent="0.25">
      <c r="A55" s="193"/>
      <c r="B55" s="208"/>
      <c r="C55" s="166"/>
      <c r="D55" s="188"/>
      <c r="E55" s="190"/>
      <c r="F55" s="165"/>
      <c r="G55" s="165"/>
      <c r="H55" s="34" t="s">
        <v>214</v>
      </c>
      <c r="I55" s="34" t="s">
        <v>139</v>
      </c>
      <c r="J55" s="47" t="s">
        <v>215</v>
      </c>
      <c r="K55" s="32" t="s">
        <v>104</v>
      </c>
      <c r="L55" s="68" t="s">
        <v>216</v>
      </c>
      <c r="M55" s="73" t="s">
        <v>84</v>
      </c>
      <c r="N55" s="73" t="s">
        <v>324</v>
      </c>
      <c r="O55" s="73" t="s">
        <v>217</v>
      </c>
      <c r="P55" s="70">
        <v>2</v>
      </c>
      <c r="Q55" s="41">
        <v>3</v>
      </c>
      <c r="R55" s="33">
        <f t="shared" si="13"/>
        <v>6</v>
      </c>
      <c r="S55" s="33" t="str">
        <f t="shared" si="1"/>
        <v>MEDIO</v>
      </c>
      <c r="T55" s="33">
        <v>10</v>
      </c>
      <c r="U55" s="75">
        <f t="shared" si="2"/>
        <v>60</v>
      </c>
      <c r="V55" s="33" t="str">
        <f t="shared" si="3"/>
        <v>lll</v>
      </c>
      <c r="W55" s="74" t="str">
        <f t="shared" si="4"/>
        <v>SI</v>
      </c>
      <c r="X55" s="33">
        <v>30</v>
      </c>
      <c r="Y55" s="31" t="s">
        <v>218</v>
      </c>
      <c r="Z55" s="33" t="s">
        <v>87</v>
      </c>
      <c r="AA55" s="46"/>
      <c r="AB55" s="33"/>
      <c r="AC55" s="42" t="s">
        <v>329</v>
      </c>
      <c r="AD55" s="42" t="s">
        <v>330</v>
      </c>
      <c r="AE55" s="42"/>
      <c r="AF55" s="42" t="s">
        <v>148</v>
      </c>
      <c r="AG55" s="41">
        <v>2</v>
      </c>
      <c r="AH55" s="41">
        <v>3</v>
      </c>
      <c r="AI55" s="33">
        <f t="shared" si="10"/>
        <v>6</v>
      </c>
      <c r="AJ55" s="33" t="str">
        <f t="shared" si="11"/>
        <v>MEDIO</v>
      </c>
      <c r="AK55" s="33">
        <v>10</v>
      </c>
      <c r="AL55" s="33">
        <f t="shared" si="7"/>
        <v>60</v>
      </c>
      <c r="AM55" s="33" t="str">
        <f t="shared" si="12"/>
        <v>RIESGO ACEPTABLE</v>
      </c>
      <c r="AN55" s="34"/>
      <c r="AO55" s="34"/>
      <c r="AP55" s="42" t="s">
        <v>329</v>
      </c>
      <c r="AQ55" s="34" t="s">
        <v>221</v>
      </c>
      <c r="AR55" s="34"/>
      <c r="AS55" s="61" t="s">
        <v>222</v>
      </c>
      <c r="EQ55" s="15"/>
      <c r="ER55" s="15"/>
      <c r="ES55" s="15"/>
      <c r="ET55" s="15"/>
      <c r="EU55" s="15"/>
      <c r="EV55" s="15"/>
    </row>
    <row r="56" spans="1:152" s="8" customFormat="1" ht="57.6" x14ac:dyDescent="0.25">
      <c r="A56" s="193"/>
      <c r="B56" s="208"/>
      <c r="C56" s="166"/>
      <c r="D56" s="188"/>
      <c r="E56" s="190"/>
      <c r="F56" s="165"/>
      <c r="G56" s="165"/>
      <c r="H56" s="34" t="s">
        <v>334</v>
      </c>
      <c r="I56" s="48" t="s">
        <v>158</v>
      </c>
      <c r="J56" s="32" t="s">
        <v>335</v>
      </c>
      <c r="K56" s="32" t="s">
        <v>248</v>
      </c>
      <c r="L56" s="68" t="s">
        <v>336</v>
      </c>
      <c r="M56" s="73" t="s">
        <v>332</v>
      </c>
      <c r="N56" s="73" t="s">
        <v>324</v>
      </c>
      <c r="O56" s="73" t="s">
        <v>337</v>
      </c>
      <c r="P56" s="70">
        <v>2</v>
      </c>
      <c r="Q56" s="41">
        <v>3</v>
      </c>
      <c r="R56" s="33">
        <f>P56*Q56</f>
        <v>6</v>
      </c>
      <c r="S56" s="33" t="str">
        <f t="shared" si="1"/>
        <v>MEDIO</v>
      </c>
      <c r="T56" s="33">
        <v>10</v>
      </c>
      <c r="U56" s="75">
        <f t="shared" si="2"/>
        <v>60</v>
      </c>
      <c r="V56" s="33" t="str">
        <f t="shared" si="3"/>
        <v>lll</v>
      </c>
      <c r="W56" s="74" t="str">
        <f t="shared" si="4"/>
        <v>SI</v>
      </c>
      <c r="X56" s="33">
        <v>30</v>
      </c>
      <c r="Y56" s="31" t="s">
        <v>178</v>
      </c>
      <c r="Z56" s="33" t="s">
        <v>87</v>
      </c>
      <c r="AA56" s="45"/>
      <c r="AB56" s="33"/>
      <c r="AC56" s="34"/>
      <c r="AD56" s="34" t="s">
        <v>338</v>
      </c>
      <c r="AE56" s="34" t="s">
        <v>93</v>
      </c>
      <c r="AF56" s="34" t="s">
        <v>339</v>
      </c>
      <c r="AG56" s="41">
        <v>2</v>
      </c>
      <c r="AH56" s="41">
        <v>3</v>
      </c>
      <c r="AI56" s="33">
        <f>AG56*AH56</f>
        <v>6</v>
      </c>
      <c r="AJ56" s="33" t="str">
        <f t="shared" si="11"/>
        <v>MEDIO</v>
      </c>
      <c r="AK56" s="33">
        <v>25</v>
      </c>
      <c r="AL56" s="33">
        <f t="shared" si="7"/>
        <v>150</v>
      </c>
      <c r="AM56" s="33" t="str">
        <f t="shared" si="12"/>
        <v>RIESGO ALTO</v>
      </c>
      <c r="AN56" s="34"/>
      <c r="AO56" s="34"/>
      <c r="AP56" s="34"/>
      <c r="AQ56" s="42" t="s">
        <v>340</v>
      </c>
      <c r="AR56" s="34"/>
      <c r="AS56" s="61" t="s">
        <v>339</v>
      </c>
      <c r="EQ56" s="15"/>
      <c r="ER56" s="15"/>
      <c r="ES56" s="15"/>
      <c r="ET56" s="15"/>
      <c r="EU56" s="15"/>
      <c r="EV56" s="15"/>
    </row>
    <row r="57" spans="1:152" s="8" customFormat="1" ht="38.4" x14ac:dyDescent="0.25">
      <c r="A57" s="193"/>
      <c r="B57" s="208"/>
      <c r="C57" s="166"/>
      <c r="D57" s="188"/>
      <c r="E57" s="190"/>
      <c r="F57" s="165"/>
      <c r="G57" s="165"/>
      <c r="H57" s="34" t="s">
        <v>341</v>
      </c>
      <c r="I57" s="48" t="s">
        <v>158</v>
      </c>
      <c r="J57" s="32" t="s">
        <v>342</v>
      </c>
      <c r="K57" s="32" t="s">
        <v>104</v>
      </c>
      <c r="L57" s="68" t="s">
        <v>336</v>
      </c>
      <c r="M57" s="73" t="s">
        <v>332</v>
      </c>
      <c r="N57" s="73" t="s">
        <v>161</v>
      </c>
      <c r="O57" s="73" t="s">
        <v>343</v>
      </c>
      <c r="P57" s="70">
        <v>2</v>
      </c>
      <c r="Q57" s="41">
        <v>3</v>
      </c>
      <c r="R57" s="33">
        <f t="shared" si="13"/>
        <v>6</v>
      </c>
      <c r="S57" s="33" t="str">
        <f t="shared" si="1"/>
        <v>MEDIO</v>
      </c>
      <c r="T57" s="33">
        <v>10</v>
      </c>
      <c r="U57" s="75">
        <f t="shared" si="2"/>
        <v>60</v>
      </c>
      <c r="V57" s="33" t="str">
        <f t="shared" si="3"/>
        <v>lll</v>
      </c>
      <c r="W57" s="74" t="str">
        <f t="shared" si="4"/>
        <v>SI</v>
      </c>
      <c r="X57" s="33">
        <v>30</v>
      </c>
      <c r="Y57" s="31" t="s">
        <v>178</v>
      </c>
      <c r="Z57" s="33" t="s">
        <v>87</v>
      </c>
      <c r="AA57" s="45"/>
      <c r="AB57" s="33"/>
      <c r="AC57" s="34"/>
      <c r="AD57" s="34" t="s">
        <v>344</v>
      </c>
      <c r="AE57" s="34" t="s">
        <v>93</v>
      </c>
      <c r="AF57" s="34" t="s">
        <v>345</v>
      </c>
      <c r="AG57" s="41">
        <v>2</v>
      </c>
      <c r="AH57" s="41">
        <v>3</v>
      </c>
      <c r="AI57" s="33">
        <f t="shared" si="10"/>
        <v>6</v>
      </c>
      <c r="AJ57" s="33" t="str">
        <f t="shared" si="11"/>
        <v>MEDIO</v>
      </c>
      <c r="AK57" s="33">
        <v>25</v>
      </c>
      <c r="AL57" s="33">
        <f t="shared" si="7"/>
        <v>150</v>
      </c>
      <c r="AM57" s="33" t="str">
        <f t="shared" si="12"/>
        <v>RIESGO ALTO</v>
      </c>
      <c r="AN57" s="34"/>
      <c r="AO57" s="34"/>
      <c r="AP57" s="34" t="s">
        <v>346</v>
      </c>
      <c r="AQ57" s="42" t="s">
        <v>347</v>
      </c>
      <c r="AR57" s="34" t="s">
        <v>348</v>
      </c>
      <c r="AS57" s="61" t="s">
        <v>345</v>
      </c>
      <c r="EQ57" s="15"/>
      <c r="ER57" s="15"/>
      <c r="ES57" s="15"/>
      <c r="ET57" s="15"/>
      <c r="EU57" s="15"/>
      <c r="EV57" s="15"/>
    </row>
    <row r="58" spans="1:152" s="8" customFormat="1" ht="67.2" x14ac:dyDescent="0.25">
      <c r="A58" s="193"/>
      <c r="B58" s="208"/>
      <c r="C58" s="166"/>
      <c r="D58" s="188"/>
      <c r="E58" s="190"/>
      <c r="F58" s="165"/>
      <c r="G58" s="165"/>
      <c r="H58" s="34" t="s">
        <v>290</v>
      </c>
      <c r="I58" s="168" t="s">
        <v>291</v>
      </c>
      <c r="J58" s="32" t="s">
        <v>349</v>
      </c>
      <c r="K58" s="34" t="s">
        <v>104</v>
      </c>
      <c r="L58" s="68" t="s">
        <v>293</v>
      </c>
      <c r="M58" s="73" t="s">
        <v>332</v>
      </c>
      <c r="N58" s="73" t="s">
        <v>106</v>
      </c>
      <c r="O58" s="73" t="s">
        <v>294</v>
      </c>
      <c r="P58" s="70">
        <v>2</v>
      </c>
      <c r="Q58" s="41">
        <v>3</v>
      </c>
      <c r="R58" s="33">
        <f t="shared" si="13"/>
        <v>6</v>
      </c>
      <c r="S58" s="33" t="str">
        <f t="shared" si="1"/>
        <v>MEDIO</v>
      </c>
      <c r="T58" s="33">
        <v>10</v>
      </c>
      <c r="U58" s="75">
        <f t="shared" si="2"/>
        <v>60</v>
      </c>
      <c r="V58" s="33" t="str">
        <f t="shared" si="3"/>
        <v>lll</v>
      </c>
      <c r="W58" s="74" t="str">
        <f t="shared" si="4"/>
        <v>SI</v>
      </c>
      <c r="X58" s="33">
        <v>30</v>
      </c>
      <c r="Y58" s="31" t="s">
        <v>295</v>
      </c>
      <c r="Z58" s="33" t="s">
        <v>87</v>
      </c>
      <c r="AA58" s="34"/>
      <c r="AB58" s="40"/>
      <c r="AC58" s="40"/>
      <c r="AD58" s="34" t="s">
        <v>350</v>
      </c>
      <c r="AE58" s="34" t="s">
        <v>93</v>
      </c>
      <c r="AF58" s="34" t="s">
        <v>182</v>
      </c>
      <c r="AG58" s="41">
        <v>2</v>
      </c>
      <c r="AH58" s="41">
        <v>3</v>
      </c>
      <c r="AI58" s="33">
        <f t="shared" si="10"/>
        <v>6</v>
      </c>
      <c r="AJ58" s="33" t="str">
        <f t="shared" si="11"/>
        <v>MEDIO</v>
      </c>
      <c r="AK58" s="33">
        <v>25</v>
      </c>
      <c r="AL58" s="33">
        <f t="shared" si="7"/>
        <v>150</v>
      </c>
      <c r="AM58" s="33" t="str">
        <f t="shared" si="12"/>
        <v>RIESGO ALTO</v>
      </c>
      <c r="AN58" s="34"/>
      <c r="AO58" s="40"/>
      <c r="AP58" s="40" t="s">
        <v>351</v>
      </c>
      <c r="AQ58" s="34" t="s">
        <v>352</v>
      </c>
      <c r="AR58" s="34" t="s">
        <v>93</v>
      </c>
      <c r="AS58" s="61" t="s">
        <v>353</v>
      </c>
      <c r="EQ58" s="15"/>
      <c r="ER58" s="15"/>
      <c r="ES58" s="15"/>
      <c r="ET58" s="15"/>
      <c r="EU58" s="15"/>
      <c r="EV58" s="15"/>
    </row>
    <row r="59" spans="1:152" s="8" customFormat="1" ht="57.6" x14ac:dyDescent="0.25">
      <c r="A59" s="193"/>
      <c r="B59" s="208"/>
      <c r="C59" s="166"/>
      <c r="D59" s="188"/>
      <c r="E59" s="190"/>
      <c r="F59" s="165"/>
      <c r="G59" s="165"/>
      <c r="H59" s="34" t="s">
        <v>354</v>
      </c>
      <c r="I59" s="168"/>
      <c r="J59" s="32" t="s">
        <v>355</v>
      </c>
      <c r="K59" s="34" t="s">
        <v>104</v>
      </c>
      <c r="L59" s="68" t="s">
        <v>356</v>
      </c>
      <c r="M59" s="73" t="s">
        <v>332</v>
      </c>
      <c r="N59" s="73" t="s">
        <v>333</v>
      </c>
      <c r="O59" s="73" t="s">
        <v>357</v>
      </c>
      <c r="P59" s="70">
        <v>2</v>
      </c>
      <c r="Q59" s="41">
        <v>3</v>
      </c>
      <c r="R59" s="33">
        <f t="shared" si="13"/>
        <v>6</v>
      </c>
      <c r="S59" s="33" t="str">
        <f t="shared" si="1"/>
        <v>MEDIO</v>
      </c>
      <c r="T59" s="33">
        <v>10</v>
      </c>
      <c r="U59" s="75">
        <f t="shared" si="2"/>
        <v>60</v>
      </c>
      <c r="V59" s="33" t="str">
        <f t="shared" si="3"/>
        <v>lll</v>
      </c>
      <c r="W59" s="74" t="str">
        <f t="shared" si="4"/>
        <v>SI</v>
      </c>
      <c r="X59" s="33">
        <v>30</v>
      </c>
      <c r="Y59" s="31" t="s">
        <v>358</v>
      </c>
      <c r="Z59" s="33" t="s">
        <v>87</v>
      </c>
      <c r="AA59" s="34"/>
      <c r="AB59" s="40"/>
      <c r="AC59" s="40" t="s">
        <v>359</v>
      </c>
      <c r="AD59" s="34" t="s">
        <v>360</v>
      </c>
      <c r="AE59" s="34" t="s">
        <v>93</v>
      </c>
      <c r="AF59" s="34" t="s">
        <v>353</v>
      </c>
      <c r="AG59" s="41">
        <v>2</v>
      </c>
      <c r="AH59" s="41">
        <v>3</v>
      </c>
      <c r="AI59" s="33">
        <f t="shared" si="10"/>
        <v>6</v>
      </c>
      <c r="AJ59" s="33" t="str">
        <f t="shared" si="11"/>
        <v>MEDIO</v>
      </c>
      <c r="AK59" s="33">
        <v>25</v>
      </c>
      <c r="AL59" s="33">
        <f t="shared" si="7"/>
        <v>150</v>
      </c>
      <c r="AM59" s="33" t="str">
        <f t="shared" si="12"/>
        <v>RIESGO ALTO</v>
      </c>
      <c r="AN59" s="34"/>
      <c r="AO59" s="40"/>
      <c r="AP59" s="40" t="s">
        <v>359</v>
      </c>
      <c r="AQ59" s="34" t="s">
        <v>352</v>
      </c>
      <c r="AR59" s="34" t="s">
        <v>93</v>
      </c>
      <c r="AS59" s="61" t="s">
        <v>353</v>
      </c>
      <c r="EQ59" s="15"/>
      <c r="ER59" s="15"/>
      <c r="ES59" s="15"/>
      <c r="ET59" s="15"/>
      <c r="EU59" s="15"/>
      <c r="EV59" s="15"/>
    </row>
    <row r="60" spans="1:152" s="8" customFormat="1" ht="48" x14ac:dyDescent="0.25">
      <c r="A60" s="193" t="s">
        <v>361</v>
      </c>
      <c r="B60" s="197" t="s">
        <v>96</v>
      </c>
      <c r="C60" s="166" t="s">
        <v>362</v>
      </c>
      <c r="D60" s="188" t="s">
        <v>363</v>
      </c>
      <c r="E60" s="190" t="s">
        <v>87</v>
      </c>
      <c r="F60" s="165" t="s">
        <v>364</v>
      </c>
      <c r="G60" s="165" t="s">
        <v>365</v>
      </c>
      <c r="H60" s="34" t="s">
        <v>183</v>
      </c>
      <c r="I60" s="168" t="s">
        <v>173</v>
      </c>
      <c r="J60" s="32" t="s">
        <v>366</v>
      </c>
      <c r="K60" s="34" t="s">
        <v>104</v>
      </c>
      <c r="L60" s="68" t="s">
        <v>185</v>
      </c>
      <c r="M60" s="73" t="s">
        <v>332</v>
      </c>
      <c r="N60" s="73" t="s">
        <v>278</v>
      </c>
      <c r="O60" s="73" t="s">
        <v>367</v>
      </c>
      <c r="P60" s="70">
        <v>2</v>
      </c>
      <c r="Q60" s="41">
        <v>3</v>
      </c>
      <c r="R60" s="33">
        <f t="shared" si="13"/>
        <v>6</v>
      </c>
      <c r="S60" s="33" t="str">
        <f t="shared" si="1"/>
        <v>MEDIO</v>
      </c>
      <c r="T60" s="33">
        <v>10</v>
      </c>
      <c r="U60" s="75">
        <f t="shared" si="2"/>
        <v>60</v>
      </c>
      <c r="V60" s="33" t="str">
        <f t="shared" si="3"/>
        <v>lll</v>
      </c>
      <c r="W60" s="74" t="str">
        <f t="shared" si="4"/>
        <v>SI</v>
      </c>
      <c r="X60" s="33">
        <v>4</v>
      </c>
      <c r="Y60" s="31" t="s">
        <v>178</v>
      </c>
      <c r="Z60" s="33" t="s">
        <v>87</v>
      </c>
      <c r="AA60" s="34"/>
      <c r="AB60" s="40"/>
      <c r="AC60" s="40"/>
      <c r="AD60" s="34" t="s">
        <v>368</v>
      </c>
      <c r="AE60" s="34" t="s">
        <v>369</v>
      </c>
      <c r="AF60" s="34" t="s">
        <v>370</v>
      </c>
      <c r="AG60" s="41">
        <v>2</v>
      </c>
      <c r="AH60" s="41">
        <v>3</v>
      </c>
      <c r="AI60" s="33">
        <f t="shared" si="10"/>
        <v>6</v>
      </c>
      <c r="AJ60" s="33" t="str">
        <f t="shared" si="11"/>
        <v>MEDIO</v>
      </c>
      <c r="AK60" s="33">
        <v>10</v>
      </c>
      <c r="AL60" s="33">
        <f t="shared" si="7"/>
        <v>60</v>
      </c>
      <c r="AM60" s="33" t="str">
        <f t="shared" si="12"/>
        <v>RIESGO ACEPTABLE</v>
      </c>
      <c r="AN60" s="34"/>
      <c r="AO60" s="40"/>
      <c r="AP60" s="40"/>
      <c r="AQ60" s="34" t="s">
        <v>371</v>
      </c>
      <c r="AR60" s="34" t="s">
        <v>369</v>
      </c>
      <c r="AS60" s="61" t="s">
        <v>370</v>
      </c>
      <c r="EQ60" s="15"/>
      <c r="ER60" s="15"/>
      <c r="ES60" s="15"/>
      <c r="ET60" s="15"/>
      <c r="EU60" s="15"/>
      <c r="EV60" s="15"/>
    </row>
    <row r="61" spans="1:152" s="8" customFormat="1" ht="48" x14ac:dyDescent="0.25">
      <c r="A61" s="193"/>
      <c r="B61" s="197"/>
      <c r="C61" s="166"/>
      <c r="D61" s="188"/>
      <c r="E61" s="190"/>
      <c r="F61" s="165"/>
      <c r="G61" s="165"/>
      <c r="H61" s="34" t="s">
        <v>372</v>
      </c>
      <c r="I61" s="168"/>
      <c r="J61" s="32" t="s">
        <v>373</v>
      </c>
      <c r="K61" s="34" t="s">
        <v>104</v>
      </c>
      <c r="L61" s="68" t="s">
        <v>374</v>
      </c>
      <c r="M61" s="73" t="s">
        <v>332</v>
      </c>
      <c r="N61" s="73" t="s">
        <v>278</v>
      </c>
      <c r="O61" s="73" t="s">
        <v>375</v>
      </c>
      <c r="P61" s="70">
        <v>2</v>
      </c>
      <c r="Q61" s="41">
        <v>3</v>
      </c>
      <c r="R61" s="33">
        <f t="shared" si="13"/>
        <v>6</v>
      </c>
      <c r="S61" s="33" t="str">
        <f t="shared" si="1"/>
        <v>MEDIO</v>
      </c>
      <c r="T61" s="33">
        <v>10</v>
      </c>
      <c r="U61" s="75">
        <f t="shared" si="2"/>
        <v>60</v>
      </c>
      <c r="V61" s="33" t="str">
        <f t="shared" si="3"/>
        <v>lll</v>
      </c>
      <c r="W61" s="74" t="str">
        <f t="shared" si="4"/>
        <v>SI</v>
      </c>
      <c r="X61" s="33">
        <v>4</v>
      </c>
      <c r="Y61" s="31" t="s">
        <v>376</v>
      </c>
      <c r="Z61" s="33" t="s">
        <v>87</v>
      </c>
      <c r="AA61" s="34"/>
      <c r="AB61" s="40"/>
      <c r="AC61" s="40" t="s">
        <v>377</v>
      </c>
      <c r="AD61" s="34" t="s">
        <v>368</v>
      </c>
      <c r="AE61" s="34" t="s">
        <v>369</v>
      </c>
      <c r="AF61" s="34" t="s">
        <v>370</v>
      </c>
      <c r="AG61" s="41">
        <v>2</v>
      </c>
      <c r="AH61" s="41">
        <v>3</v>
      </c>
      <c r="AI61" s="33">
        <f t="shared" si="10"/>
        <v>6</v>
      </c>
      <c r="AJ61" s="33" t="str">
        <f t="shared" si="11"/>
        <v>MEDIO</v>
      </c>
      <c r="AK61" s="33">
        <v>10</v>
      </c>
      <c r="AL61" s="33">
        <f t="shared" si="7"/>
        <v>60</v>
      </c>
      <c r="AM61" s="33" t="str">
        <f t="shared" si="12"/>
        <v>RIESGO ACEPTABLE</v>
      </c>
      <c r="AN61" s="34"/>
      <c r="AO61" s="40"/>
      <c r="AP61" s="40"/>
      <c r="AQ61" s="34" t="s">
        <v>371</v>
      </c>
      <c r="AR61" s="34" t="s">
        <v>369</v>
      </c>
      <c r="AS61" s="61" t="s">
        <v>370</v>
      </c>
      <c r="EQ61" s="15"/>
      <c r="ER61" s="15"/>
      <c r="ES61" s="15"/>
      <c r="ET61" s="15"/>
      <c r="EU61" s="15"/>
      <c r="EV61" s="15"/>
    </row>
    <row r="62" spans="1:152" s="8" customFormat="1" ht="48" x14ac:dyDescent="0.25">
      <c r="A62" s="193"/>
      <c r="B62" s="197"/>
      <c r="C62" s="166"/>
      <c r="D62" s="188"/>
      <c r="E62" s="190"/>
      <c r="F62" s="165"/>
      <c r="G62" s="165"/>
      <c r="H62" s="34" t="s">
        <v>191</v>
      </c>
      <c r="I62" s="168"/>
      <c r="J62" s="32" t="s">
        <v>378</v>
      </c>
      <c r="K62" s="34" t="s">
        <v>104</v>
      </c>
      <c r="L62" s="68" t="s">
        <v>193</v>
      </c>
      <c r="M62" s="73" t="s">
        <v>332</v>
      </c>
      <c r="N62" s="73" t="s">
        <v>278</v>
      </c>
      <c r="O62" s="73" t="s">
        <v>379</v>
      </c>
      <c r="P62" s="70">
        <v>2</v>
      </c>
      <c r="Q62" s="41">
        <v>3</v>
      </c>
      <c r="R62" s="33">
        <f t="shared" si="13"/>
        <v>6</v>
      </c>
      <c r="S62" s="33" t="str">
        <f t="shared" si="1"/>
        <v>MEDIO</v>
      </c>
      <c r="T62" s="33">
        <v>10</v>
      </c>
      <c r="U62" s="75">
        <f t="shared" si="2"/>
        <v>60</v>
      </c>
      <c r="V62" s="33" t="str">
        <f t="shared" si="3"/>
        <v>lll</v>
      </c>
      <c r="W62" s="74" t="str">
        <f t="shared" si="4"/>
        <v>SI</v>
      </c>
      <c r="X62" s="33">
        <v>4</v>
      </c>
      <c r="Y62" s="31" t="s">
        <v>195</v>
      </c>
      <c r="Z62" s="33" t="s">
        <v>87</v>
      </c>
      <c r="AA62" s="34"/>
      <c r="AB62" s="40"/>
      <c r="AC62" s="40"/>
      <c r="AD62" s="34" t="s">
        <v>368</v>
      </c>
      <c r="AE62" s="34" t="s">
        <v>369</v>
      </c>
      <c r="AF62" s="34" t="s">
        <v>370</v>
      </c>
      <c r="AG62" s="41">
        <v>2</v>
      </c>
      <c r="AH62" s="41">
        <v>3</v>
      </c>
      <c r="AI62" s="33">
        <f t="shared" si="10"/>
        <v>6</v>
      </c>
      <c r="AJ62" s="33" t="str">
        <f t="shared" si="11"/>
        <v>MEDIO</v>
      </c>
      <c r="AK62" s="33">
        <v>10</v>
      </c>
      <c r="AL62" s="33">
        <f t="shared" si="7"/>
        <v>60</v>
      </c>
      <c r="AM62" s="33" t="str">
        <f t="shared" si="12"/>
        <v>RIESGO ACEPTABLE</v>
      </c>
      <c r="AN62" s="34"/>
      <c r="AO62" s="40"/>
      <c r="AP62" s="40"/>
      <c r="AQ62" s="34" t="s">
        <v>197</v>
      </c>
      <c r="AR62" s="34" t="s">
        <v>369</v>
      </c>
      <c r="AS62" s="61" t="s">
        <v>370</v>
      </c>
      <c r="EQ62" s="15"/>
      <c r="ER62" s="15"/>
      <c r="ES62" s="15"/>
      <c r="ET62" s="15"/>
      <c r="EU62" s="15"/>
      <c r="EV62" s="15"/>
    </row>
    <row r="63" spans="1:152" s="8" customFormat="1" ht="48" x14ac:dyDescent="0.25">
      <c r="A63" s="193"/>
      <c r="B63" s="197"/>
      <c r="C63" s="166"/>
      <c r="D63" s="188"/>
      <c r="E63" s="190"/>
      <c r="F63" s="165"/>
      <c r="G63" s="165"/>
      <c r="H63" s="34" t="s">
        <v>380</v>
      </c>
      <c r="I63" s="34" t="s">
        <v>381</v>
      </c>
      <c r="J63" s="34" t="s">
        <v>382</v>
      </c>
      <c r="K63" s="34" t="s">
        <v>104</v>
      </c>
      <c r="L63" s="68" t="s">
        <v>383</v>
      </c>
      <c r="M63" s="73" t="s">
        <v>332</v>
      </c>
      <c r="N63" s="73" t="s">
        <v>278</v>
      </c>
      <c r="O63" s="73" t="s">
        <v>384</v>
      </c>
      <c r="P63" s="71">
        <v>2</v>
      </c>
      <c r="Q63" s="44">
        <v>3</v>
      </c>
      <c r="R63" s="33">
        <f t="shared" si="13"/>
        <v>6</v>
      </c>
      <c r="S63" s="33" t="str">
        <f t="shared" si="1"/>
        <v>MEDIO</v>
      </c>
      <c r="T63" s="33">
        <v>10</v>
      </c>
      <c r="U63" s="75">
        <f t="shared" si="2"/>
        <v>60</v>
      </c>
      <c r="V63" s="33" t="str">
        <f t="shared" si="3"/>
        <v>lll</v>
      </c>
      <c r="W63" s="74" t="str">
        <f t="shared" si="4"/>
        <v>SI</v>
      </c>
      <c r="X63" s="33">
        <v>4</v>
      </c>
      <c r="Y63" s="31" t="s">
        <v>385</v>
      </c>
      <c r="Z63" s="33" t="s">
        <v>87</v>
      </c>
      <c r="AA63" s="45"/>
      <c r="AB63" s="32"/>
      <c r="AC63" s="40"/>
      <c r="AD63" s="34" t="s">
        <v>386</v>
      </c>
      <c r="AE63" s="34" t="s">
        <v>93</v>
      </c>
      <c r="AF63" s="34"/>
      <c r="AG63" s="44">
        <v>2</v>
      </c>
      <c r="AH63" s="44">
        <v>3</v>
      </c>
      <c r="AI63" s="33">
        <f t="shared" si="10"/>
        <v>6</v>
      </c>
      <c r="AJ63" s="33" t="str">
        <f t="shared" si="11"/>
        <v>MEDIO</v>
      </c>
      <c r="AK63" s="33">
        <v>10</v>
      </c>
      <c r="AL63" s="33">
        <f t="shared" si="7"/>
        <v>60</v>
      </c>
      <c r="AM63" s="33" t="str">
        <f t="shared" si="12"/>
        <v>RIESGO ACEPTABLE</v>
      </c>
      <c r="AN63" s="33"/>
      <c r="AO63" s="32"/>
      <c r="AP63" s="40"/>
      <c r="AQ63" s="34" t="s">
        <v>387</v>
      </c>
      <c r="AR63" s="34"/>
      <c r="AS63" s="61" t="s">
        <v>388</v>
      </c>
      <c r="EQ63" s="15"/>
      <c r="ER63" s="15"/>
      <c r="ES63" s="15"/>
      <c r="ET63" s="15"/>
      <c r="EU63" s="15"/>
      <c r="EV63" s="15"/>
    </row>
    <row r="64" spans="1:152" s="8" customFormat="1" ht="48" x14ac:dyDescent="0.25">
      <c r="A64" s="193"/>
      <c r="B64" s="197"/>
      <c r="C64" s="166"/>
      <c r="D64" s="188"/>
      <c r="E64" s="190"/>
      <c r="F64" s="165"/>
      <c r="G64" s="165"/>
      <c r="H64" s="34" t="s">
        <v>253</v>
      </c>
      <c r="I64" s="165" t="s">
        <v>115</v>
      </c>
      <c r="J64" s="32" t="s">
        <v>389</v>
      </c>
      <c r="K64" s="34" t="s">
        <v>104</v>
      </c>
      <c r="L64" s="68" t="s">
        <v>255</v>
      </c>
      <c r="M64" s="73" t="s">
        <v>332</v>
      </c>
      <c r="N64" s="73" t="s">
        <v>278</v>
      </c>
      <c r="O64" s="73" t="s">
        <v>256</v>
      </c>
      <c r="P64" s="70">
        <v>6</v>
      </c>
      <c r="Q64" s="70">
        <v>2</v>
      </c>
      <c r="R64" s="33">
        <f t="shared" si="13"/>
        <v>12</v>
      </c>
      <c r="S64" s="33" t="str">
        <f t="shared" si="1"/>
        <v>ALTO</v>
      </c>
      <c r="T64" s="33">
        <v>10</v>
      </c>
      <c r="U64" s="75">
        <f t="shared" si="2"/>
        <v>120</v>
      </c>
      <c r="V64" s="33" t="str">
        <f t="shared" si="3"/>
        <v>lll</v>
      </c>
      <c r="W64" s="74" t="str">
        <f t="shared" si="4"/>
        <v>SI</v>
      </c>
      <c r="X64" s="33">
        <v>4</v>
      </c>
      <c r="Y64" s="31" t="s">
        <v>257</v>
      </c>
      <c r="Z64" s="33" t="s">
        <v>87</v>
      </c>
      <c r="AA64" s="34"/>
      <c r="AB64" s="40"/>
      <c r="AC64" s="40"/>
      <c r="AD64" s="34" t="s">
        <v>390</v>
      </c>
      <c r="AE64" s="34" t="s">
        <v>93</v>
      </c>
      <c r="AF64" s="34" t="s">
        <v>391</v>
      </c>
      <c r="AG64" s="41">
        <v>2</v>
      </c>
      <c r="AH64" s="41">
        <v>3</v>
      </c>
      <c r="AI64" s="33">
        <f t="shared" si="10"/>
        <v>6</v>
      </c>
      <c r="AJ64" s="33" t="str">
        <f t="shared" si="11"/>
        <v>MEDIO</v>
      </c>
      <c r="AK64" s="33">
        <v>25</v>
      </c>
      <c r="AL64" s="33">
        <f t="shared" si="7"/>
        <v>150</v>
      </c>
      <c r="AM64" s="33" t="str">
        <f t="shared" si="12"/>
        <v>RIESGO ALTO</v>
      </c>
      <c r="AN64" s="34"/>
      <c r="AO64" s="40"/>
      <c r="AP64" s="40"/>
      <c r="AQ64" s="34" t="s">
        <v>392</v>
      </c>
      <c r="AR64" s="34" t="s">
        <v>93</v>
      </c>
      <c r="AS64" s="61" t="s">
        <v>391</v>
      </c>
      <c r="EQ64" s="15"/>
      <c r="ER64" s="15"/>
      <c r="ES64" s="15"/>
      <c r="ET64" s="15"/>
      <c r="EU64" s="15"/>
      <c r="EV64" s="15"/>
    </row>
    <row r="65" spans="1:152" s="8" customFormat="1" ht="48" x14ac:dyDescent="0.25">
      <c r="A65" s="193"/>
      <c r="B65" s="197"/>
      <c r="C65" s="166"/>
      <c r="D65" s="188"/>
      <c r="E65" s="190"/>
      <c r="F65" s="165"/>
      <c r="G65" s="165"/>
      <c r="H65" s="34" t="s">
        <v>393</v>
      </c>
      <c r="I65" s="165"/>
      <c r="J65" s="34" t="s">
        <v>394</v>
      </c>
      <c r="K65" s="34" t="s">
        <v>104</v>
      </c>
      <c r="L65" s="68" t="s">
        <v>395</v>
      </c>
      <c r="M65" s="73" t="s">
        <v>332</v>
      </c>
      <c r="N65" s="73" t="s">
        <v>278</v>
      </c>
      <c r="O65" s="73" t="s">
        <v>396</v>
      </c>
      <c r="P65" s="71">
        <v>2</v>
      </c>
      <c r="Q65" s="44">
        <v>1</v>
      </c>
      <c r="R65" s="33">
        <f>P65*Q65</f>
        <v>2</v>
      </c>
      <c r="S65" s="33" t="str">
        <f t="shared" si="1"/>
        <v>BAJO</v>
      </c>
      <c r="T65" s="33">
        <v>10</v>
      </c>
      <c r="U65" s="75">
        <f t="shared" si="2"/>
        <v>20</v>
      </c>
      <c r="V65" s="33" t="str">
        <f t="shared" si="3"/>
        <v xml:space="preserve">IV </v>
      </c>
      <c r="W65" s="74" t="b">
        <f t="shared" si="4"/>
        <v>0</v>
      </c>
      <c r="X65" s="33">
        <v>4</v>
      </c>
      <c r="Y65" s="31" t="s">
        <v>397</v>
      </c>
      <c r="Z65" s="33" t="s">
        <v>87</v>
      </c>
      <c r="AA65" s="45"/>
      <c r="AB65" s="32" t="s">
        <v>398</v>
      </c>
      <c r="AC65" s="40" t="s">
        <v>399</v>
      </c>
      <c r="AD65" s="34" t="s">
        <v>400</v>
      </c>
      <c r="AE65" s="34" t="s">
        <v>401</v>
      </c>
      <c r="AF65" s="34" t="s">
        <v>402</v>
      </c>
      <c r="AG65" s="44">
        <v>2</v>
      </c>
      <c r="AH65" s="44">
        <v>4</v>
      </c>
      <c r="AI65" s="33">
        <f t="shared" si="10"/>
        <v>8</v>
      </c>
      <c r="AJ65" s="33" t="str">
        <f t="shared" si="11"/>
        <v>MEDIO</v>
      </c>
      <c r="AK65" s="33">
        <v>10</v>
      </c>
      <c r="AL65" s="33">
        <f t="shared" si="7"/>
        <v>80</v>
      </c>
      <c r="AM65" s="33" t="str">
        <f t="shared" si="12"/>
        <v>RIESGO ACEPTABLE</v>
      </c>
      <c r="AN65" s="33"/>
      <c r="AO65" s="32" t="s">
        <v>403</v>
      </c>
      <c r="AP65" s="40" t="s">
        <v>404</v>
      </c>
      <c r="AQ65" s="34" t="s">
        <v>405</v>
      </c>
      <c r="AR65" s="34" t="s">
        <v>406</v>
      </c>
      <c r="AS65" s="61" t="s">
        <v>402</v>
      </c>
      <c r="EQ65" s="15"/>
      <c r="ER65" s="15"/>
      <c r="ES65" s="15"/>
      <c r="ET65" s="15"/>
      <c r="EU65" s="15"/>
      <c r="EV65" s="15"/>
    </row>
    <row r="66" spans="1:152" s="8" customFormat="1" ht="67.2" x14ac:dyDescent="0.25">
      <c r="A66" s="193"/>
      <c r="B66" s="197"/>
      <c r="C66" s="166"/>
      <c r="D66" s="188"/>
      <c r="E66" s="190"/>
      <c r="F66" s="165"/>
      <c r="G66" s="165"/>
      <c r="H66" s="34" t="s">
        <v>114</v>
      </c>
      <c r="I66" s="165"/>
      <c r="J66" s="34" t="s">
        <v>263</v>
      </c>
      <c r="K66" s="34" t="s">
        <v>104</v>
      </c>
      <c r="L66" s="68" t="s">
        <v>117</v>
      </c>
      <c r="M66" s="73" t="s">
        <v>84</v>
      </c>
      <c r="N66" s="73" t="s">
        <v>106</v>
      </c>
      <c r="O66" s="73" t="s">
        <v>264</v>
      </c>
      <c r="P66" s="71">
        <v>2</v>
      </c>
      <c r="Q66" s="44">
        <v>3</v>
      </c>
      <c r="R66" s="33">
        <f>P66*Q66</f>
        <v>6</v>
      </c>
      <c r="S66" s="33" t="str">
        <f t="shared" si="1"/>
        <v>MEDIO</v>
      </c>
      <c r="T66" s="33">
        <v>10</v>
      </c>
      <c r="U66" s="75">
        <f t="shared" si="2"/>
        <v>60</v>
      </c>
      <c r="V66" s="33" t="str">
        <f t="shared" si="3"/>
        <v>lll</v>
      </c>
      <c r="W66" s="74" t="str">
        <f t="shared" si="4"/>
        <v>SI</v>
      </c>
      <c r="X66" s="33">
        <v>4</v>
      </c>
      <c r="Y66" s="31" t="s">
        <v>119</v>
      </c>
      <c r="Z66" s="33" t="s">
        <v>87</v>
      </c>
      <c r="AA66" s="45"/>
      <c r="AB66" s="32"/>
      <c r="AC66" s="34" t="s">
        <v>120</v>
      </c>
      <c r="AD66" s="34" t="s">
        <v>121</v>
      </c>
      <c r="AE66" s="34" t="s">
        <v>407</v>
      </c>
      <c r="AF66" s="34" t="s">
        <v>408</v>
      </c>
      <c r="AG66" s="44">
        <v>2</v>
      </c>
      <c r="AH66" s="44">
        <v>3</v>
      </c>
      <c r="AI66" s="33">
        <f t="shared" si="10"/>
        <v>6</v>
      </c>
      <c r="AJ66" s="33" t="str">
        <f t="shared" si="11"/>
        <v>MEDIO</v>
      </c>
      <c r="AK66" s="33">
        <v>10</v>
      </c>
      <c r="AL66" s="33">
        <f t="shared" si="7"/>
        <v>60</v>
      </c>
      <c r="AM66" s="33" t="str">
        <f t="shared" si="12"/>
        <v>RIESGO ACEPTABLE</v>
      </c>
      <c r="AN66" s="33"/>
      <c r="AO66" s="32"/>
      <c r="AP66" s="34" t="s">
        <v>120</v>
      </c>
      <c r="AQ66" s="34" t="s">
        <v>125</v>
      </c>
      <c r="AR66" s="34" t="s">
        <v>126</v>
      </c>
      <c r="AS66" s="61" t="s">
        <v>127</v>
      </c>
      <c r="EQ66" s="15"/>
      <c r="ER66" s="15"/>
      <c r="ES66" s="15"/>
      <c r="ET66" s="15"/>
      <c r="EU66" s="15"/>
      <c r="EV66" s="15"/>
    </row>
    <row r="67" spans="1:152" s="8" customFormat="1" ht="48" x14ac:dyDescent="0.25">
      <c r="A67" s="193"/>
      <c r="B67" s="197"/>
      <c r="C67" s="166"/>
      <c r="D67" s="188"/>
      <c r="E67" s="190"/>
      <c r="F67" s="165"/>
      <c r="G67" s="165"/>
      <c r="H67" s="34" t="s">
        <v>409</v>
      </c>
      <c r="I67" s="165"/>
      <c r="J67" s="34" t="s">
        <v>410</v>
      </c>
      <c r="K67" s="34" t="s">
        <v>104</v>
      </c>
      <c r="L67" s="68" t="s">
        <v>411</v>
      </c>
      <c r="M67" s="73" t="s">
        <v>332</v>
      </c>
      <c r="N67" s="73" t="s">
        <v>278</v>
      </c>
      <c r="O67" s="73" t="s">
        <v>412</v>
      </c>
      <c r="P67" s="70">
        <v>2</v>
      </c>
      <c r="Q67" s="44">
        <v>3</v>
      </c>
      <c r="R67" s="33">
        <f t="shared" si="13"/>
        <v>6</v>
      </c>
      <c r="S67" s="33" t="str">
        <f t="shared" si="1"/>
        <v>MEDIO</v>
      </c>
      <c r="T67" s="33">
        <v>10</v>
      </c>
      <c r="U67" s="75">
        <f t="shared" si="2"/>
        <v>60</v>
      </c>
      <c r="V67" s="33" t="str">
        <f t="shared" si="3"/>
        <v>lll</v>
      </c>
      <c r="W67" s="74" t="str">
        <f t="shared" si="4"/>
        <v>SI</v>
      </c>
      <c r="X67" s="33">
        <v>4</v>
      </c>
      <c r="Y67" s="31" t="s">
        <v>413</v>
      </c>
      <c r="Z67" s="33" t="s">
        <v>87</v>
      </c>
      <c r="AA67" s="45"/>
      <c r="AB67" s="32"/>
      <c r="AC67" s="40"/>
      <c r="AD67" s="34" t="s">
        <v>390</v>
      </c>
      <c r="AE67" s="34" t="s">
        <v>93</v>
      </c>
      <c r="AF67" s="34" t="s">
        <v>391</v>
      </c>
      <c r="AG67" s="44">
        <v>2</v>
      </c>
      <c r="AH67" s="44">
        <v>3</v>
      </c>
      <c r="AI67" s="33">
        <f t="shared" si="10"/>
        <v>6</v>
      </c>
      <c r="AJ67" s="33" t="str">
        <f t="shared" si="11"/>
        <v>MEDIO</v>
      </c>
      <c r="AK67" s="33">
        <v>25</v>
      </c>
      <c r="AL67" s="33">
        <f t="shared" si="7"/>
        <v>150</v>
      </c>
      <c r="AM67" s="33" t="str">
        <f t="shared" si="12"/>
        <v>RIESGO ALTO</v>
      </c>
      <c r="AN67" s="33"/>
      <c r="AO67" s="32"/>
      <c r="AP67" s="40"/>
      <c r="AQ67" s="34" t="s">
        <v>392</v>
      </c>
      <c r="AR67" s="34" t="s">
        <v>93</v>
      </c>
      <c r="AS67" s="61" t="s">
        <v>391</v>
      </c>
      <c r="EQ67" s="15"/>
      <c r="ER67" s="15"/>
      <c r="ES67" s="15"/>
      <c r="ET67" s="15"/>
      <c r="EU67" s="15"/>
      <c r="EV67" s="15"/>
    </row>
    <row r="68" spans="1:152" s="8" customFormat="1" ht="67.2" x14ac:dyDescent="0.25">
      <c r="A68" s="193"/>
      <c r="B68" s="197"/>
      <c r="C68" s="166"/>
      <c r="D68" s="188"/>
      <c r="E68" s="190"/>
      <c r="F68" s="165"/>
      <c r="G68" s="165"/>
      <c r="H68" s="34" t="s">
        <v>205</v>
      </c>
      <c r="I68" s="165" t="s">
        <v>102</v>
      </c>
      <c r="J68" s="47" t="s">
        <v>414</v>
      </c>
      <c r="K68" s="32" t="s">
        <v>104</v>
      </c>
      <c r="L68" s="68" t="s">
        <v>207</v>
      </c>
      <c r="M68" s="73" t="s">
        <v>332</v>
      </c>
      <c r="N68" s="73" t="s">
        <v>106</v>
      </c>
      <c r="O68" s="73" t="s">
        <v>415</v>
      </c>
      <c r="P68" s="70">
        <v>2</v>
      </c>
      <c r="Q68" s="41">
        <v>3</v>
      </c>
      <c r="R68" s="33">
        <f t="shared" si="13"/>
        <v>6</v>
      </c>
      <c r="S68" s="33" t="str">
        <f t="shared" si="1"/>
        <v>MEDIO</v>
      </c>
      <c r="T68" s="33">
        <v>10</v>
      </c>
      <c r="U68" s="75">
        <f t="shared" si="2"/>
        <v>60</v>
      </c>
      <c r="V68" s="33" t="str">
        <f t="shared" si="3"/>
        <v>lll</v>
      </c>
      <c r="W68" s="74" t="str">
        <f t="shared" si="4"/>
        <v>SI</v>
      </c>
      <c r="X68" s="33">
        <v>4</v>
      </c>
      <c r="Y68" s="31" t="s">
        <v>209</v>
      </c>
      <c r="Z68" s="33" t="s">
        <v>87</v>
      </c>
      <c r="AA68" s="45"/>
      <c r="AB68" s="32" t="s">
        <v>271</v>
      </c>
      <c r="AC68" s="34" t="s">
        <v>416</v>
      </c>
      <c r="AD68" s="34" t="s">
        <v>210</v>
      </c>
      <c r="AE68" s="34" t="s">
        <v>274</v>
      </c>
      <c r="AF68" s="34" t="s">
        <v>320</v>
      </c>
      <c r="AG68" s="41">
        <v>2</v>
      </c>
      <c r="AH68" s="41">
        <v>3</v>
      </c>
      <c r="AI68" s="33">
        <f t="shared" si="10"/>
        <v>6</v>
      </c>
      <c r="AJ68" s="33" t="str">
        <f t="shared" si="11"/>
        <v>MEDIO</v>
      </c>
      <c r="AK68" s="33">
        <v>25</v>
      </c>
      <c r="AL68" s="33">
        <f t="shared" si="7"/>
        <v>150</v>
      </c>
      <c r="AM68" s="33" t="str">
        <f t="shared" si="12"/>
        <v>RIESGO ALTO</v>
      </c>
      <c r="AN68" s="34"/>
      <c r="AO68" s="34"/>
      <c r="AP68" s="34" t="s">
        <v>211</v>
      </c>
      <c r="AQ68" s="34" t="s">
        <v>269</v>
      </c>
      <c r="AR68" s="34" t="s">
        <v>212</v>
      </c>
      <c r="AS68" s="61" t="s">
        <v>320</v>
      </c>
      <c r="EQ68" s="15"/>
      <c r="ER68" s="15"/>
      <c r="ES68" s="15"/>
      <c r="ET68" s="15"/>
      <c r="EU68" s="15"/>
      <c r="EV68" s="15"/>
    </row>
    <row r="69" spans="1:152" s="8" customFormat="1" ht="48" x14ac:dyDescent="0.25">
      <c r="A69" s="193"/>
      <c r="B69" s="197"/>
      <c r="C69" s="166"/>
      <c r="D69" s="188"/>
      <c r="E69" s="190"/>
      <c r="F69" s="165"/>
      <c r="G69" s="165"/>
      <c r="H69" s="34" t="s">
        <v>101</v>
      </c>
      <c r="I69" s="165"/>
      <c r="J69" s="32" t="s">
        <v>417</v>
      </c>
      <c r="K69" s="40" t="s">
        <v>104</v>
      </c>
      <c r="L69" s="68" t="s">
        <v>105</v>
      </c>
      <c r="M69" s="73" t="s">
        <v>332</v>
      </c>
      <c r="N69" s="73" t="s">
        <v>278</v>
      </c>
      <c r="O69" s="73" t="s">
        <v>107</v>
      </c>
      <c r="P69" s="70">
        <v>2</v>
      </c>
      <c r="Q69" s="41">
        <v>3</v>
      </c>
      <c r="R69" s="33">
        <f t="shared" si="13"/>
        <v>6</v>
      </c>
      <c r="S69" s="33" t="str">
        <f t="shared" si="1"/>
        <v>MEDIO</v>
      </c>
      <c r="T69" s="33">
        <v>10</v>
      </c>
      <c r="U69" s="75">
        <f t="shared" si="2"/>
        <v>60</v>
      </c>
      <c r="V69" s="33" t="str">
        <f t="shared" si="3"/>
        <v>lll</v>
      </c>
      <c r="W69" s="74" t="str">
        <f t="shared" si="4"/>
        <v>SI</v>
      </c>
      <c r="X69" s="33">
        <v>4</v>
      </c>
      <c r="Y69" s="31" t="s">
        <v>108</v>
      </c>
      <c r="Z69" s="33" t="s">
        <v>87</v>
      </c>
      <c r="AA69" s="34"/>
      <c r="AB69" s="32" t="s">
        <v>271</v>
      </c>
      <c r="AC69" s="34" t="s">
        <v>418</v>
      </c>
      <c r="AD69" s="34" t="s">
        <v>210</v>
      </c>
      <c r="AE69" s="34" t="s">
        <v>274</v>
      </c>
      <c r="AF69" s="34" t="s">
        <v>320</v>
      </c>
      <c r="AG69" s="41">
        <v>2</v>
      </c>
      <c r="AH69" s="41">
        <v>3</v>
      </c>
      <c r="AI69" s="33">
        <f t="shared" si="10"/>
        <v>6</v>
      </c>
      <c r="AJ69" s="33" t="str">
        <f t="shared" si="11"/>
        <v>MEDIO</v>
      </c>
      <c r="AK69" s="33">
        <v>25</v>
      </c>
      <c r="AL69" s="33">
        <f t="shared" si="7"/>
        <v>150</v>
      </c>
      <c r="AM69" s="33" t="str">
        <f t="shared" si="12"/>
        <v>RIESGO ALTO</v>
      </c>
      <c r="AN69" s="34"/>
      <c r="AO69" s="34"/>
      <c r="AP69" s="42" t="s">
        <v>419</v>
      </c>
      <c r="AQ69" s="43" t="s">
        <v>111</v>
      </c>
      <c r="AR69" s="34" t="s">
        <v>112</v>
      </c>
      <c r="AS69" s="61" t="s">
        <v>320</v>
      </c>
      <c r="EQ69" s="15"/>
      <c r="ER69" s="15"/>
      <c r="ES69" s="15"/>
      <c r="ET69" s="15"/>
      <c r="EU69" s="15"/>
      <c r="EV69" s="15"/>
    </row>
    <row r="70" spans="1:152" s="8" customFormat="1" ht="48" x14ac:dyDescent="0.25">
      <c r="A70" s="193"/>
      <c r="B70" s="197"/>
      <c r="C70" s="166"/>
      <c r="D70" s="188"/>
      <c r="E70" s="190"/>
      <c r="F70" s="165"/>
      <c r="G70" s="165"/>
      <c r="H70" s="34" t="s">
        <v>138</v>
      </c>
      <c r="I70" s="165" t="s">
        <v>139</v>
      </c>
      <c r="J70" s="40" t="s">
        <v>140</v>
      </c>
      <c r="K70" s="32" t="s">
        <v>104</v>
      </c>
      <c r="L70" s="68" t="s">
        <v>141</v>
      </c>
      <c r="M70" s="73" t="s">
        <v>332</v>
      </c>
      <c r="N70" s="73" t="s">
        <v>278</v>
      </c>
      <c r="O70" s="73" t="s">
        <v>213</v>
      </c>
      <c r="P70" s="70">
        <v>2</v>
      </c>
      <c r="Q70" s="41">
        <v>2</v>
      </c>
      <c r="R70" s="33">
        <f t="shared" si="13"/>
        <v>4</v>
      </c>
      <c r="S70" s="33" t="str">
        <f t="shared" si="1"/>
        <v>BAJO</v>
      </c>
      <c r="T70" s="33">
        <v>10</v>
      </c>
      <c r="U70" s="75">
        <f t="shared" si="2"/>
        <v>40</v>
      </c>
      <c r="V70" s="33" t="str">
        <f t="shared" si="3"/>
        <v>lll</v>
      </c>
      <c r="W70" s="74" t="str">
        <f t="shared" si="4"/>
        <v>SI</v>
      </c>
      <c r="X70" s="33">
        <v>4</v>
      </c>
      <c r="Y70" s="31" t="s">
        <v>143</v>
      </c>
      <c r="Z70" s="33" t="s">
        <v>87</v>
      </c>
      <c r="AA70" s="34"/>
      <c r="AB70" s="34"/>
      <c r="AC70" s="34"/>
      <c r="AD70" s="34" t="s">
        <v>420</v>
      </c>
      <c r="AE70" s="34"/>
      <c r="AF70" s="34" t="s">
        <v>146</v>
      </c>
      <c r="AG70" s="41">
        <v>2</v>
      </c>
      <c r="AH70" s="41">
        <v>3</v>
      </c>
      <c r="AI70" s="33">
        <f t="shared" si="10"/>
        <v>6</v>
      </c>
      <c r="AJ70" s="33" t="str">
        <f t="shared" si="11"/>
        <v>MEDIO</v>
      </c>
      <c r="AK70" s="33">
        <v>10</v>
      </c>
      <c r="AL70" s="33">
        <f t="shared" si="7"/>
        <v>60</v>
      </c>
      <c r="AM70" s="33" t="str">
        <f t="shared" si="12"/>
        <v>RIESGO ACEPTABLE</v>
      </c>
      <c r="AN70" s="34"/>
      <c r="AO70" s="34"/>
      <c r="AP70" s="34"/>
      <c r="AQ70" s="34" t="s">
        <v>147</v>
      </c>
      <c r="AR70" s="34"/>
      <c r="AS70" s="61" t="s">
        <v>421</v>
      </c>
      <c r="EQ70" s="15"/>
      <c r="ER70" s="15"/>
      <c r="ES70" s="15"/>
      <c r="ET70" s="15"/>
      <c r="EU70" s="15"/>
      <c r="EV70" s="15"/>
    </row>
    <row r="71" spans="1:152" s="8" customFormat="1" ht="48" x14ac:dyDescent="0.25">
      <c r="A71" s="193"/>
      <c r="B71" s="197"/>
      <c r="C71" s="166"/>
      <c r="D71" s="188"/>
      <c r="E71" s="190"/>
      <c r="F71" s="165"/>
      <c r="G71" s="165"/>
      <c r="H71" s="34" t="s">
        <v>214</v>
      </c>
      <c r="I71" s="165"/>
      <c r="J71" s="47" t="s">
        <v>422</v>
      </c>
      <c r="K71" s="32" t="s">
        <v>104</v>
      </c>
      <c r="L71" s="68" t="s">
        <v>216</v>
      </c>
      <c r="M71" s="73" t="s">
        <v>84</v>
      </c>
      <c r="N71" s="73" t="s">
        <v>278</v>
      </c>
      <c r="O71" s="73" t="s">
        <v>217</v>
      </c>
      <c r="P71" s="70">
        <v>2</v>
      </c>
      <c r="Q71" s="41">
        <v>3</v>
      </c>
      <c r="R71" s="33">
        <f t="shared" si="13"/>
        <v>6</v>
      </c>
      <c r="S71" s="33" t="str">
        <f t="shared" si="1"/>
        <v>MEDIO</v>
      </c>
      <c r="T71" s="33">
        <v>10</v>
      </c>
      <c r="U71" s="75">
        <f t="shared" si="2"/>
        <v>60</v>
      </c>
      <c r="V71" s="33" t="str">
        <f t="shared" si="3"/>
        <v>lll</v>
      </c>
      <c r="W71" s="74" t="str">
        <f t="shared" si="4"/>
        <v>SI</v>
      </c>
      <c r="X71" s="33">
        <v>4</v>
      </c>
      <c r="Y71" s="31" t="s">
        <v>218</v>
      </c>
      <c r="Z71" s="33" t="s">
        <v>87</v>
      </c>
      <c r="AA71" s="46"/>
      <c r="AB71" s="33"/>
      <c r="AC71" s="34"/>
      <c r="AD71" s="34" t="s">
        <v>420</v>
      </c>
      <c r="AE71" s="34"/>
      <c r="AF71" s="34" t="s">
        <v>146</v>
      </c>
      <c r="AG71" s="41">
        <v>2</v>
      </c>
      <c r="AH71" s="41">
        <v>3</v>
      </c>
      <c r="AI71" s="33">
        <f t="shared" si="10"/>
        <v>6</v>
      </c>
      <c r="AJ71" s="33" t="str">
        <f t="shared" si="11"/>
        <v>MEDIO</v>
      </c>
      <c r="AK71" s="33">
        <v>10</v>
      </c>
      <c r="AL71" s="33">
        <f t="shared" si="7"/>
        <v>60</v>
      </c>
      <c r="AM71" s="33" t="str">
        <f t="shared" si="12"/>
        <v>RIESGO ACEPTABLE</v>
      </c>
      <c r="AN71" s="34"/>
      <c r="AO71" s="34"/>
      <c r="AP71" s="34"/>
      <c r="AQ71" s="34" t="s">
        <v>221</v>
      </c>
      <c r="AR71" s="34"/>
      <c r="AS71" s="61" t="s">
        <v>421</v>
      </c>
      <c r="EQ71" s="15"/>
      <c r="ER71" s="15"/>
      <c r="ES71" s="15"/>
      <c r="ET71" s="15"/>
      <c r="EU71" s="15"/>
      <c r="EV71" s="15"/>
    </row>
    <row r="72" spans="1:152" s="8" customFormat="1" ht="67.2" x14ac:dyDescent="0.25">
      <c r="A72" s="193"/>
      <c r="B72" s="197"/>
      <c r="C72" s="166"/>
      <c r="D72" s="188"/>
      <c r="E72" s="190"/>
      <c r="F72" s="165"/>
      <c r="G72" s="165"/>
      <c r="H72" s="34" t="s">
        <v>149</v>
      </c>
      <c r="I72" s="165"/>
      <c r="J72" s="32" t="s">
        <v>150</v>
      </c>
      <c r="K72" s="40" t="s">
        <v>104</v>
      </c>
      <c r="L72" s="68" t="s">
        <v>151</v>
      </c>
      <c r="M72" s="73" t="s">
        <v>84</v>
      </c>
      <c r="N72" s="73" t="s">
        <v>106</v>
      </c>
      <c r="O72" s="73" t="s">
        <v>213</v>
      </c>
      <c r="P72" s="70">
        <v>2</v>
      </c>
      <c r="Q72" s="41">
        <v>3</v>
      </c>
      <c r="R72" s="33">
        <f t="shared" si="13"/>
        <v>6</v>
      </c>
      <c r="S72" s="33" t="str">
        <f t="shared" si="1"/>
        <v>MEDIO</v>
      </c>
      <c r="T72" s="33">
        <v>10</v>
      </c>
      <c r="U72" s="75">
        <f t="shared" si="2"/>
        <v>60</v>
      </c>
      <c r="V72" s="33" t="str">
        <f t="shared" si="3"/>
        <v>lll</v>
      </c>
      <c r="W72" s="74" t="str">
        <f t="shared" si="4"/>
        <v>SI</v>
      </c>
      <c r="X72" s="33">
        <v>4</v>
      </c>
      <c r="Y72" s="31" t="s">
        <v>143</v>
      </c>
      <c r="Z72" s="33" t="s">
        <v>87</v>
      </c>
      <c r="AA72" s="34"/>
      <c r="AB72" s="34"/>
      <c r="AC72" s="42"/>
      <c r="AD72" s="34" t="s">
        <v>420</v>
      </c>
      <c r="AE72" s="34"/>
      <c r="AF72" s="34" t="s">
        <v>146</v>
      </c>
      <c r="AG72" s="41">
        <v>2</v>
      </c>
      <c r="AH72" s="41">
        <v>3</v>
      </c>
      <c r="AI72" s="33">
        <f t="shared" si="10"/>
        <v>6</v>
      </c>
      <c r="AJ72" s="33" t="str">
        <f t="shared" si="11"/>
        <v>MEDIO</v>
      </c>
      <c r="AK72" s="33">
        <v>10</v>
      </c>
      <c r="AL72" s="33">
        <f t="shared" si="7"/>
        <v>60</v>
      </c>
      <c r="AM72" s="33" t="str">
        <f t="shared" si="12"/>
        <v>RIESGO ACEPTABLE</v>
      </c>
      <c r="AN72" s="34"/>
      <c r="AO72" s="34"/>
      <c r="AP72" s="42"/>
      <c r="AQ72" s="43" t="s">
        <v>155</v>
      </c>
      <c r="AR72" s="34"/>
      <c r="AS72" s="61" t="s">
        <v>421</v>
      </c>
      <c r="EQ72" s="15"/>
      <c r="ER72" s="15"/>
      <c r="ES72" s="15"/>
      <c r="ET72" s="15"/>
      <c r="EU72" s="15"/>
      <c r="EV72" s="15"/>
    </row>
    <row r="73" spans="1:152" s="8" customFormat="1" ht="48" x14ac:dyDescent="0.25">
      <c r="A73" s="193"/>
      <c r="B73" s="197"/>
      <c r="C73" s="166"/>
      <c r="D73" s="188"/>
      <c r="E73" s="190"/>
      <c r="F73" s="165"/>
      <c r="G73" s="165"/>
      <c r="H73" s="34" t="s">
        <v>242</v>
      </c>
      <c r="I73" s="32" t="s">
        <v>129</v>
      </c>
      <c r="J73" s="32" t="s">
        <v>130</v>
      </c>
      <c r="K73" s="32" t="s">
        <v>104</v>
      </c>
      <c r="L73" s="68" t="s">
        <v>243</v>
      </c>
      <c r="M73" s="73" t="s">
        <v>84</v>
      </c>
      <c r="N73" s="73" t="s">
        <v>278</v>
      </c>
      <c r="O73" s="73" t="s">
        <v>132</v>
      </c>
      <c r="P73" s="70">
        <v>2</v>
      </c>
      <c r="Q73" s="41">
        <v>3</v>
      </c>
      <c r="R73" s="33">
        <f t="shared" si="13"/>
        <v>6</v>
      </c>
      <c r="S73" s="33" t="str">
        <f t="shared" si="1"/>
        <v>MEDIO</v>
      </c>
      <c r="T73" s="33">
        <v>10</v>
      </c>
      <c r="U73" s="75">
        <f t="shared" si="2"/>
        <v>60</v>
      </c>
      <c r="V73" s="33" t="str">
        <f t="shared" si="3"/>
        <v>lll</v>
      </c>
      <c r="W73" s="74" t="str">
        <f t="shared" si="4"/>
        <v>SI</v>
      </c>
      <c r="X73" s="33">
        <v>4</v>
      </c>
      <c r="Y73" s="31" t="s">
        <v>133</v>
      </c>
      <c r="Z73" s="33" t="s">
        <v>87</v>
      </c>
      <c r="AA73" s="46"/>
      <c r="AB73" s="33"/>
      <c r="AC73" s="34"/>
      <c r="AD73" s="34" t="s">
        <v>244</v>
      </c>
      <c r="AE73" s="34"/>
      <c r="AF73" s="34" t="s">
        <v>245</v>
      </c>
      <c r="AG73" s="41">
        <v>2</v>
      </c>
      <c r="AH73" s="41">
        <v>3</v>
      </c>
      <c r="AI73" s="33">
        <f t="shared" si="10"/>
        <v>6</v>
      </c>
      <c r="AJ73" s="33" t="str">
        <f t="shared" si="11"/>
        <v>MEDIO</v>
      </c>
      <c r="AK73" s="33">
        <v>10</v>
      </c>
      <c r="AL73" s="33">
        <f t="shared" si="7"/>
        <v>60</v>
      </c>
      <c r="AM73" s="33" t="str">
        <f t="shared" si="12"/>
        <v>RIESGO ACEPTABLE</v>
      </c>
      <c r="AN73" s="34"/>
      <c r="AO73" s="34"/>
      <c r="AP73" s="34"/>
      <c r="AQ73" s="34" t="s">
        <v>136</v>
      </c>
      <c r="AR73" s="34" t="s">
        <v>93</v>
      </c>
      <c r="AS73" s="61" t="s">
        <v>245</v>
      </c>
      <c r="EQ73" s="15"/>
      <c r="ER73" s="15"/>
      <c r="ES73" s="15"/>
      <c r="ET73" s="15"/>
      <c r="EU73" s="15"/>
      <c r="EV73" s="15"/>
    </row>
    <row r="74" spans="1:152" s="8" customFormat="1" ht="86.4" x14ac:dyDescent="0.25">
      <c r="A74" s="195" t="s">
        <v>423</v>
      </c>
      <c r="B74" s="198" t="s">
        <v>424</v>
      </c>
      <c r="C74" s="166" t="s">
        <v>425</v>
      </c>
      <c r="D74" s="196" t="s">
        <v>426</v>
      </c>
      <c r="E74" s="165" t="s">
        <v>87</v>
      </c>
      <c r="F74" s="165" t="s">
        <v>427</v>
      </c>
      <c r="G74" s="165" t="s">
        <v>428</v>
      </c>
      <c r="H74" s="34" t="s">
        <v>183</v>
      </c>
      <c r="I74" s="48" t="s">
        <v>173</v>
      </c>
      <c r="J74" s="34" t="s">
        <v>429</v>
      </c>
      <c r="K74" s="34" t="s">
        <v>104</v>
      </c>
      <c r="L74" s="68" t="s">
        <v>185</v>
      </c>
      <c r="M74" s="73" t="s">
        <v>332</v>
      </c>
      <c r="N74" s="73" t="s">
        <v>176</v>
      </c>
      <c r="O74" s="73" t="s">
        <v>430</v>
      </c>
      <c r="P74" s="70">
        <v>2</v>
      </c>
      <c r="Q74" s="41">
        <v>3</v>
      </c>
      <c r="R74" s="33">
        <f>P74*Q74</f>
        <v>6</v>
      </c>
      <c r="S74" s="33" t="str">
        <f t="shared" si="1"/>
        <v>MEDIO</v>
      </c>
      <c r="T74" s="33">
        <v>10</v>
      </c>
      <c r="U74" s="75">
        <f t="shared" si="2"/>
        <v>60</v>
      </c>
      <c r="V74" s="33" t="str">
        <f t="shared" si="3"/>
        <v>lll</v>
      </c>
      <c r="W74" s="74" t="str">
        <f t="shared" si="4"/>
        <v>SI</v>
      </c>
      <c r="X74" s="33">
        <v>8</v>
      </c>
      <c r="Y74" s="31" t="s">
        <v>178</v>
      </c>
      <c r="Z74" s="33" t="s">
        <v>87</v>
      </c>
      <c r="AA74" s="45"/>
      <c r="AB74" s="32"/>
      <c r="AC74" s="40"/>
      <c r="AD74" s="34" t="s">
        <v>431</v>
      </c>
      <c r="AE74" s="34"/>
      <c r="AF74" s="34"/>
      <c r="AG74" s="44">
        <v>2</v>
      </c>
      <c r="AH74" s="44">
        <v>1</v>
      </c>
      <c r="AI74" s="33">
        <f t="shared" si="10"/>
        <v>2</v>
      </c>
      <c r="AJ74" s="33" t="str">
        <f t="shared" si="11"/>
        <v>BAJO</v>
      </c>
      <c r="AK74" s="33">
        <v>25</v>
      </c>
      <c r="AL74" s="33">
        <f t="shared" si="7"/>
        <v>50</v>
      </c>
      <c r="AM74" s="33" t="str">
        <f t="shared" si="12"/>
        <v>RIESGO ACEPTABLE</v>
      </c>
      <c r="AN74" s="33"/>
      <c r="AO74" s="32"/>
      <c r="AP74" s="40"/>
      <c r="AQ74" s="34" t="s">
        <v>432</v>
      </c>
      <c r="AR74" s="34"/>
      <c r="AS74" s="61"/>
      <c r="EQ74" s="15"/>
      <c r="ER74" s="15"/>
      <c r="ES74" s="15"/>
      <c r="ET74" s="15"/>
      <c r="EU74" s="15"/>
      <c r="EV74" s="15"/>
    </row>
    <row r="75" spans="1:152" s="8" customFormat="1" ht="86.4" x14ac:dyDescent="0.25">
      <c r="A75" s="195"/>
      <c r="B75" s="198"/>
      <c r="C75" s="166"/>
      <c r="D75" s="196"/>
      <c r="E75" s="165"/>
      <c r="F75" s="165"/>
      <c r="G75" s="165"/>
      <c r="H75" s="34" t="s">
        <v>393</v>
      </c>
      <c r="I75" s="168" t="s">
        <v>115</v>
      </c>
      <c r="J75" s="34" t="s">
        <v>433</v>
      </c>
      <c r="K75" s="34" t="s">
        <v>104</v>
      </c>
      <c r="L75" s="68" t="s">
        <v>395</v>
      </c>
      <c r="M75" s="73" t="s">
        <v>332</v>
      </c>
      <c r="N75" s="73" t="s">
        <v>176</v>
      </c>
      <c r="O75" s="73" t="s">
        <v>396</v>
      </c>
      <c r="P75" s="71">
        <v>2</v>
      </c>
      <c r="Q75" s="44">
        <v>1</v>
      </c>
      <c r="R75" s="33">
        <f>P75*Q75</f>
        <v>2</v>
      </c>
      <c r="S75" s="33" t="str">
        <f t="shared" si="1"/>
        <v>BAJO</v>
      </c>
      <c r="T75" s="33">
        <v>10</v>
      </c>
      <c r="U75" s="75">
        <f t="shared" si="2"/>
        <v>20</v>
      </c>
      <c r="V75" s="33" t="str">
        <f>IF(AND(U75=20),"IV ",IF(AND(U75&gt;=40,U75&lt;=120),"lll",IF(AND(U75&gt;=150,U75&lt;=500),"ll",IF(AND(U75&gt;=600,U75&lt;=4000),"l"))))</f>
        <v xml:space="preserve">IV </v>
      </c>
      <c r="W75" s="33" t="s">
        <v>87</v>
      </c>
      <c r="X75" s="33">
        <v>8</v>
      </c>
      <c r="Y75" s="31" t="s">
        <v>397</v>
      </c>
      <c r="Z75" s="33" t="s">
        <v>87</v>
      </c>
      <c r="AA75" s="45"/>
      <c r="AB75" s="32"/>
      <c r="AC75" s="40"/>
      <c r="AD75" s="34" t="s">
        <v>431</v>
      </c>
      <c r="AE75" s="34"/>
      <c r="AF75" s="34" t="s">
        <v>434</v>
      </c>
      <c r="AG75" s="44">
        <v>2</v>
      </c>
      <c r="AH75" s="44">
        <v>1</v>
      </c>
      <c r="AI75" s="33">
        <f t="shared" si="10"/>
        <v>2</v>
      </c>
      <c r="AJ75" s="33" t="str">
        <f t="shared" si="11"/>
        <v>BAJO</v>
      </c>
      <c r="AK75" s="33">
        <v>10</v>
      </c>
      <c r="AL75" s="33">
        <f t="shared" si="7"/>
        <v>20</v>
      </c>
      <c r="AM75" s="33" t="str">
        <f t="shared" si="12"/>
        <v>RIESGO ACEPTABLE</v>
      </c>
      <c r="AN75" s="33"/>
      <c r="AO75" s="32"/>
      <c r="AP75" s="40"/>
      <c r="AQ75" s="34" t="s">
        <v>432</v>
      </c>
      <c r="AR75" s="34"/>
      <c r="AS75" s="61" t="s">
        <v>434</v>
      </c>
      <c r="EQ75" s="15"/>
      <c r="ER75" s="15"/>
      <c r="ES75" s="15"/>
      <c r="ET75" s="15"/>
      <c r="EU75" s="15"/>
      <c r="EV75" s="15"/>
    </row>
    <row r="76" spans="1:152" s="8" customFormat="1" ht="86.4" x14ac:dyDescent="0.25">
      <c r="A76" s="195"/>
      <c r="B76" s="198"/>
      <c r="C76" s="166"/>
      <c r="D76" s="196"/>
      <c r="E76" s="165"/>
      <c r="F76" s="165"/>
      <c r="G76" s="165"/>
      <c r="H76" s="34" t="s">
        <v>246</v>
      </c>
      <c r="I76" s="168"/>
      <c r="J76" s="32" t="s">
        <v>435</v>
      </c>
      <c r="K76" s="34" t="s">
        <v>104</v>
      </c>
      <c r="L76" s="68" t="s">
        <v>249</v>
      </c>
      <c r="M76" s="73" t="s">
        <v>332</v>
      </c>
      <c r="N76" s="73" t="s">
        <v>176</v>
      </c>
      <c r="O76" s="73" t="s">
        <v>250</v>
      </c>
      <c r="P76" s="70">
        <v>2</v>
      </c>
      <c r="Q76" s="41">
        <v>2</v>
      </c>
      <c r="R76" s="33">
        <f>P76*Q76</f>
        <v>4</v>
      </c>
      <c r="S76" s="33" t="str">
        <f t="shared" si="1"/>
        <v>BAJO</v>
      </c>
      <c r="T76" s="33">
        <v>10</v>
      </c>
      <c r="U76" s="75">
        <f t="shared" si="2"/>
        <v>40</v>
      </c>
      <c r="V76" s="33" t="str">
        <f t="shared" si="3"/>
        <v>lll</v>
      </c>
      <c r="W76" s="74" t="str">
        <f t="shared" si="4"/>
        <v>SI</v>
      </c>
      <c r="X76" s="33">
        <v>8</v>
      </c>
      <c r="Y76" s="31" t="s">
        <v>251</v>
      </c>
      <c r="Z76" s="33" t="s">
        <v>87</v>
      </c>
      <c r="AA76" s="34"/>
      <c r="AB76" s="34"/>
      <c r="AC76" s="40"/>
      <c r="AD76" s="40"/>
      <c r="AE76" s="34" t="s">
        <v>436</v>
      </c>
      <c r="AF76" s="34"/>
      <c r="AG76" s="41">
        <v>6</v>
      </c>
      <c r="AH76" s="41">
        <v>2</v>
      </c>
      <c r="AI76" s="33">
        <f>AG76*AH76</f>
        <v>12</v>
      </c>
      <c r="AJ76" s="33" t="str">
        <f>IF(AND(AI76&gt;=0,AI76&lt;=4),"BAJO",IF(AND(AI76&gt;=6,AI76&lt;=8),"MEDIO",IF(AND(AI76&gt;=10,AI76&lt;=20),"ALTO",IF(AND(AI76&gt;=24,AI76&lt;=40),"MUY ALTO"))))</f>
        <v>ALTO</v>
      </c>
      <c r="AK76" s="33">
        <v>10</v>
      </c>
      <c r="AL76" s="33">
        <f t="shared" si="7"/>
        <v>120</v>
      </c>
      <c r="AM76" s="33" t="str">
        <f>IF(AND(AL76&gt;=0,AL76&lt;=120),"RIESGO ACEPTABLE",IF(AND(AL76&gt;=150,AL76&lt;=500),"RIESGO ALTO",IF(AND(AL76&gt;=600,AL76&lt;=4000),"RIESGO NO ACEPTABLE")))</f>
        <v>RIESGO ACEPTABLE</v>
      </c>
      <c r="AN76" s="34"/>
      <c r="AO76" s="34"/>
      <c r="AP76" s="40"/>
      <c r="AQ76" s="40" t="s">
        <v>437</v>
      </c>
      <c r="AR76" s="34"/>
      <c r="AS76" s="61" t="s">
        <v>436</v>
      </c>
      <c r="EQ76" s="15"/>
      <c r="ER76" s="15"/>
      <c r="ES76" s="15"/>
      <c r="ET76" s="15"/>
      <c r="EU76" s="15"/>
      <c r="EV76" s="15"/>
    </row>
    <row r="77" spans="1:152" s="8" customFormat="1" ht="57.6" x14ac:dyDescent="0.25">
      <c r="A77" s="195"/>
      <c r="B77" s="198"/>
      <c r="C77" s="166"/>
      <c r="D77" s="196"/>
      <c r="E77" s="165"/>
      <c r="F77" s="165"/>
      <c r="G77" s="165"/>
      <c r="H77" s="34" t="s">
        <v>114</v>
      </c>
      <c r="I77" s="168"/>
      <c r="J77" s="34" t="s">
        <v>263</v>
      </c>
      <c r="K77" s="34" t="s">
        <v>104</v>
      </c>
      <c r="L77" s="68" t="s">
        <v>117</v>
      </c>
      <c r="M77" s="73" t="s">
        <v>84</v>
      </c>
      <c r="N77" s="73" t="s">
        <v>438</v>
      </c>
      <c r="O77" s="73" t="s">
        <v>264</v>
      </c>
      <c r="P77" s="70">
        <v>2</v>
      </c>
      <c r="Q77" s="44">
        <v>3</v>
      </c>
      <c r="R77" s="33">
        <f t="shared" ref="R77:R140" si="14">P77*Q77</f>
        <v>6</v>
      </c>
      <c r="S77" s="33" t="str">
        <f t="shared" si="1"/>
        <v>MEDIO</v>
      </c>
      <c r="T77" s="33">
        <v>10</v>
      </c>
      <c r="U77" s="75">
        <f t="shared" si="2"/>
        <v>60</v>
      </c>
      <c r="V77" s="33" t="str">
        <f t="shared" si="3"/>
        <v>lll</v>
      </c>
      <c r="W77" s="74" t="str">
        <f t="shared" si="4"/>
        <v>SI</v>
      </c>
      <c r="X77" s="33">
        <v>8</v>
      </c>
      <c r="Y77" s="31" t="s">
        <v>119</v>
      </c>
      <c r="Z77" s="33" t="s">
        <v>87</v>
      </c>
      <c r="AA77" s="45"/>
      <c r="AB77" s="32"/>
      <c r="AC77" s="40"/>
      <c r="AD77" s="34" t="s">
        <v>123</v>
      </c>
      <c r="AE77" s="34" t="s">
        <v>93</v>
      </c>
      <c r="AF77" s="34"/>
      <c r="AG77" s="44">
        <v>2</v>
      </c>
      <c r="AH77" s="44">
        <v>3</v>
      </c>
      <c r="AI77" s="33">
        <f t="shared" si="10"/>
        <v>6</v>
      </c>
      <c r="AJ77" s="33" t="str">
        <f t="shared" si="11"/>
        <v>MEDIO</v>
      </c>
      <c r="AK77" s="33">
        <v>10</v>
      </c>
      <c r="AL77" s="33">
        <f t="shared" si="7"/>
        <v>60</v>
      </c>
      <c r="AM77" s="33" t="str">
        <f t="shared" si="12"/>
        <v>RIESGO ACEPTABLE</v>
      </c>
      <c r="AN77" s="33"/>
      <c r="AO77" s="32"/>
      <c r="AP77" s="40" t="s">
        <v>439</v>
      </c>
      <c r="AQ77" s="34" t="s">
        <v>125</v>
      </c>
      <c r="AR77" s="34" t="s">
        <v>126</v>
      </c>
      <c r="AS77" s="61" t="s">
        <v>127</v>
      </c>
      <c r="EQ77" s="15"/>
      <c r="ER77" s="15"/>
      <c r="ES77" s="15"/>
      <c r="ET77" s="15"/>
      <c r="EU77" s="15"/>
      <c r="EV77" s="15"/>
    </row>
    <row r="78" spans="1:152" s="8" customFormat="1" ht="86.4" x14ac:dyDescent="0.25">
      <c r="A78" s="195"/>
      <c r="B78" s="198"/>
      <c r="C78" s="166"/>
      <c r="D78" s="196"/>
      <c r="E78" s="165"/>
      <c r="F78" s="165"/>
      <c r="G78" s="165"/>
      <c r="H78" s="34" t="s">
        <v>440</v>
      </c>
      <c r="I78" s="168"/>
      <c r="J78" s="47" t="s">
        <v>441</v>
      </c>
      <c r="K78" s="32" t="s">
        <v>104</v>
      </c>
      <c r="L78" s="68" t="s">
        <v>442</v>
      </c>
      <c r="M78" s="73" t="s">
        <v>332</v>
      </c>
      <c r="N78" s="73" t="s">
        <v>176</v>
      </c>
      <c r="O78" s="73" t="s">
        <v>443</v>
      </c>
      <c r="P78" s="70">
        <v>2</v>
      </c>
      <c r="Q78" s="41">
        <v>3</v>
      </c>
      <c r="R78" s="33">
        <f t="shared" si="14"/>
        <v>6</v>
      </c>
      <c r="S78" s="33" t="str">
        <f t="shared" si="1"/>
        <v>MEDIO</v>
      </c>
      <c r="T78" s="33">
        <v>10</v>
      </c>
      <c r="U78" s="75">
        <f t="shared" si="2"/>
        <v>60</v>
      </c>
      <c r="V78" s="33" t="str">
        <f t="shared" si="3"/>
        <v>lll</v>
      </c>
      <c r="W78" s="74" t="str">
        <f t="shared" si="4"/>
        <v>SI</v>
      </c>
      <c r="X78" s="33">
        <v>8</v>
      </c>
      <c r="Y78" s="31" t="s">
        <v>444</v>
      </c>
      <c r="Z78" s="33" t="s">
        <v>87</v>
      </c>
      <c r="AA78" s="45"/>
      <c r="AB78" s="33"/>
      <c r="AC78" s="34"/>
      <c r="AD78" s="34" t="s">
        <v>445</v>
      </c>
      <c r="AE78" s="34"/>
      <c r="AF78" s="34"/>
      <c r="AG78" s="41">
        <v>2</v>
      </c>
      <c r="AH78" s="41">
        <v>3</v>
      </c>
      <c r="AI78" s="33">
        <f t="shared" si="10"/>
        <v>6</v>
      </c>
      <c r="AJ78" s="33" t="str">
        <f t="shared" si="11"/>
        <v>MEDIO</v>
      </c>
      <c r="AK78" s="33">
        <v>10</v>
      </c>
      <c r="AL78" s="33">
        <f t="shared" si="7"/>
        <v>60</v>
      </c>
      <c r="AM78" s="33" t="str">
        <f t="shared" si="12"/>
        <v>RIESGO ACEPTABLE</v>
      </c>
      <c r="AN78" s="34"/>
      <c r="AO78" s="34"/>
      <c r="AP78" s="34"/>
      <c r="AQ78" s="34" t="s">
        <v>446</v>
      </c>
      <c r="AR78" s="34"/>
      <c r="AS78" s="61"/>
      <c r="EQ78" s="15"/>
      <c r="ER78" s="15"/>
      <c r="ES78" s="15"/>
      <c r="ET78" s="15"/>
      <c r="EU78" s="15"/>
      <c r="EV78" s="15"/>
    </row>
    <row r="79" spans="1:152" s="8" customFormat="1" ht="86.4" x14ac:dyDescent="0.25">
      <c r="A79" s="195"/>
      <c r="B79" s="198"/>
      <c r="C79" s="166"/>
      <c r="D79" s="196"/>
      <c r="E79" s="165"/>
      <c r="F79" s="165"/>
      <c r="G79" s="165"/>
      <c r="H79" s="34" t="s">
        <v>79</v>
      </c>
      <c r="I79" s="32" t="s">
        <v>80</v>
      </c>
      <c r="J79" s="47" t="s">
        <v>447</v>
      </c>
      <c r="K79" s="32" t="s">
        <v>104</v>
      </c>
      <c r="L79" s="68" t="s">
        <v>448</v>
      </c>
      <c r="M79" s="73" t="s">
        <v>84</v>
      </c>
      <c r="N79" s="73" t="s">
        <v>176</v>
      </c>
      <c r="O79" s="7" t="s">
        <v>85</v>
      </c>
      <c r="P79" s="70">
        <v>2</v>
      </c>
      <c r="Q79" s="41">
        <v>3</v>
      </c>
      <c r="R79" s="33">
        <f t="shared" si="14"/>
        <v>6</v>
      </c>
      <c r="S79" s="33" t="str">
        <f t="shared" si="1"/>
        <v>MEDIO</v>
      </c>
      <c r="T79" s="33">
        <v>10</v>
      </c>
      <c r="U79" s="75">
        <f t="shared" si="2"/>
        <v>60</v>
      </c>
      <c r="V79" s="33" t="str">
        <f t="shared" si="3"/>
        <v>lll</v>
      </c>
      <c r="W79" s="74" t="str">
        <f t="shared" si="4"/>
        <v>SI</v>
      </c>
      <c r="X79" s="33">
        <v>8</v>
      </c>
      <c r="Y79" s="31" t="s">
        <v>86</v>
      </c>
      <c r="Z79" s="33" t="s">
        <v>87</v>
      </c>
      <c r="AA79" s="45"/>
      <c r="AB79" s="33"/>
      <c r="AC79" s="34" t="s">
        <v>449</v>
      </c>
      <c r="AD79" s="34" t="s">
        <v>450</v>
      </c>
      <c r="AE79" s="34" t="s">
        <v>93</v>
      </c>
      <c r="AF79" s="34" t="s">
        <v>451</v>
      </c>
      <c r="AG79" s="41">
        <v>2</v>
      </c>
      <c r="AH79" s="41">
        <v>3</v>
      </c>
      <c r="AI79" s="33">
        <f t="shared" si="10"/>
        <v>6</v>
      </c>
      <c r="AJ79" s="33" t="str">
        <f t="shared" si="11"/>
        <v>MEDIO</v>
      </c>
      <c r="AK79" s="33">
        <v>10</v>
      </c>
      <c r="AL79" s="33">
        <f t="shared" si="7"/>
        <v>60</v>
      </c>
      <c r="AM79" s="33" t="str">
        <f t="shared" si="12"/>
        <v>RIESGO ACEPTABLE</v>
      </c>
      <c r="AN79" s="34"/>
      <c r="AO79" s="34"/>
      <c r="AP79" s="34" t="s">
        <v>449</v>
      </c>
      <c r="AQ79" s="34" t="s">
        <v>452</v>
      </c>
      <c r="AR79" s="34"/>
      <c r="AS79" s="61" t="s">
        <v>453</v>
      </c>
      <c r="EQ79" s="15"/>
      <c r="ER79" s="15"/>
      <c r="ES79" s="15"/>
      <c r="ET79" s="15"/>
      <c r="EU79" s="15"/>
      <c r="EV79" s="15"/>
    </row>
    <row r="80" spans="1:152" s="8" customFormat="1" ht="86.4" x14ac:dyDescent="0.25">
      <c r="A80" s="195"/>
      <c r="B80" s="198"/>
      <c r="C80" s="166"/>
      <c r="D80" s="196"/>
      <c r="E80" s="165"/>
      <c r="F80" s="165"/>
      <c r="G80" s="165"/>
      <c r="H80" s="34" t="s">
        <v>128</v>
      </c>
      <c r="I80" s="32" t="s">
        <v>129</v>
      </c>
      <c r="J80" s="32" t="s">
        <v>454</v>
      </c>
      <c r="K80" s="32" t="s">
        <v>104</v>
      </c>
      <c r="L80" s="68" t="s">
        <v>131</v>
      </c>
      <c r="M80" s="73" t="s">
        <v>84</v>
      </c>
      <c r="N80" s="73" t="s">
        <v>176</v>
      </c>
      <c r="O80" s="73" t="s">
        <v>132</v>
      </c>
      <c r="P80" s="70">
        <v>2</v>
      </c>
      <c r="Q80" s="41">
        <v>3</v>
      </c>
      <c r="R80" s="33">
        <f t="shared" si="14"/>
        <v>6</v>
      </c>
      <c r="S80" s="33" t="str">
        <f t="shared" si="1"/>
        <v>MEDIO</v>
      </c>
      <c r="T80" s="33">
        <v>10</v>
      </c>
      <c r="U80" s="75">
        <f t="shared" si="2"/>
        <v>60</v>
      </c>
      <c r="V80" s="33" t="str">
        <f t="shared" si="3"/>
        <v>lll</v>
      </c>
      <c r="W80" s="74" t="str">
        <f t="shared" si="4"/>
        <v>SI</v>
      </c>
      <c r="X80" s="33">
        <v>8</v>
      </c>
      <c r="Y80" s="31" t="s">
        <v>133</v>
      </c>
      <c r="Z80" s="33" t="s">
        <v>87</v>
      </c>
      <c r="AA80" s="46"/>
      <c r="AB80" s="33"/>
      <c r="AC80" s="34"/>
      <c r="AD80" s="34" t="s">
        <v>134</v>
      </c>
      <c r="AE80" s="34"/>
      <c r="AF80" s="34" t="s">
        <v>135</v>
      </c>
      <c r="AG80" s="41">
        <v>2</v>
      </c>
      <c r="AH80" s="41">
        <v>3</v>
      </c>
      <c r="AI80" s="33">
        <f t="shared" si="10"/>
        <v>6</v>
      </c>
      <c r="AJ80" s="33" t="str">
        <f t="shared" si="11"/>
        <v>MEDIO</v>
      </c>
      <c r="AK80" s="33">
        <v>10</v>
      </c>
      <c r="AL80" s="33">
        <f t="shared" si="7"/>
        <v>60</v>
      </c>
      <c r="AM80" s="33" t="str">
        <f t="shared" si="12"/>
        <v>RIESGO ACEPTABLE</v>
      </c>
      <c r="AN80" s="34"/>
      <c r="AO80" s="34"/>
      <c r="AP80" s="34"/>
      <c r="AQ80" s="34" t="s">
        <v>136</v>
      </c>
      <c r="AR80" s="34" t="s">
        <v>93</v>
      </c>
      <c r="AS80" s="61" t="s">
        <v>137</v>
      </c>
      <c r="EQ80" s="15"/>
      <c r="ER80" s="15"/>
      <c r="ES80" s="15"/>
      <c r="ET80" s="15"/>
      <c r="EU80" s="15"/>
      <c r="EV80" s="15"/>
    </row>
    <row r="81" spans="1:45" s="8" customFormat="1" ht="38.4" x14ac:dyDescent="0.25">
      <c r="A81" s="195"/>
      <c r="B81" s="198"/>
      <c r="C81" s="166" t="s">
        <v>455</v>
      </c>
      <c r="D81" s="188" t="s">
        <v>456</v>
      </c>
      <c r="E81" s="49" t="s">
        <v>87</v>
      </c>
      <c r="F81" s="152" t="s">
        <v>457</v>
      </c>
      <c r="G81" s="205" t="s">
        <v>458</v>
      </c>
      <c r="H81" s="34" t="s">
        <v>183</v>
      </c>
      <c r="I81" s="32" t="s">
        <v>173</v>
      </c>
      <c r="J81" s="32" t="s">
        <v>459</v>
      </c>
      <c r="K81" s="32" t="s">
        <v>104</v>
      </c>
      <c r="L81" s="68" t="s">
        <v>185</v>
      </c>
      <c r="M81" s="73" t="s">
        <v>332</v>
      </c>
      <c r="N81" s="73" t="s">
        <v>460</v>
      </c>
      <c r="O81" s="73" t="s">
        <v>461</v>
      </c>
      <c r="P81" s="70">
        <v>2</v>
      </c>
      <c r="Q81" s="41">
        <v>3</v>
      </c>
      <c r="R81" s="33">
        <f t="shared" si="14"/>
        <v>6</v>
      </c>
      <c r="S81" s="33" t="str">
        <f t="shared" si="1"/>
        <v>MEDIO</v>
      </c>
      <c r="T81" s="33">
        <v>10</v>
      </c>
      <c r="U81" s="75">
        <f t="shared" si="2"/>
        <v>60</v>
      </c>
      <c r="V81" s="33" t="str">
        <f t="shared" si="3"/>
        <v>lll</v>
      </c>
      <c r="W81" s="74" t="str">
        <f t="shared" si="4"/>
        <v>SI</v>
      </c>
      <c r="X81" s="33">
        <v>8</v>
      </c>
      <c r="Y81" s="31" t="s">
        <v>178</v>
      </c>
      <c r="Z81" s="33" t="s">
        <v>87</v>
      </c>
      <c r="AA81" s="45"/>
      <c r="AB81" s="34"/>
      <c r="AC81" s="40"/>
      <c r="AD81" s="34" t="s">
        <v>462</v>
      </c>
      <c r="AE81" s="34" t="s">
        <v>463</v>
      </c>
      <c r="AF81" s="34" t="s">
        <v>464</v>
      </c>
      <c r="AG81" s="41">
        <v>2</v>
      </c>
      <c r="AH81" s="41">
        <v>2</v>
      </c>
      <c r="AI81" s="33">
        <f t="shared" si="10"/>
        <v>4</v>
      </c>
      <c r="AJ81" s="33" t="str">
        <f t="shared" si="11"/>
        <v>BAJO</v>
      </c>
      <c r="AK81" s="33">
        <v>25</v>
      </c>
      <c r="AL81" s="33">
        <f t="shared" si="7"/>
        <v>100</v>
      </c>
      <c r="AM81" s="33" t="str">
        <f t="shared" si="12"/>
        <v>RIESGO ACEPTABLE</v>
      </c>
      <c r="AN81" s="33"/>
      <c r="AO81" s="34"/>
      <c r="AP81" s="40"/>
      <c r="AQ81" s="34" t="s">
        <v>465</v>
      </c>
      <c r="AR81" s="34" t="s">
        <v>463</v>
      </c>
      <c r="AS81" s="61" t="s">
        <v>466</v>
      </c>
    </row>
    <row r="82" spans="1:45" s="8" customFormat="1" ht="67.2" x14ac:dyDescent="0.25">
      <c r="A82" s="195"/>
      <c r="B82" s="198"/>
      <c r="C82" s="166"/>
      <c r="D82" s="188"/>
      <c r="E82" s="49" t="s">
        <v>87</v>
      </c>
      <c r="F82" s="152"/>
      <c r="G82" s="206"/>
      <c r="H82" s="34" t="s">
        <v>246</v>
      </c>
      <c r="I82" s="32" t="s">
        <v>115</v>
      </c>
      <c r="J82" s="32" t="s">
        <v>435</v>
      </c>
      <c r="K82" s="32" t="s">
        <v>248</v>
      </c>
      <c r="L82" s="68" t="s">
        <v>249</v>
      </c>
      <c r="M82" s="73" t="s">
        <v>332</v>
      </c>
      <c r="N82" s="73" t="s">
        <v>106</v>
      </c>
      <c r="O82" s="73" t="s">
        <v>250</v>
      </c>
      <c r="P82" s="70">
        <v>2</v>
      </c>
      <c r="Q82" s="41">
        <v>2</v>
      </c>
      <c r="R82" s="33">
        <f t="shared" si="14"/>
        <v>4</v>
      </c>
      <c r="S82" s="33" t="str">
        <f t="shared" si="1"/>
        <v>BAJO</v>
      </c>
      <c r="T82" s="33">
        <v>10</v>
      </c>
      <c r="U82" s="75">
        <f t="shared" si="2"/>
        <v>40</v>
      </c>
      <c r="V82" s="33" t="str">
        <f t="shared" si="3"/>
        <v>lll</v>
      </c>
      <c r="W82" s="74" t="str">
        <f t="shared" si="4"/>
        <v>SI</v>
      </c>
      <c r="X82" s="33">
        <v>8</v>
      </c>
      <c r="Y82" s="31" t="s">
        <v>251</v>
      </c>
      <c r="Z82" s="33" t="s">
        <v>87</v>
      </c>
      <c r="AA82" s="45"/>
      <c r="AB82" s="34"/>
      <c r="AC82" s="34"/>
      <c r="AD82" s="34"/>
      <c r="AE82" s="34" t="s">
        <v>467</v>
      </c>
      <c r="AF82" s="34" t="s">
        <v>464</v>
      </c>
      <c r="AG82" s="41">
        <v>2</v>
      </c>
      <c r="AH82" s="41">
        <v>2</v>
      </c>
      <c r="AI82" s="33">
        <f t="shared" si="10"/>
        <v>4</v>
      </c>
      <c r="AJ82" s="33" t="str">
        <f t="shared" si="11"/>
        <v>BAJO</v>
      </c>
      <c r="AK82" s="33">
        <v>25</v>
      </c>
      <c r="AL82" s="33">
        <f t="shared" si="7"/>
        <v>100</v>
      </c>
      <c r="AM82" s="33" t="str">
        <f t="shared" si="12"/>
        <v>RIESGO ACEPTABLE</v>
      </c>
      <c r="AN82" s="33"/>
      <c r="AO82" s="34"/>
      <c r="AP82" s="34"/>
      <c r="AQ82" s="34" t="s">
        <v>465</v>
      </c>
      <c r="AR82" s="34" t="s">
        <v>468</v>
      </c>
      <c r="AS82" s="61" t="s">
        <v>466</v>
      </c>
    </row>
    <row r="83" spans="1:45" s="8" customFormat="1" ht="67.2" x14ac:dyDescent="0.25">
      <c r="A83" s="195"/>
      <c r="B83" s="198"/>
      <c r="C83" s="166"/>
      <c r="D83" s="188"/>
      <c r="E83" s="49" t="s">
        <v>87</v>
      </c>
      <c r="F83" s="152"/>
      <c r="G83" s="206"/>
      <c r="H83" s="34" t="s">
        <v>316</v>
      </c>
      <c r="I83" s="32" t="s">
        <v>102</v>
      </c>
      <c r="J83" s="32" t="s">
        <v>469</v>
      </c>
      <c r="K83" s="32" t="s">
        <v>104</v>
      </c>
      <c r="L83" s="68" t="s">
        <v>83</v>
      </c>
      <c r="M83" s="73" t="s">
        <v>84</v>
      </c>
      <c r="N83" s="73" t="s">
        <v>106</v>
      </c>
      <c r="O83" s="73" t="s">
        <v>443</v>
      </c>
      <c r="P83" s="70">
        <v>2</v>
      </c>
      <c r="Q83" s="41">
        <v>3</v>
      </c>
      <c r="R83" s="33">
        <f t="shared" si="14"/>
        <v>6</v>
      </c>
      <c r="S83" s="33" t="str">
        <f t="shared" si="1"/>
        <v>MEDIO</v>
      </c>
      <c r="T83" s="33">
        <v>10</v>
      </c>
      <c r="U83" s="75">
        <f t="shared" si="2"/>
        <v>60</v>
      </c>
      <c r="V83" s="33" t="str">
        <f t="shared" si="3"/>
        <v>lll</v>
      </c>
      <c r="W83" s="74" t="str">
        <f t="shared" si="4"/>
        <v>SI</v>
      </c>
      <c r="X83" s="33">
        <v>8</v>
      </c>
      <c r="Y83" s="31" t="s">
        <v>108</v>
      </c>
      <c r="Z83" s="33" t="s">
        <v>87</v>
      </c>
      <c r="AA83" s="45"/>
      <c r="AB83" s="34"/>
      <c r="AC83" s="42"/>
      <c r="AD83" s="42" t="s">
        <v>470</v>
      </c>
      <c r="AE83" s="42" t="s">
        <v>471</v>
      </c>
      <c r="AF83" s="34" t="s">
        <v>464</v>
      </c>
      <c r="AG83" s="41">
        <v>2</v>
      </c>
      <c r="AH83" s="41">
        <v>2</v>
      </c>
      <c r="AI83" s="33">
        <f t="shared" si="10"/>
        <v>4</v>
      </c>
      <c r="AJ83" s="33" t="str">
        <f t="shared" si="11"/>
        <v>BAJO</v>
      </c>
      <c r="AK83" s="33">
        <v>10</v>
      </c>
      <c r="AL83" s="33">
        <f t="shared" si="7"/>
        <v>40</v>
      </c>
      <c r="AM83" s="33" t="str">
        <f t="shared" si="12"/>
        <v>RIESGO ACEPTABLE</v>
      </c>
      <c r="AN83" s="33"/>
      <c r="AO83" s="34"/>
      <c r="AP83" s="42"/>
      <c r="AQ83" s="34" t="s">
        <v>465</v>
      </c>
      <c r="AR83" s="42" t="s">
        <v>472</v>
      </c>
      <c r="AS83" s="61" t="s">
        <v>466</v>
      </c>
    </row>
    <row r="84" spans="1:45" s="8" customFormat="1" ht="67.2" x14ac:dyDescent="0.25">
      <c r="A84" s="195"/>
      <c r="B84" s="198"/>
      <c r="C84" s="166"/>
      <c r="D84" s="188"/>
      <c r="E84" s="49" t="s">
        <v>87</v>
      </c>
      <c r="F84" s="152"/>
      <c r="G84" s="206"/>
      <c r="H84" s="34" t="s">
        <v>101</v>
      </c>
      <c r="I84" s="32" t="s">
        <v>102</v>
      </c>
      <c r="J84" s="32" t="s">
        <v>469</v>
      </c>
      <c r="K84" s="32" t="s">
        <v>104</v>
      </c>
      <c r="L84" s="68" t="s">
        <v>105</v>
      </c>
      <c r="M84" s="73" t="s">
        <v>84</v>
      </c>
      <c r="N84" s="73" t="s">
        <v>106</v>
      </c>
      <c r="O84" s="73" t="s">
        <v>318</v>
      </c>
      <c r="P84" s="70">
        <v>2</v>
      </c>
      <c r="Q84" s="41">
        <v>3</v>
      </c>
      <c r="R84" s="33">
        <f t="shared" si="14"/>
        <v>6</v>
      </c>
      <c r="S84" s="33" t="str">
        <f t="shared" ref="S84:S147" si="15">IF(AND(R84&gt;=0,R84&lt;=4),"BAJO",IF(AND(R84&gt;=6,R84&lt;=8),"MEDIO",IF(AND(R84&gt;=10,R84&lt;=20),"ALTO",IF(AND(R84&gt;=24,R84&lt;=40),"MUY ALTO"))))</f>
        <v>MEDIO</v>
      </c>
      <c r="T84" s="33">
        <v>10</v>
      </c>
      <c r="U84" s="75">
        <f t="shared" si="2"/>
        <v>60</v>
      </c>
      <c r="V84" s="33" t="str">
        <f t="shared" si="3"/>
        <v>lll</v>
      </c>
      <c r="W84" s="74" t="str">
        <f t="shared" si="4"/>
        <v>SI</v>
      </c>
      <c r="X84" s="33">
        <v>8</v>
      </c>
      <c r="Y84" s="31" t="s">
        <v>108</v>
      </c>
      <c r="Z84" s="33" t="s">
        <v>87</v>
      </c>
      <c r="AA84" s="45"/>
      <c r="AB84" s="34"/>
      <c r="AC84" s="42"/>
      <c r="AD84" s="42" t="s">
        <v>473</v>
      </c>
      <c r="AE84" s="34" t="s">
        <v>474</v>
      </c>
      <c r="AF84" s="34" t="s">
        <v>464</v>
      </c>
      <c r="AG84" s="41">
        <v>6</v>
      </c>
      <c r="AH84" s="41">
        <v>2</v>
      </c>
      <c r="AI84" s="33">
        <f t="shared" si="10"/>
        <v>12</v>
      </c>
      <c r="AJ84" s="33" t="str">
        <f t="shared" si="11"/>
        <v>ALTO</v>
      </c>
      <c r="AK84" s="33">
        <v>25</v>
      </c>
      <c r="AL84" s="33">
        <f t="shared" si="7"/>
        <v>300</v>
      </c>
      <c r="AM84" s="33" t="str">
        <f t="shared" si="12"/>
        <v>RIESGO ALTO</v>
      </c>
      <c r="AN84" s="33"/>
      <c r="AO84" s="34"/>
      <c r="AP84" s="42"/>
      <c r="AQ84" s="34" t="s">
        <v>465</v>
      </c>
      <c r="AR84" s="34" t="s">
        <v>474</v>
      </c>
      <c r="AS84" s="61" t="s">
        <v>466</v>
      </c>
    </row>
    <row r="85" spans="1:45" s="8" customFormat="1" ht="48" x14ac:dyDescent="0.25">
      <c r="A85" s="195"/>
      <c r="B85" s="198"/>
      <c r="C85" s="166"/>
      <c r="D85" s="188"/>
      <c r="E85" s="49" t="s">
        <v>87</v>
      </c>
      <c r="F85" s="152"/>
      <c r="G85" s="206"/>
      <c r="H85" s="34" t="s">
        <v>138</v>
      </c>
      <c r="I85" s="32" t="s">
        <v>139</v>
      </c>
      <c r="J85" s="32" t="s">
        <v>469</v>
      </c>
      <c r="K85" s="32" t="s">
        <v>104</v>
      </c>
      <c r="L85" s="68" t="s">
        <v>475</v>
      </c>
      <c r="M85" s="73" t="s">
        <v>332</v>
      </c>
      <c r="N85" s="73" t="s">
        <v>278</v>
      </c>
      <c r="O85" s="73" t="s">
        <v>142</v>
      </c>
      <c r="P85" s="70">
        <v>2</v>
      </c>
      <c r="Q85" s="41">
        <v>2</v>
      </c>
      <c r="R85" s="33">
        <f t="shared" si="14"/>
        <v>4</v>
      </c>
      <c r="S85" s="33" t="str">
        <f t="shared" si="15"/>
        <v>BAJO</v>
      </c>
      <c r="T85" s="33">
        <v>10</v>
      </c>
      <c r="U85" s="75">
        <f t="shared" ref="U85:U148" si="16">R85*T85</f>
        <v>40</v>
      </c>
      <c r="V85" s="33" t="str">
        <f t="shared" ref="V85:V148" si="17">IF(AND(U85&gt;=0,U85&lt;=20),"IV ",IF(AND(U85&gt;=40,U85&lt;=120),"lll",IF(AND(U85&gt;=150,U85&lt;=500),"ll",IF(AND(U85&gt;=600,U85&lt;=4000),"l"))))</f>
        <v>lll</v>
      </c>
      <c r="W85" s="74" t="str">
        <f t="shared" ref="W85:W148" si="18">IF(AND(V85="lV"),"SI",IF(AND(V85="lll"),"SI",IF(AND(V85="ll"),"NO",IF(AND(V85="l"),"NO"))))</f>
        <v>SI</v>
      </c>
      <c r="X85" s="33">
        <v>8</v>
      </c>
      <c r="Y85" s="31" t="s">
        <v>143</v>
      </c>
      <c r="Z85" s="33" t="s">
        <v>87</v>
      </c>
      <c r="AA85" s="45"/>
      <c r="AB85" s="34"/>
      <c r="AC85" s="40"/>
      <c r="AD85" s="42" t="s">
        <v>476</v>
      </c>
      <c r="AE85" s="34"/>
      <c r="AF85" s="34" t="s">
        <v>464</v>
      </c>
      <c r="AG85" s="41">
        <v>2</v>
      </c>
      <c r="AH85" s="41">
        <v>2</v>
      </c>
      <c r="AI85" s="33">
        <f t="shared" si="10"/>
        <v>4</v>
      </c>
      <c r="AJ85" s="33" t="str">
        <f t="shared" si="11"/>
        <v>BAJO</v>
      </c>
      <c r="AK85" s="33">
        <v>25</v>
      </c>
      <c r="AL85" s="33">
        <f t="shared" ref="AL85:AL148" si="19">AI85*AK85</f>
        <v>100</v>
      </c>
      <c r="AM85" s="33" t="str">
        <f t="shared" si="12"/>
        <v>RIESGO ACEPTABLE</v>
      </c>
      <c r="AN85" s="33"/>
      <c r="AO85" s="34"/>
      <c r="AP85" s="40"/>
      <c r="AQ85" s="42" t="s">
        <v>477</v>
      </c>
      <c r="AR85" s="34"/>
      <c r="AS85" s="61" t="s">
        <v>466</v>
      </c>
    </row>
    <row r="86" spans="1:45" s="8" customFormat="1" ht="48" x14ac:dyDescent="0.25">
      <c r="A86" s="195"/>
      <c r="B86" s="198"/>
      <c r="C86" s="166"/>
      <c r="D86" s="199"/>
      <c r="E86" s="49" t="s">
        <v>87</v>
      </c>
      <c r="F86" s="152"/>
      <c r="G86" s="206"/>
      <c r="H86" s="34" t="s">
        <v>149</v>
      </c>
      <c r="I86" s="32" t="s">
        <v>139</v>
      </c>
      <c r="J86" s="32" t="s">
        <v>478</v>
      </c>
      <c r="K86" s="32" t="s">
        <v>104</v>
      </c>
      <c r="L86" s="68" t="s">
        <v>327</v>
      </c>
      <c r="M86" s="73" t="s">
        <v>84</v>
      </c>
      <c r="N86" s="73" t="s">
        <v>460</v>
      </c>
      <c r="O86" s="73" t="s">
        <v>213</v>
      </c>
      <c r="P86" s="70">
        <v>2</v>
      </c>
      <c r="Q86" s="41">
        <v>2</v>
      </c>
      <c r="R86" s="33">
        <f t="shared" si="14"/>
        <v>4</v>
      </c>
      <c r="S86" s="33" t="str">
        <f t="shared" si="15"/>
        <v>BAJO</v>
      </c>
      <c r="T86" s="33">
        <v>10</v>
      </c>
      <c r="U86" s="75">
        <f t="shared" si="16"/>
        <v>40</v>
      </c>
      <c r="V86" s="33" t="str">
        <f t="shared" si="17"/>
        <v>lll</v>
      </c>
      <c r="W86" s="74" t="str">
        <f t="shared" si="18"/>
        <v>SI</v>
      </c>
      <c r="X86" s="33">
        <v>8</v>
      </c>
      <c r="Y86" s="31" t="s">
        <v>143</v>
      </c>
      <c r="Z86" s="33" t="s">
        <v>87</v>
      </c>
      <c r="AA86" s="45"/>
      <c r="AB86" s="34"/>
      <c r="AC86" s="34"/>
      <c r="AD86" s="42" t="s">
        <v>476</v>
      </c>
      <c r="AE86" s="34"/>
      <c r="AF86" s="34" t="s">
        <v>464</v>
      </c>
      <c r="AG86" s="41">
        <v>2</v>
      </c>
      <c r="AH86" s="41">
        <v>2</v>
      </c>
      <c r="AI86" s="33">
        <f t="shared" si="10"/>
        <v>4</v>
      </c>
      <c r="AJ86" s="33" t="str">
        <f t="shared" si="11"/>
        <v>BAJO</v>
      </c>
      <c r="AK86" s="33">
        <v>25</v>
      </c>
      <c r="AL86" s="33">
        <f t="shared" si="19"/>
        <v>100</v>
      </c>
      <c r="AM86" s="33" t="str">
        <f t="shared" si="12"/>
        <v>RIESGO ACEPTABLE</v>
      </c>
      <c r="AN86" s="33"/>
      <c r="AO86" s="34"/>
      <c r="AP86" s="34"/>
      <c r="AQ86" s="42" t="s">
        <v>477</v>
      </c>
      <c r="AR86" s="34"/>
      <c r="AS86" s="61" t="s">
        <v>466</v>
      </c>
    </row>
    <row r="87" spans="1:45" s="8" customFormat="1" ht="48" x14ac:dyDescent="0.25">
      <c r="A87" s="195"/>
      <c r="B87" s="198"/>
      <c r="C87" s="166"/>
      <c r="D87" s="188"/>
      <c r="E87" s="49" t="s">
        <v>87</v>
      </c>
      <c r="F87" s="152"/>
      <c r="G87" s="206"/>
      <c r="H87" s="34" t="s">
        <v>227</v>
      </c>
      <c r="I87" s="32" t="s">
        <v>158</v>
      </c>
      <c r="J87" s="32" t="s">
        <v>479</v>
      </c>
      <c r="K87" s="32" t="s">
        <v>104</v>
      </c>
      <c r="L87" s="68" t="s">
        <v>229</v>
      </c>
      <c r="M87" s="73" t="s">
        <v>84</v>
      </c>
      <c r="N87" s="73" t="s">
        <v>161</v>
      </c>
      <c r="O87" s="73" t="s">
        <v>289</v>
      </c>
      <c r="P87" s="70">
        <v>2</v>
      </c>
      <c r="Q87" s="41">
        <v>2</v>
      </c>
      <c r="R87" s="33">
        <f t="shared" si="14"/>
        <v>4</v>
      </c>
      <c r="S87" s="33" t="str">
        <f t="shared" si="15"/>
        <v>BAJO</v>
      </c>
      <c r="T87" s="33">
        <v>10</v>
      </c>
      <c r="U87" s="75">
        <f t="shared" si="16"/>
        <v>40</v>
      </c>
      <c r="V87" s="33" t="str">
        <f t="shared" si="17"/>
        <v>lll</v>
      </c>
      <c r="W87" s="74" t="str">
        <f t="shared" si="18"/>
        <v>SI</v>
      </c>
      <c r="X87" s="33">
        <v>8</v>
      </c>
      <c r="Y87" s="31" t="s">
        <v>163</v>
      </c>
      <c r="Z87" s="33" t="s">
        <v>87</v>
      </c>
      <c r="AA87" s="45"/>
      <c r="AB87" s="34"/>
      <c r="AC87" s="34"/>
      <c r="AD87" s="34" t="s">
        <v>480</v>
      </c>
      <c r="AE87" s="34" t="s">
        <v>481</v>
      </c>
      <c r="AF87" s="34" t="s">
        <v>464</v>
      </c>
      <c r="AG87" s="41">
        <v>2</v>
      </c>
      <c r="AH87" s="41">
        <v>2</v>
      </c>
      <c r="AI87" s="33">
        <f t="shared" si="10"/>
        <v>4</v>
      </c>
      <c r="AJ87" s="33" t="str">
        <f t="shared" si="11"/>
        <v>BAJO</v>
      </c>
      <c r="AK87" s="33">
        <v>25</v>
      </c>
      <c r="AL87" s="33">
        <f t="shared" si="19"/>
        <v>100</v>
      </c>
      <c r="AM87" s="33" t="str">
        <f t="shared" si="12"/>
        <v>RIESGO ACEPTABLE</v>
      </c>
      <c r="AN87" s="33"/>
      <c r="AO87" s="34"/>
      <c r="AP87" s="34"/>
      <c r="AQ87" s="34" t="s">
        <v>482</v>
      </c>
      <c r="AR87" s="34" t="s">
        <v>483</v>
      </c>
      <c r="AS87" s="61" t="s">
        <v>466</v>
      </c>
    </row>
    <row r="88" spans="1:45" s="8" customFormat="1" ht="38.4" x14ac:dyDescent="0.25">
      <c r="A88" s="195"/>
      <c r="B88" s="198"/>
      <c r="C88" s="166"/>
      <c r="D88" s="188"/>
      <c r="E88" s="49" t="s">
        <v>87</v>
      </c>
      <c r="F88" s="152"/>
      <c r="G88" s="207"/>
      <c r="H88" s="34" t="s">
        <v>157</v>
      </c>
      <c r="I88" s="32" t="s">
        <v>158</v>
      </c>
      <c r="J88" s="32" t="s">
        <v>484</v>
      </c>
      <c r="K88" s="32" t="s">
        <v>104</v>
      </c>
      <c r="L88" s="68" t="s">
        <v>160</v>
      </c>
      <c r="M88" s="73" t="s">
        <v>84</v>
      </c>
      <c r="N88" s="73" t="s">
        <v>161</v>
      </c>
      <c r="O88" s="73" t="s">
        <v>162</v>
      </c>
      <c r="P88" s="70">
        <v>2</v>
      </c>
      <c r="Q88" s="41">
        <v>3</v>
      </c>
      <c r="R88" s="33">
        <f t="shared" si="14"/>
        <v>6</v>
      </c>
      <c r="S88" s="33" t="str">
        <f t="shared" si="15"/>
        <v>MEDIO</v>
      </c>
      <c r="T88" s="33">
        <v>10</v>
      </c>
      <c r="U88" s="75">
        <f t="shared" si="16"/>
        <v>60</v>
      </c>
      <c r="V88" s="33" t="str">
        <f t="shared" si="17"/>
        <v>lll</v>
      </c>
      <c r="W88" s="74" t="str">
        <f t="shared" si="18"/>
        <v>SI</v>
      </c>
      <c r="X88" s="33">
        <v>8</v>
      </c>
      <c r="Y88" s="31" t="s">
        <v>163</v>
      </c>
      <c r="Z88" s="33" t="s">
        <v>87</v>
      </c>
      <c r="AA88" s="45"/>
      <c r="AB88" s="34"/>
      <c r="AC88" s="34"/>
      <c r="AD88" s="42" t="s">
        <v>485</v>
      </c>
      <c r="AE88" s="34"/>
      <c r="AF88" s="34" t="s">
        <v>464</v>
      </c>
      <c r="AG88" s="41">
        <v>6</v>
      </c>
      <c r="AH88" s="41">
        <v>2</v>
      </c>
      <c r="AI88" s="33">
        <f t="shared" si="10"/>
        <v>12</v>
      </c>
      <c r="AJ88" s="33" t="str">
        <f t="shared" si="11"/>
        <v>ALTO</v>
      </c>
      <c r="AK88" s="33">
        <v>25</v>
      </c>
      <c r="AL88" s="33">
        <f t="shared" si="19"/>
        <v>300</v>
      </c>
      <c r="AM88" s="33" t="str">
        <f t="shared" si="12"/>
        <v>RIESGO ALTO</v>
      </c>
      <c r="AN88" s="33"/>
      <c r="AO88" s="34"/>
      <c r="AP88" s="34"/>
      <c r="AQ88" s="42" t="s">
        <v>486</v>
      </c>
      <c r="AR88" s="34"/>
      <c r="AS88" s="61" t="s">
        <v>466</v>
      </c>
    </row>
    <row r="89" spans="1:45" s="8" customFormat="1" ht="38.4" x14ac:dyDescent="0.25">
      <c r="A89" s="195"/>
      <c r="B89" s="198"/>
      <c r="C89" s="166"/>
      <c r="D89" s="196" t="s">
        <v>487</v>
      </c>
      <c r="E89" s="49" t="s">
        <v>87</v>
      </c>
      <c r="F89" s="152" t="s">
        <v>457</v>
      </c>
      <c r="G89" s="205" t="s">
        <v>488</v>
      </c>
      <c r="H89" s="34" t="s">
        <v>183</v>
      </c>
      <c r="I89" s="32" t="s">
        <v>173</v>
      </c>
      <c r="J89" s="34" t="s">
        <v>489</v>
      </c>
      <c r="K89" s="32" t="s">
        <v>104</v>
      </c>
      <c r="L89" s="68" t="s">
        <v>185</v>
      </c>
      <c r="M89" s="73" t="s">
        <v>332</v>
      </c>
      <c r="N89" s="73" t="s">
        <v>490</v>
      </c>
      <c r="O89" s="73" t="s">
        <v>491</v>
      </c>
      <c r="P89" s="70">
        <v>2</v>
      </c>
      <c r="Q89" s="41">
        <v>3</v>
      </c>
      <c r="R89" s="33">
        <f t="shared" si="14"/>
        <v>6</v>
      </c>
      <c r="S89" s="33" t="str">
        <f t="shared" si="15"/>
        <v>MEDIO</v>
      </c>
      <c r="T89" s="33">
        <v>10</v>
      </c>
      <c r="U89" s="75">
        <f t="shared" si="16"/>
        <v>60</v>
      </c>
      <c r="V89" s="33" t="str">
        <f t="shared" si="17"/>
        <v>lll</v>
      </c>
      <c r="W89" s="74" t="str">
        <f t="shared" si="18"/>
        <v>SI</v>
      </c>
      <c r="X89" s="33">
        <v>8</v>
      </c>
      <c r="Y89" s="31" t="s">
        <v>178</v>
      </c>
      <c r="Z89" s="33" t="s">
        <v>87</v>
      </c>
      <c r="AA89" s="45"/>
      <c r="AB89" s="34"/>
      <c r="AC89" s="34"/>
      <c r="AD89" s="34" t="s">
        <v>492</v>
      </c>
      <c r="AE89" s="34" t="s">
        <v>493</v>
      </c>
      <c r="AF89" s="34" t="s">
        <v>464</v>
      </c>
      <c r="AG89" s="41">
        <v>2</v>
      </c>
      <c r="AH89" s="41">
        <v>3</v>
      </c>
      <c r="AI89" s="33">
        <f t="shared" si="10"/>
        <v>6</v>
      </c>
      <c r="AJ89" s="33" t="str">
        <f t="shared" si="11"/>
        <v>MEDIO</v>
      </c>
      <c r="AK89" s="33">
        <v>25</v>
      </c>
      <c r="AL89" s="33">
        <f t="shared" si="19"/>
        <v>150</v>
      </c>
      <c r="AM89" s="33" t="str">
        <f t="shared" si="12"/>
        <v>RIESGO ALTO</v>
      </c>
      <c r="AN89" s="33"/>
      <c r="AO89" s="34"/>
      <c r="AP89" s="34"/>
      <c r="AQ89" s="34" t="s">
        <v>494</v>
      </c>
      <c r="AR89" s="34" t="s">
        <v>495</v>
      </c>
      <c r="AS89" s="61" t="s">
        <v>466</v>
      </c>
    </row>
    <row r="90" spans="1:45" s="8" customFormat="1" ht="48" x14ac:dyDescent="0.25">
      <c r="A90" s="195"/>
      <c r="B90" s="198"/>
      <c r="C90" s="166"/>
      <c r="D90" s="196"/>
      <c r="E90" s="49" t="s">
        <v>496</v>
      </c>
      <c r="F90" s="152"/>
      <c r="G90" s="206"/>
      <c r="H90" s="34" t="s">
        <v>372</v>
      </c>
      <c r="I90" s="32" t="s">
        <v>173</v>
      </c>
      <c r="J90" s="32" t="s">
        <v>497</v>
      </c>
      <c r="K90" s="32" t="s">
        <v>104</v>
      </c>
      <c r="L90" s="68" t="s">
        <v>374</v>
      </c>
      <c r="M90" s="73" t="s">
        <v>332</v>
      </c>
      <c r="N90" s="73" t="s">
        <v>490</v>
      </c>
      <c r="O90" s="73" t="s">
        <v>491</v>
      </c>
      <c r="P90" s="70">
        <v>2</v>
      </c>
      <c r="Q90" s="41">
        <v>1</v>
      </c>
      <c r="R90" s="33">
        <f t="shared" si="14"/>
        <v>2</v>
      </c>
      <c r="S90" s="33" t="str">
        <f t="shared" si="15"/>
        <v>BAJO</v>
      </c>
      <c r="T90" s="33">
        <v>10</v>
      </c>
      <c r="U90" s="75">
        <f t="shared" si="16"/>
        <v>20</v>
      </c>
      <c r="V90" s="33" t="str">
        <f t="shared" si="17"/>
        <v xml:space="preserve">IV </v>
      </c>
      <c r="W90" s="74" t="b">
        <f>IF(AND(V90="lV"),"SI",IF(AND(V90="lll"),"SI",IF(AND(V90="ll"),"NO",IF(AND(V90="l"),"NO"))))</f>
        <v>0</v>
      </c>
      <c r="X90" s="33">
        <v>8</v>
      </c>
      <c r="Y90" s="31" t="s">
        <v>498</v>
      </c>
      <c r="Z90" s="33" t="s">
        <v>87</v>
      </c>
      <c r="AA90" s="45"/>
      <c r="AB90" s="34"/>
      <c r="AC90" s="34"/>
      <c r="AD90" s="34" t="s">
        <v>499</v>
      </c>
      <c r="AE90" s="34" t="s">
        <v>500</v>
      </c>
      <c r="AF90" s="34" t="s">
        <v>464</v>
      </c>
      <c r="AG90" s="41">
        <v>6</v>
      </c>
      <c r="AH90" s="41">
        <v>1</v>
      </c>
      <c r="AI90" s="33">
        <f t="shared" si="10"/>
        <v>6</v>
      </c>
      <c r="AJ90" s="33" t="str">
        <f t="shared" si="11"/>
        <v>MEDIO</v>
      </c>
      <c r="AK90" s="33">
        <v>60</v>
      </c>
      <c r="AL90" s="33">
        <f t="shared" si="19"/>
        <v>360</v>
      </c>
      <c r="AM90" s="33" t="str">
        <f t="shared" si="12"/>
        <v>RIESGO ALTO</v>
      </c>
      <c r="AN90" s="33"/>
      <c r="AO90" s="34"/>
      <c r="AP90" s="34"/>
      <c r="AQ90" s="34" t="s">
        <v>501</v>
      </c>
      <c r="AR90" s="34" t="s">
        <v>500</v>
      </c>
      <c r="AS90" s="61" t="s">
        <v>466</v>
      </c>
    </row>
    <row r="91" spans="1:45" s="8" customFormat="1" ht="38.4" x14ac:dyDescent="0.25">
      <c r="A91" s="195"/>
      <c r="B91" s="198"/>
      <c r="C91" s="166"/>
      <c r="D91" s="196"/>
      <c r="E91" s="32" t="s">
        <v>87</v>
      </c>
      <c r="F91" s="152"/>
      <c r="G91" s="206"/>
      <c r="H91" s="34" t="s">
        <v>227</v>
      </c>
      <c r="I91" s="32" t="s">
        <v>158</v>
      </c>
      <c r="J91" s="32" t="s">
        <v>502</v>
      </c>
      <c r="K91" s="32" t="s">
        <v>104</v>
      </c>
      <c r="L91" s="68" t="s">
        <v>229</v>
      </c>
      <c r="M91" s="73" t="s">
        <v>332</v>
      </c>
      <c r="N91" s="73" t="s">
        <v>490</v>
      </c>
      <c r="O91" s="73" t="s">
        <v>503</v>
      </c>
      <c r="P91" s="70">
        <v>2</v>
      </c>
      <c r="Q91" s="41">
        <v>3</v>
      </c>
      <c r="R91" s="33">
        <f t="shared" si="14"/>
        <v>6</v>
      </c>
      <c r="S91" s="33" t="str">
        <f t="shared" si="15"/>
        <v>MEDIO</v>
      </c>
      <c r="T91" s="33">
        <v>10</v>
      </c>
      <c r="U91" s="75">
        <f t="shared" si="16"/>
        <v>60</v>
      </c>
      <c r="V91" s="33" t="str">
        <f t="shared" si="17"/>
        <v>lll</v>
      </c>
      <c r="W91" s="74" t="str">
        <f t="shared" si="18"/>
        <v>SI</v>
      </c>
      <c r="X91" s="33">
        <v>8</v>
      </c>
      <c r="Y91" s="31" t="s">
        <v>163</v>
      </c>
      <c r="Z91" s="33" t="s">
        <v>87</v>
      </c>
      <c r="AA91" s="45"/>
      <c r="AB91" s="32"/>
      <c r="AC91" s="34"/>
      <c r="AD91" s="42" t="s">
        <v>504</v>
      </c>
      <c r="AE91" s="34" t="s">
        <v>505</v>
      </c>
      <c r="AF91" s="34" t="s">
        <v>464</v>
      </c>
      <c r="AG91" s="41">
        <v>2</v>
      </c>
      <c r="AH91" s="41">
        <v>3</v>
      </c>
      <c r="AI91" s="33">
        <f t="shared" si="10"/>
        <v>6</v>
      </c>
      <c r="AJ91" s="33" t="str">
        <f t="shared" si="11"/>
        <v>MEDIO</v>
      </c>
      <c r="AK91" s="33">
        <v>25</v>
      </c>
      <c r="AL91" s="33">
        <f t="shared" si="19"/>
        <v>150</v>
      </c>
      <c r="AM91" s="33" t="str">
        <f t="shared" si="12"/>
        <v>RIESGO ALTO</v>
      </c>
      <c r="AN91" s="33"/>
      <c r="AO91" s="32"/>
      <c r="AP91" s="34"/>
      <c r="AQ91" s="42" t="s">
        <v>506</v>
      </c>
      <c r="AR91" s="34" t="s">
        <v>505</v>
      </c>
      <c r="AS91" s="61" t="s">
        <v>466</v>
      </c>
    </row>
    <row r="92" spans="1:45" s="8" customFormat="1" ht="38.4" x14ac:dyDescent="0.25">
      <c r="A92" s="195"/>
      <c r="B92" s="198"/>
      <c r="C92" s="166"/>
      <c r="D92" s="196"/>
      <c r="E92" s="32" t="s">
        <v>87</v>
      </c>
      <c r="F92" s="152"/>
      <c r="G92" s="206"/>
      <c r="H92" s="34" t="s">
        <v>157</v>
      </c>
      <c r="I92" s="32" t="s">
        <v>158</v>
      </c>
      <c r="J92" s="32" t="s">
        <v>484</v>
      </c>
      <c r="K92" s="32" t="s">
        <v>104</v>
      </c>
      <c r="L92" s="68" t="s">
        <v>160</v>
      </c>
      <c r="M92" s="73" t="s">
        <v>332</v>
      </c>
      <c r="N92" s="73" t="s">
        <v>161</v>
      </c>
      <c r="O92" s="73" t="s">
        <v>507</v>
      </c>
      <c r="P92" s="70">
        <v>2</v>
      </c>
      <c r="Q92" s="41">
        <v>3</v>
      </c>
      <c r="R92" s="33">
        <f t="shared" si="14"/>
        <v>6</v>
      </c>
      <c r="S92" s="33" t="str">
        <f t="shared" si="15"/>
        <v>MEDIO</v>
      </c>
      <c r="T92" s="33">
        <v>10</v>
      </c>
      <c r="U92" s="75">
        <f t="shared" si="16"/>
        <v>60</v>
      </c>
      <c r="V92" s="33" t="str">
        <f t="shared" si="17"/>
        <v>lll</v>
      </c>
      <c r="W92" s="74" t="str">
        <f t="shared" si="18"/>
        <v>SI</v>
      </c>
      <c r="X92" s="33">
        <v>8</v>
      </c>
      <c r="Y92" s="31" t="s">
        <v>163</v>
      </c>
      <c r="Z92" s="33" t="s">
        <v>87</v>
      </c>
      <c r="AA92" s="45"/>
      <c r="AB92" s="32"/>
      <c r="AC92" s="34"/>
      <c r="AD92" s="32" t="s">
        <v>508</v>
      </c>
      <c r="AE92" s="34"/>
      <c r="AF92" s="34" t="s">
        <v>464</v>
      </c>
      <c r="AG92" s="41">
        <v>2</v>
      </c>
      <c r="AH92" s="41">
        <v>3</v>
      </c>
      <c r="AI92" s="33">
        <f t="shared" si="10"/>
        <v>6</v>
      </c>
      <c r="AJ92" s="33" t="str">
        <f t="shared" si="11"/>
        <v>MEDIO</v>
      </c>
      <c r="AK92" s="33">
        <v>25</v>
      </c>
      <c r="AL92" s="33">
        <f t="shared" si="19"/>
        <v>150</v>
      </c>
      <c r="AM92" s="33" t="str">
        <f t="shared" si="12"/>
        <v>RIESGO ALTO</v>
      </c>
      <c r="AN92" s="33"/>
      <c r="AO92" s="32"/>
      <c r="AP92" s="34"/>
      <c r="AQ92" s="32" t="s">
        <v>509</v>
      </c>
      <c r="AR92" s="34"/>
      <c r="AS92" s="61" t="s">
        <v>466</v>
      </c>
    </row>
    <row r="93" spans="1:45" s="8" customFormat="1" ht="57.6" x14ac:dyDescent="0.25">
      <c r="A93" s="195"/>
      <c r="B93" s="198"/>
      <c r="C93" s="166"/>
      <c r="D93" s="200"/>
      <c r="E93" s="49" t="s">
        <v>87</v>
      </c>
      <c r="F93" s="152"/>
      <c r="G93" s="207"/>
      <c r="H93" s="34" t="s">
        <v>149</v>
      </c>
      <c r="I93" s="32" t="s">
        <v>139</v>
      </c>
      <c r="J93" s="40" t="s">
        <v>510</v>
      </c>
      <c r="K93" s="32" t="s">
        <v>104</v>
      </c>
      <c r="L93" s="68" t="s">
        <v>327</v>
      </c>
      <c r="M93" s="73" t="s">
        <v>332</v>
      </c>
      <c r="N93" s="73" t="s">
        <v>84</v>
      </c>
      <c r="O93" s="73" t="s">
        <v>511</v>
      </c>
      <c r="P93" s="70">
        <v>2</v>
      </c>
      <c r="Q93" s="41">
        <v>3</v>
      </c>
      <c r="R93" s="33">
        <f t="shared" si="14"/>
        <v>6</v>
      </c>
      <c r="S93" s="33" t="str">
        <f t="shared" si="15"/>
        <v>MEDIO</v>
      </c>
      <c r="T93" s="33">
        <v>10</v>
      </c>
      <c r="U93" s="75">
        <f t="shared" si="16"/>
        <v>60</v>
      </c>
      <c r="V93" s="33" t="str">
        <f t="shared" si="17"/>
        <v>lll</v>
      </c>
      <c r="W93" s="74" t="str">
        <f t="shared" si="18"/>
        <v>SI</v>
      </c>
      <c r="X93" s="33">
        <v>8</v>
      </c>
      <c r="Y93" s="31" t="s">
        <v>143</v>
      </c>
      <c r="Z93" s="33" t="s">
        <v>87</v>
      </c>
      <c r="AA93" s="45"/>
      <c r="AB93" s="34"/>
      <c r="AC93" s="34"/>
      <c r="AD93" s="42" t="s">
        <v>512</v>
      </c>
      <c r="AE93" s="34"/>
      <c r="AF93" s="34" t="s">
        <v>464</v>
      </c>
      <c r="AG93" s="41">
        <v>2</v>
      </c>
      <c r="AH93" s="41">
        <v>3</v>
      </c>
      <c r="AI93" s="33">
        <f t="shared" si="10"/>
        <v>6</v>
      </c>
      <c r="AJ93" s="33" t="str">
        <f t="shared" si="11"/>
        <v>MEDIO</v>
      </c>
      <c r="AK93" s="33">
        <v>25</v>
      </c>
      <c r="AL93" s="33">
        <f t="shared" si="19"/>
        <v>150</v>
      </c>
      <c r="AM93" s="33" t="str">
        <f t="shared" si="12"/>
        <v>RIESGO ALTO</v>
      </c>
      <c r="AN93" s="33"/>
      <c r="AO93" s="34"/>
      <c r="AP93" s="34"/>
      <c r="AQ93" s="42" t="s">
        <v>513</v>
      </c>
      <c r="AR93" s="34"/>
      <c r="AS93" s="61" t="s">
        <v>466</v>
      </c>
    </row>
    <row r="94" spans="1:45" s="8" customFormat="1" ht="48" x14ac:dyDescent="0.25">
      <c r="A94" s="195"/>
      <c r="B94" s="198"/>
      <c r="C94" s="166"/>
      <c r="D94" s="196" t="s">
        <v>514</v>
      </c>
      <c r="E94" s="49" t="s">
        <v>87</v>
      </c>
      <c r="F94" s="152" t="s">
        <v>515</v>
      </c>
      <c r="G94" s="47" t="s">
        <v>516</v>
      </c>
      <c r="H94" s="34" t="s">
        <v>183</v>
      </c>
      <c r="I94" s="32" t="s">
        <v>173</v>
      </c>
      <c r="J94" s="34" t="s">
        <v>517</v>
      </c>
      <c r="K94" s="32" t="s">
        <v>104</v>
      </c>
      <c r="L94" s="68" t="s">
        <v>185</v>
      </c>
      <c r="M94" s="73" t="s">
        <v>332</v>
      </c>
      <c r="N94" s="73" t="s">
        <v>161</v>
      </c>
      <c r="O94" s="73" t="s">
        <v>461</v>
      </c>
      <c r="P94" s="70">
        <v>2</v>
      </c>
      <c r="Q94" s="41">
        <v>3</v>
      </c>
      <c r="R94" s="33">
        <f t="shared" si="14"/>
        <v>6</v>
      </c>
      <c r="S94" s="33" t="str">
        <f t="shared" si="15"/>
        <v>MEDIO</v>
      </c>
      <c r="T94" s="33">
        <v>10</v>
      </c>
      <c r="U94" s="75">
        <f t="shared" si="16"/>
        <v>60</v>
      </c>
      <c r="V94" s="33" t="str">
        <f t="shared" si="17"/>
        <v>lll</v>
      </c>
      <c r="W94" s="74" t="str">
        <f t="shared" si="18"/>
        <v>SI</v>
      </c>
      <c r="X94" s="33">
        <v>8</v>
      </c>
      <c r="Y94" s="31" t="s">
        <v>178</v>
      </c>
      <c r="Z94" s="33" t="s">
        <v>87</v>
      </c>
      <c r="AA94" s="45"/>
      <c r="AB94" s="34"/>
      <c r="AC94" s="40"/>
      <c r="AD94" s="42" t="s">
        <v>518</v>
      </c>
      <c r="AE94" s="34" t="s">
        <v>519</v>
      </c>
      <c r="AF94" s="34" t="s">
        <v>464</v>
      </c>
      <c r="AG94" s="41">
        <v>2</v>
      </c>
      <c r="AH94" s="41">
        <v>3</v>
      </c>
      <c r="AI94" s="33">
        <f t="shared" si="10"/>
        <v>6</v>
      </c>
      <c r="AJ94" s="33" t="str">
        <f t="shared" si="11"/>
        <v>MEDIO</v>
      </c>
      <c r="AK94" s="33">
        <v>25</v>
      </c>
      <c r="AL94" s="33">
        <f t="shared" si="19"/>
        <v>150</v>
      </c>
      <c r="AM94" s="33" t="str">
        <f t="shared" si="12"/>
        <v>RIESGO ALTO</v>
      </c>
      <c r="AN94" s="33"/>
      <c r="AO94" s="34"/>
      <c r="AP94" s="40"/>
      <c r="AQ94" s="42" t="s">
        <v>520</v>
      </c>
      <c r="AR94" s="34" t="s">
        <v>519</v>
      </c>
      <c r="AS94" s="61" t="s">
        <v>466</v>
      </c>
    </row>
    <row r="95" spans="1:45" s="8" customFormat="1" ht="67.2" x14ac:dyDescent="0.25">
      <c r="A95" s="195"/>
      <c r="B95" s="198"/>
      <c r="C95" s="166"/>
      <c r="D95" s="196"/>
      <c r="E95" s="49" t="s">
        <v>87</v>
      </c>
      <c r="F95" s="152"/>
      <c r="G95" s="47" t="s">
        <v>516</v>
      </c>
      <c r="H95" s="34" t="s">
        <v>316</v>
      </c>
      <c r="I95" s="32" t="s">
        <v>102</v>
      </c>
      <c r="J95" s="32" t="s">
        <v>521</v>
      </c>
      <c r="K95" s="32" t="s">
        <v>104</v>
      </c>
      <c r="L95" s="68" t="s">
        <v>83</v>
      </c>
      <c r="M95" s="73" t="s">
        <v>332</v>
      </c>
      <c r="N95" s="73" t="s">
        <v>106</v>
      </c>
      <c r="O95" s="73" t="s">
        <v>522</v>
      </c>
      <c r="P95" s="70">
        <v>2</v>
      </c>
      <c r="Q95" s="41">
        <v>3</v>
      </c>
      <c r="R95" s="33">
        <f t="shared" si="14"/>
        <v>6</v>
      </c>
      <c r="S95" s="33" t="str">
        <f t="shared" si="15"/>
        <v>MEDIO</v>
      </c>
      <c r="T95" s="33">
        <v>10</v>
      </c>
      <c r="U95" s="75">
        <f t="shared" si="16"/>
        <v>60</v>
      </c>
      <c r="V95" s="33" t="str">
        <f t="shared" si="17"/>
        <v>lll</v>
      </c>
      <c r="W95" s="74" t="str">
        <f t="shared" si="18"/>
        <v>SI</v>
      </c>
      <c r="X95" s="33">
        <v>8</v>
      </c>
      <c r="Y95" s="31" t="s">
        <v>108</v>
      </c>
      <c r="Z95" s="33" t="s">
        <v>87</v>
      </c>
      <c r="AA95" s="45"/>
      <c r="AB95" s="34"/>
      <c r="AC95" s="40"/>
      <c r="AD95" s="34" t="s">
        <v>523</v>
      </c>
      <c r="AE95" s="34" t="s">
        <v>524</v>
      </c>
      <c r="AF95" s="34" t="s">
        <v>464</v>
      </c>
      <c r="AG95" s="41">
        <v>2</v>
      </c>
      <c r="AH95" s="41">
        <v>3</v>
      </c>
      <c r="AI95" s="33">
        <f t="shared" si="10"/>
        <v>6</v>
      </c>
      <c r="AJ95" s="33" t="str">
        <f t="shared" si="11"/>
        <v>MEDIO</v>
      </c>
      <c r="AK95" s="33">
        <v>10</v>
      </c>
      <c r="AL95" s="33">
        <f t="shared" si="19"/>
        <v>60</v>
      </c>
      <c r="AM95" s="33" t="str">
        <f t="shared" si="12"/>
        <v>RIESGO ACEPTABLE</v>
      </c>
      <c r="AN95" s="33"/>
      <c r="AO95" s="34"/>
      <c r="AP95" s="34"/>
      <c r="AQ95" s="34" t="s">
        <v>525</v>
      </c>
      <c r="AR95" s="34" t="s">
        <v>524</v>
      </c>
      <c r="AS95" s="61" t="s">
        <v>466</v>
      </c>
    </row>
    <row r="96" spans="1:45" s="8" customFormat="1" ht="67.2" x14ac:dyDescent="0.25">
      <c r="A96" s="195"/>
      <c r="B96" s="198"/>
      <c r="C96" s="166"/>
      <c r="D96" s="196"/>
      <c r="E96" s="32" t="s">
        <v>87</v>
      </c>
      <c r="F96" s="152"/>
      <c r="G96" s="47" t="s">
        <v>516</v>
      </c>
      <c r="H96" s="34" t="s">
        <v>205</v>
      </c>
      <c r="I96" s="32" t="s">
        <v>102</v>
      </c>
      <c r="J96" s="40" t="s">
        <v>526</v>
      </c>
      <c r="K96" s="32" t="s">
        <v>104</v>
      </c>
      <c r="L96" s="68" t="s">
        <v>207</v>
      </c>
      <c r="M96" s="73" t="s">
        <v>332</v>
      </c>
      <c r="N96" s="73" t="s">
        <v>106</v>
      </c>
      <c r="O96" s="73" t="s">
        <v>527</v>
      </c>
      <c r="P96" s="70">
        <v>2</v>
      </c>
      <c r="Q96" s="41">
        <v>3</v>
      </c>
      <c r="R96" s="33">
        <f t="shared" si="14"/>
        <v>6</v>
      </c>
      <c r="S96" s="33" t="str">
        <f t="shared" si="15"/>
        <v>MEDIO</v>
      </c>
      <c r="T96" s="33">
        <v>10</v>
      </c>
      <c r="U96" s="75">
        <f t="shared" si="16"/>
        <v>60</v>
      </c>
      <c r="V96" s="33" t="str">
        <f t="shared" si="17"/>
        <v>lll</v>
      </c>
      <c r="W96" s="74" t="str">
        <f t="shared" si="18"/>
        <v>SI</v>
      </c>
      <c r="X96" s="33">
        <v>8</v>
      </c>
      <c r="Y96" s="31" t="s">
        <v>209</v>
      </c>
      <c r="Z96" s="33" t="s">
        <v>87</v>
      </c>
      <c r="AA96" s="45"/>
      <c r="AB96" s="34"/>
      <c r="AC96" s="40" t="s">
        <v>528</v>
      </c>
      <c r="AD96" s="34" t="s">
        <v>529</v>
      </c>
      <c r="AE96" s="34" t="s">
        <v>530</v>
      </c>
      <c r="AF96" s="34" t="s">
        <v>464</v>
      </c>
      <c r="AG96" s="41">
        <v>2</v>
      </c>
      <c r="AH96" s="41">
        <v>3</v>
      </c>
      <c r="AI96" s="33">
        <f t="shared" si="10"/>
        <v>6</v>
      </c>
      <c r="AJ96" s="33" t="str">
        <f t="shared" si="11"/>
        <v>MEDIO</v>
      </c>
      <c r="AK96" s="33">
        <v>25</v>
      </c>
      <c r="AL96" s="33">
        <f t="shared" si="19"/>
        <v>150</v>
      </c>
      <c r="AM96" s="33" t="str">
        <f t="shared" si="12"/>
        <v>RIESGO ALTO</v>
      </c>
      <c r="AN96" s="33"/>
      <c r="AO96" s="34"/>
      <c r="AP96" s="40" t="s">
        <v>528</v>
      </c>
      <c r="AQ96" s="34" t="s">
        <v>531</v>
      </c>
      <c r="AR96" s="34" t="s">
        <v>530</v>
      </c>
      <c r="AS96" s="61" t="s">
        <v>466</v>
      </c>
    </row>
    <row r="97" spans="1:45" s="8" customFormat="1" ht="48" x14ac:dyDescent="0.25">
      <c r="A97" s="195"/>
      <c r="B97" s="198"/>
      <c r="C97" s="166"/>
      <c r="D97" s="196"/>
      <c r="E97" s="49" t="s">
        <v>87</v>
      </c>
      <c r="F97" s="152"/>
      <c r="G97" s="47" t="s">
        <v>516</v>
      </c>
      <c r="H97" s="34" t="s">
        <v>138</v>
      </c>
      <c r="I97" s="32" t="s">
        <v>139</v>
      </c>
      <c r="J97" s="40" t="s">
        <v>532</v>
      </c>
      <c r="K97" s="32" t="s">
        <v>104</v>
      </c>
      <c r="L97" s="68" t="s">
        <v>475</v>
      </c>
      <c r="M97" s="73" t="s">
        <v>332</v>
      </c>
      <c r="N97" s="73" t="s">
        <v>161</v>
      </c>
      <c r="O97" s="73" t="s">
        <v>142</v>
      </c>
      <c r="P97" s="70">
        <v>2</v>
      </c>
      <c r="Q97" s="41">
        <v>2</v>
      </c>
      <c r="R97" s="33">
        <f t="shared" si="14"/>
        <v>4</v>
      </c>
      <c r="S97" s="33" t="str">
        <f t="shared" si="15"/>
        <v>BAJO</v>
      </c>
      <c r="T97" s="33">
        <v>10</v>
      </c>
      <c r="U97" s="75">
        <f t="shared" si="16"/>
        <v>40</v>
      </c>
      <c r="V97" s="33" t="str">
        <f t="shared" si="17"/>
        <v>lll</v>
      </c>
      <c r="W97" s="74" t="str">
        <f t="shared" si="18"/>
        <v>SI</v>
      </c>
      <c r="X97" s="33">
        <v>8</v>
      </c>
      <c r="Y97" s="31" t="s">
        <v>143</v>
      </c>
      <c r="Z97" s="33" t="s">
        <v>87</v>
      </c>
      <c r="AA97" s="45"/>
      <c r="AB97" s="34"/>
      <c r="AC97" s="42"/>
      <c r="AD97" s="42" t="s">
        <v>533</v>
      </c>
      <c r="AE97" s="34"/>
      <c r="AF97" s="34" t="s">
        <v>464</v>
      </c>
      <c r="AG97" s="41">
        <v>2</v>
      </c>
      <c r="AH97" s="41">
        <v>3</v>
      </c>
      <c r="AI97" s="33">
        <f t="shared" si="10"/>
        <v>6</v>
      </c>
      <c r="AJ97" s="33" t="str">
        <f t="shared" si="11"/>
        <v>MEDIO</v>
      </c>
      <c r="AK97" s="33">
        <v>25</v>
      </c>
      <c r="AL97" s="33">
        <f t="shared" si="19"/>
        <v>150</v>
      </c>
      <c r="AM97" s="33" t="str">
        <f t="shared" si="12"/>
        <v>RIESGO ALTO</v>
      </c>
      <c r="AN97" s="33"/>
      <c r="AO97" s="34"/>
      <c r="AP97" s="34"/>
      <c r="AQ97" s="42" t="s">
        <v>534</v>
      </c>
      <c r="AR97" s="34"/>
      <c r="AS97" s="61" t="s">
        <v>466</v>
      </c>
    </row>
    <row r="98" spans="1:45" s="8" customFormat="1" ht="57.6" x14ac:dyDescent="0.25">
      <c r="A98" s="195"/>
      <c r="B98" s="198"/>
      <c r="C98" s="166"/>
      <c r="D98" s="196"/>
      <c r="E98" s="49" t="s">
        <v>87</v>
      </c>
      <c r="F98" s="152"/>
      <c r="G98" s="47" t="s">
        <v>516</v>
      </c>
      <c r="H98" s="34" t="s">
        <v>214</v>
      </c>
      <c r="I98" s="32" t="s">
        <v>139</v>
      </c>
      <c r="J98" s="34" t="s">
        <v>535</v>
      </c>
      <c r="K98" s="32" t="s">
        <v>104</v>
      </c>
      <c r="L98" s="68" t="s">
        <v>216</v>
      </c>
      <c r="M98" s="73" t="s">
        <v>332</v>
      </c>
      <c r="N98" s="73" t="s">
        <v>161</v>
      </c>
      <c r="O98" s="73" t="s">
        <v>511</v>
      </c>
      <c r="P98" s="70">
        <v>2</v>
      </c>
      <c r="Q98" s="41">
        <v>3</v>
      </c>
      <c r="R98" s="33">
        <f t="shared" si="14"/>
        <v>6</v>
      </c>
      <c r="S98" s="33" t="str">
        <f t="shared" si="15"/>
        <v>MEDIO</v>
      </c>
      <c r="T98" s="33">
        <v>10</v>
      </c>
      <c r="U98" s="75">
        <f t="shared" si="16"/>
        <v>60</v>
      </c>
      <c r="V98" s="33" t="str">
        <f t="shared" si="17"/>
        <v>lll</v>
      </c>
      <c r="W98" s="74" t="str">
        <f t="shared" si="18"/>
        <v>SI</v>
      </c>
      <c r="X98" s="33">
        <v>8</v>
      </c>
      <c r="Y98" s="31" t="s">
        <v>218</v>
      </c>
      <c r="Z98" s="33" t="s">
        <v>87</v>
      </c>
      <c r="AA98" s="45"/>
      <c r="AB98" s="32"/>
      <c r="AC98" s="34"/>
      <c r="AD98" s="34" t="s">
        <v>536</v>
      </c>
      <c r="AE98" s="34"/>
      <c r="AF98" s="34" t="s">
        <v>464</v>
      </c>
      <c r="AG98" s="41">
        <v>2</v>
      </c>
      <c r="AH98" s="41">
        <v>3</v>
      </c>
      <c r="AI98" s="33">
        <f t="shared" si="10"/>
        <v>6</v>
      </c>
      <c r="AJ98" s="33" t="str">
        <f t="shared" si="11"/>
        <v>MEDIO</v>
      </c>
      <c r="AK98" s="33">
        <v>25</v>
      </c>
      <c r="AL98" s="33">
        <f t="shared" si="19"/>
        <v>150</v>
      </c>
      <c r="AM98" s="33" t="str">
        <f t="shared" si="12"/>
        <v>RIESGO ALTO</v>
      </c>
      <c r="AN98" s="33"/>
      <c r="AO98" s="32"/>
      <c r="AP98" s="34"/>
      <c r="AQ98" s="34" t="s">
        <v>537</v>
      </c>
      <c r="AR98" s="34"/>
      <c r="AS98" s="61" t="s">
        <v>466</v>
      </c>
    </row>
    <row r="99" spans="1:45" s="8" customFormat="1" ht="57.6" x14ac:dyDescent="0.25">
      <c r="A99" s="195"/>
      <c r="B99" s="198"/>
      <c r="C99" s="166"/>
      <c r="D99" s="196"/>
      <c r="E99" s="32" t="s">
        <v>87</v>
      </c>
      <c r="F99" s="152"/>
      <c r="G99" s="47" t="s">
        <v>516</v>
      </c>
      <c r="H99" s="34" t="s">
        <v>149</v>
      </c>
      <c r="I99" s="32" t="s">
        <v>139</v>
      </c>
      <c r="J99" s="32" t="s">
        <v>538</v>
      </c>
      <c r="K99" s="32" t="s">
        <v>104</v>
      </c>
      <c r="L99" s="68" t="s">
        <v>327</v>
      </c>
      <c r="M99" s="73" t="s">
        <v>332</v>
      </c>
      <c r="N99" s="73" t="s">
        <v>161</v>
      </c>
      <c r="O99" s="73" t="s">
        <v>511</v>
      </c>
      <c r="P99" s="70">
        <v>2</v>
      </c>
      <c r="Q99" s="41">
        <v>3</v>
      </c>
      <c r="R99" s="33">
        <f t="shared" si="14"/>
        <v>6</v>
      </c>
      <c r="S99" s="33" t="str">
        <f t="shared" si="15"/>
        <v>MEDIO</v>
      </c>
      <c r="T99" s="33">
        <v>10</v>
      </c>
      <c r="U99" s="75">
        <f t="shared" si="16"/>
        <v>60</v>
      </c>
      <c r="V99" s="33" t="str">
        <f t="shared" si="17"/>
        <v>lll</v>
      </c>
      <c r="W99" s="74" t="str">
        <f t="shared" si="18"/>
        <v>SI</v>
      </c>
      <c r="X99" s="33">
        <v>8</v>
      </c>
      <c r="Y99" s="31" t="s">
        <v>143</v>
      </c>
      <c r="Z99" s="33" t="s">
        <v>87</v>
      </c>
      <c r="AA99" s="45"/>
      <c r="AB99" s="34"/>
      <c r="AC99" s="34"/>
      <c r="AD99" s="34" t="s">
        <v>539</v>
      </c>
      <c r="AE99" s="34"/>
      <c r="AF99" s="34" t="s">
        <v>464</v>
      </c>
      <c r="AG99" s="41">
        <v>2</v>
      </c>
      <c r="AH99" s="41">
        <v>3</v>
      </c>
      <c r="AI99" s="33">
        <f t="shared" si="10"/>
        <v>6</v>
      </c>
      <c r="AJ99" s="33" t="str">
        <f t="shared" si="11"/>
        <v>MEDIO</v>
      </c>
      <c r="AK99" s="33">
        <v>25</v>
      </c>
      <c r="AL99" s="33">
        <f t="shared" si="19"/>
        <v>150</v>
      </c>
      <c r="AM99" s="33" t="str">
        <f t="shared" si="12"/>
        <v>RIESGO ALTO</v>
      </c>
      <c r="AN99" s="33"/>
      <c r="AO99" s="34"/>
      <c r="AP99" s="34"/>
      <c r="AQ99" s="34" t="s">
        <v>540</v>
      </c>
      <c r="AR99" s="34"/>
      <c r="AS99" s="61" t="s">
        <v>466</v>
      </c>
    </row>
    <row r="100" spans="1:45" s="8" customFormat="1" ht="48" x14ac:dyDescent="0.25">
      <c r="A100" s="195"/>
      <c r="B100" s="198"/>
      <c r="C100" s="166"/>
      <c r="D100" s="196"/>
      <c r="E100" s="32" t="s">
        <v>87</v>
      </c>
      <c r="F100" s="152"/>
      <c r="G100" s="47" t="s">
        <v>516</v>
      </c>
      <c r="H100" s="34" t="s">
        <v>334</v>
      </c>
      <c r="I100" s="32" t="s">
        <v>158</v>
      </c>
      <c r="J100" s="32" t="s">
        <v>541</v>
      </c>
      <c r="K100" s="32" t="s">
        <v>104</v>
      </c>
      <c r="L100" s="68" t="s">
        <v>542</v>
      </c>
      <c r="M100" s="73" t="s">
        <v>332</v>
      </c>
      <c r="N100" s="73" t="s">
        <v>161</v>
      </c>
      <c r="O100" s="73" t="s">
        <v>543</v>
      </c>
      <c r="P100" s="70">
        <v>2</v>
      </c>
      <c r="Q100" s="41">
        <v>3</v>
      </c>
      <c r="R100" s="33">
        <f t="shared" si="14"/>
        <v>6</v>
      </c>
      <c r="S100" s="33" t="str">
        <f t="shared" si="15"/>
        <v>MEDIO</v>
      </c>
      <c r="T100" s="33">
        <v>10</v>
      </c>
      <c r="U100" s="75">
        <f t="shared" si="16"/>
        <v>60</v>
      </c>
      <c r="V100" s="33" t="str">
        <f t="shared" si="17"/>
        <v>lll</v>
      </c>
      <c r="W100" s="74" t="str">
        <f t="shared" si="18"/>
        <v>SI</v>
      </c>
      <c r="X100" s="33">
        <v>8</v>
      </c>
      <c r="Y100" s="31" t="s">
        <v>178</v>
      </c>
      <c r="Z100" s="33" t="s">
        <v>87</v>
      </c>
      <c r="AA100" s="45"/>
      <c r="AB100" s="34"/>
      <c r="AC100" s="34"/>
      <c r="AD100" s="34" t="s">
        <v>544</v>
      </c>
      <c r="AE100" s="34" t="s">
        <v>505</v>
      </c>
      <c r="AF100" s="34" t="s">
        <v>464</v>
      </c>
      <c r="AG100" s="41">
        <v>6</v>
      </c>
      <c r="AH100" s="41">
        <v>3</v>
      </c>
      <c r="AI100" s="33">
        <f t="shared" si="10"/>
        <v>18</v>
      </c>
      <c r="AJ100" s="33" t="str">
        <f t="shared" si="11"/>
        <v>ALTO</v>
      </c>
      <c r="AK100" s="33">
        <v>25</v>
      </c>
      <c r="AL100" s="33">
        <f t="shared" si="19"/>
        <v>450</v>
      </c>
      <c r="AM100" s="33" t="str">
        <f t="shared" si="12"/>
        <v>RIESGO ALTO</v>
      </c>
      <c r="AN100" s="33"/>
      <c r="AO100" s="34"/>
      <c r="AP100" s="34"/>
      <c r="AQ100" s="34" t="s">
        <v>545</v>
      </c>
      <c r="AR100" s="34"/>
      <c r="AS100" s="61" t="s">
        <v>466</v>
      </c>
    </row>
    <row r="101" spans="1:45" s="8" customFormat="1" ht="48" x14ac:dyDescent="0.25">
      <c r="A101" s="195"/>
      <c r="B101" s="198"/>
      <c r="C101" s="166"/>
      <c r="D101" s="201" t="s">
        <v>546</v>
      </c>
      <c r="E101" s="32" t="s">
        <v>87</v>
      </c>
      <c r="F101" s="152" t="s">
        <v>547</v>
      </c>
      <c r="G101" s="47" t="s">
        <v>516</v>
      </c>
      <c r="H101" s="34" t="s">
        <v>183</v>
      </c>
      <c r="I101" s="32" t="s">
        <v>173</v>
      </c>
      <c r="J101" s="34" t="s">
        <v>517</v>
      </c>
      <c r="K101" s="32" t="s">
        <v>104</v>
      </c>
      <c r="L101" s="68" t="s">
        <v>185</v>
      </c>
      <c r="M101" s="73" t="s">
        <v>332</v>
      </c>
      <c r="N101" s="73" t="s">
        <v>84</v>
      </c>
      <c r="O101" s="73" t="s">
        <v>548</v>
      </c>
      <c r="P101" s="70">
        <v>2</v>
      </c>
      <c r="Q101" s="41">
        <v>3</v>
      </c>
      <c r="R101" s="33">
        <f t="shared" si="14"/>
        <v>6</v>
      </c>
      <c r="S101" s="33" t="str">
        <f t="shared" si="15"/>
        <v>MEDIO</v>
      </c>
      <c r="T101" s="33">
        <v>10</v>
      </c>
      <c r="U101" s="75">
        <f t="shared" si="16"/>
        <v>60</v>
      </c>
      <c r="V101" s="33" t="str">
        <f t="shared" si="17"/>
        <v>lll</v>
      </c>
      <c r="W101" s="74" t="str">
        <f t="shared" si="18"/>
        <v>SI</v>
      </c>
      <c r="X101" s="33">
        <v>8</v>
      </c>
      <c r="Y101" s="31" t="s">
        <v>178</v>
      </c>
      <c r="Z101" s="33" t="s">
        <v>87</v>
      </c>
      <c r="AA101" s="45"/>
      <c r="AB101" s="34"/>
      <c r="AC101" s="40"/>
      <c r="AD101" s="42" t="s">
        <v>518</v>
      </c>
      <c r="AE101" s="34" t="s">
        <v>519</v>
      </c>
      <c r="AF101" s="34" t="s">
        <v>464</v>
      </c>
      <c r="AG101" s="41">
        <v>2</v>
      </c>
      <c r="AH101" s="41">
        <v>3</v>
      </c>
      <c r="AI101" s="33">
        <f t="shared" si="10"/>
        <v>6</v>
      </c>
      <c r="AJ101" s="33" t="str">
        <f t="shared" si="11"/>
        <v>MEDIO</v>
      </c>
      <c r="AK101" s="33">
        <v>25</v>
      </c>
      <c r="AL101" s="33">
        <f t="shared" si="19"/>
        <v>150</v>
      </c>
      <c r="AM101" s="33" t="str">
        <f t="shared" si="12"/>
        <v>RIESGO ALTO</v>
      </c>
      <c r="AN101" s="33"/>
      <c r="AO101" s="34"/>
      <c r="AP101" s="40"/>
      <c r="AQ101" s="42" t="s">
        <v>520</v>
      </c>
      <c r="AR101" s="34" t="s">
        <v>519</v>
      </c>
      <c r="AS101" s="61" t="s">
        <v>466</v>
      </c>
    </row>
    <row r="102" spans="1:45" s="8" customFormat="1" ht="67.2" x14ac:dyDescent="0.25">
      <c r="A102" s="195"/>
      <c r="B102" s="198"/>
      <c r="C102" s="166"/>
      <c r="D102" s="201"/>
      <c r="E102" s="32" t="s">
        <v>87</v>
      </c>
      <c r="F102" s="152"/>
      <c r="G102" s="47" t="s">
        <v>516</v>
      </c>
      <c r="H102" s="34" t="s">
        <v>316</v>
      </c>
      <c r="I102" s="32" t="s">
        <v>102</v>
      </c>
      <c r="J102" s="32" t="s">
        <v>521</v>
      </c>
      <c r="K102" s="32" t="s">
        <v>104</v>
      </c>
      <c r="L102" s="68" t="s">
        <v>83</v>
      </c>
      <c r="M102" s="73" t="s">
        <v>332</v>
      </c>
      <c r="N102" s="73" t="s">
        <v>106</v>
      </c>
      <c r="O102" s="73" t="s">
        <v>549</v>
      </c>
      <c r="P102" s="70">
        <v>2</v>
      </c>
      <c r="Q102" s="41">
        <v>3</v>
      </c>
      <c r="R102" s="33">
        <f t="shared" si="14"/>
        <v>6</v>
      </c>
      <c r="S102" s="33" t="str">
        <f t="shared" si="15"/>
        <v>MEDIO</v>
      </c>
      <c r="T102" s="33">
        <v>10</v>
      </c>
      <c r="U102" s="75">
        <f t="shared" si="16"/>
        <v>60</v>
      </c>
      <c r="V102" s="33" t="str">
        <f t="shared" si="17"/>
        <v>lll</v>
      </c>
      <c r="W102" s="74" t="str">
        <f t="shared" si="18"/>
        <v>SI</v>
      </c>
      <c r="X102" s="33">
        <v>8</v>
      </c>
      <c r="Y102" s="31" t="s">
        <v>108</v>
      </c>
      <c r="Z102" s="33" t="s">
        <v>87</v>
      </c>
      <c r="AA102" s="45"/>
      <c r="AB102" s="34"/>
      <c r="AC102" s="40"/>
      <c r="AD102" s="34" t="s">
        <v>523</v>
      </c>
      <c r="AE102" s="34" t="s">
        <v>524</v>
      </c>
      <c r="AF102" s="34" t="s">
        <v>464</v>
      </c>
      <c r="AG102" s="41">
        <v>2</v>
      </c>
      <c r="AH102" s="41">
        <v>2</v>
      </c>
      <c r="AI102" s="33">
        <f t="shared" ref="AI102:AI165" si="20">AG102*AH102</f>
        <v>4</v>
      </c>
      <c r="AJ102" s="33" t="str">
        <f t="shared" ref="AJ102:AJ165" si="21">IF(AND(AI102&gt;=0,AI102&lt;=4),"BAJO",IF(AND(AI102&gt;=6,AI102&lt;=8),"MEDIO",IF(AND(AI102&gt;=10,AI102&lt;=20),"ALTO",IF(AND(AI102&gt;=24,AI102&lt;=40),"MUY ALTO"))))</f>
        <v>BAJO</v>
      </c>
      <c r="AK102" s="33">
        <v>10</v>
      </c>
      <c r="AL102" s="33">
        <f t="shared" si="19"/>
        <v>40</v>
      </c>
      <c r="AM102" s="33" t="str">
        <f t="shared" ref="AM102:AM165" si="22">IF(AND(AL102&gt;=0,AL102&lt;=120),"RIESGO ACEPTABLE",IF(AND(AL102&gt;=150,AL102&lt;=500),"RIESGO ALTO",IF(AND(AL102&gt;=600,AL102&lt;=4000),"RIESGO NO ACEPTABLE")))</f>
        <v>RIESGO ACEPTABLE</v>
      </c>
      <c r="AN102" s="33"/>
      <c r="AO102" s="34"/>
      <c r="AP102" s="34"/>
      <c r="AQ102" s="34" t="s">
        <v>525</v>
      </c>
      <c r="AR102" s="34" t="s">
        <v>524</v>
      </c>
      <c r="AS102" s="61" t="s">
        <v>466</v>
      </c>
    </row>
    <row r="103" spans="1:45" s="8" customFormat="1" ht="67.2" x14ac:dyDescent="0.25">
      <c r="A103" s="195"/>
      <c r="B103" s="198"/>
      <c r="C103" s="166"/>
      <c r="D103" s="201"/>
      <c r="E103" s="32" t="s">
        <v>87</v>
      </c>
      <c r="F103" s="152"/>
      <c r="G103" s="47" t="s">
        <v>516</v>
      </c>
      <c r="H103" s="34" t="s">
        <v>550</v>
      </c>
      <c r="I103" s="32" t="s">
        <v>102</v>
      </c>
      <c r="J103" s="40" t="s">
        <v>551</v>
      </c>
      <c r="K103" s="32" t="s">
        <v>104</v>
      </c>
      <c r="L103" s="68" t="s">
        <v>552</v>
      </c>
      <c r="M103" s="73" t="s">
        <v>332</v>
      </c>
      <c r="N103" s="73" t="s">
        <v>106</v>
      </c>
      <c r="O103" s="73" t="s">
        <v>549</v>
      </c>
      <c r="P103" s="70">
        <v>2</v>
      </c>
      <c r="Q103" s="41">
        <v>3</v>
      </c>
      <c r="R103" s="33">
        <f t="shared" si="14"/>
        <v>6</v>
      </c>
      <c r="S103" s="33" t="str">
        <f t="shared" si="15"/>
        <v>MEDIO</v>
      </c>
      <c r="T103" s="33">
        <v>10</v>
      </c>
      <c r="U103" s="75">
        <f t="shared" si="16"/>
        <v>60</v>
      </c>
      <c r="V103" s="33" t="str">
        <f t="shared" si="17"/>
        <v>lll</v>
      </c>
      <c r="W103" s="74" t="str">
        <f t="shared" si="18"/>
        <v>SI</v>
      </c>
      <c r="X103" s="33">
        <v>8</v>
      </c>
      <c r="Y103" s="31" t="s">
        <v>108</v>
      </c>
      <c r="Z103" s="33" t="s">
        <v>87</v>
      </c>
      <c r="AA103" s="45"/>
      <c r="AB103" s="34"/>
      <c r="AC103" s="40"/>
      <c r="AD103" s="34" t="s">
        <v>553</v>
      </c>
      <c r="AE103" s="34" t="s">
        <v>530</v>
      </c>
      <c r="AF103" s="34" t="s">
        <v>464</v>
      </c>
      <c r="AG103" s="41">
        <v>2</v>
      </c>
      <c r="AH103" s="41">
        <v>3</v>
      </c>
      <c r="AI103" s="33">
        <f t="shared" si="20"/>
        <v>6</v>
      </c>
      <c r="AJ103" s="33" t="str">
        <f t="shared" si="21"/>
        <v>MEDIO</v>
      </c>
      <c r="AK103" s="33">
        <v>25</v>
      </c>
      <c r="AL103" s="33">
        <f t="shared" si="19"/>
        <v>150</v>
      </c>
      <c r="AM103" s="33" t="str">
        <f t="shared" si="22"/>
        <v>RIESGO ALTO</v>
      </c>
      <c r="AN103" s="33"/>
      <c r="AO103" s="34"/>
      <c r="AP103" s="40"/>
      <c r="AQ103" s="34" t="s">
        <v>554</v>
      </c>
      <c r="AR103" s="34" t="s">
        <v>555</v>
      </c>
      <c r="AS103" s="61" t="s">
        <v>466</v>
      </c>
    </row>
    <row r="104" spans="1:45" s="8" customFormat="1" ht="67.2" x14ac:dyDescent="0.25">
      <c r="A104" s="195"/>
      <c r="B104" s="198"/>
      <c r="C104" s="166"/>
      <c r="D104" s="201"/>
      <c r="E104" s="32" t="s">
        <v>87</v>
      </c>
      <c r="F104" s="152"/>
      <c r="G104" s="47" t="s">
        <v>516</v>
      </c>
      <c r="H104" s="34" t="s">
        <v>138</v>
      </c>
      <c r="I104" s="32" t="s">
        <v>139</v>
      </c>
      <c r="J104" s="40" t="s">
        <v>532</v>
      </c>
      <c r="K104" s="32" t="s">
        <v>104</v>
      </c>
      <c r="L104" s="68" t="s">
        <v>475</v>
      </c>
      <c r="M104" s="73" t="s">
        <v>332</v>
      </c>
      <c r="N104" s="73" t="s">
        <v>84</v>
      </c>
      <c r="O104" s="73" t="s">
        <v>556</v>
      </c>
      <c r="P104" s="70">
        <v>2</v>
      </c>
      <c r="Q104" s="41">
        <v>2</v>
      </c>
      <c r="R104" s="33">
        <f t="shared" si="14"/>
        <v>4</v>
      </c>
      <c r="S104" s="33" t="str">
        <f t="shared" si="15"/>
        <v>BAJO</v>
      </c>
      <c r="T104" s="33">
        <v>10</v>
      </c>
      <c r="U104" s="75">
        <f t="shared" si="16"/>
        <v>40</v>
      </c>
      <c r="V104" s="33" t="str">
        <f t="shared" si="17"/>
        <v>lll</v>
      </c>
      <c r="W104" s="74" t="str">
        <f t="shared" si="18"/>
        <v>SI</v>
      </c>
      <c r="X104" s="33">
        <v>8</v>
      </c>
      <c r="Y104" s="31" t="s">
        <v>143</v>
      </c>
      <c r="Z104" s="33" t="s">
        <v>87</v>
      </c>
      <c r="AA104" s="45"/>
      <c r="AB104" s="34"/>
      <c r="AC104" s="42"/>
      <c r="AD104" s="42" t="s">
        <v>557</v>
      </c>
      <c r="AE104" s="34"/>
      <c r="AF104" s="34" t="s">
        <v>464</v>
      </c>
      <c r="AG104" s="41">
        <v>2</v>
      </c>
      <c r="AH104" s="41">
        <v>3</v>
      </c>
      <c r="AI104" s="33">
        <f t="shared" si="20"/>
        <v>6</v>
      </c>
      <c r="AJ104" s="33" t="str">
        <f t="shared" si="21"/>
        <v>MEDIO</v>
      </c>
      <c r="AK104" s="33">
        <v>25</v>
      </c>
      <c r="AL104" s="33">
        <f t="shared" si="19"/>
        <v>150</v>
      </c>
      <c r="AM104" s="33" t="str">
        <f t="shared" si="22"/>
        <v>RIESGO ALTO</v>
      </c>
      <c r="AN104" s="33"/>
      <c r="AO104" s="34"/>
      <c r="AP104" s="34"/>
      <c r="AQ104" s="42" t="s">
        <v>558</v>
      </c>
      <c r="AR104" s="34"/>
      <c r="AS104" s="61" t="s">
        <v>466</v>
      </c>
    </row>
    <row r="105" spans="1:45" s="8" customFormat="1" ht="57.6" x14ac:dyDescent="0.25">
      <c r="A105" s="195"/>
      <c r="B105" s="198"/>
      <c r="C105" s="166"/>
      <c r="D105" s="201"/>
      <c r="E105" s="32" t="s">
        <v>87</v>
      </c>
      <c r="F105" s="152"/>
      <c r="G105" s="47" t="s">
        <v>516</v>
      </c>
      <c r="H105" s="34" t="s">
        <v>214</v>
      </c>
      <c r="I105" s="32" t="s">
        <v>139</v>
      </c>
      <c r="J105" s="34" t="s">
        <v>535</v>
      </c>
      <c r="K105" s="32" t="s">
        <v>104</v>
      </c>
      <c r="L105" s="68" t="s">
        <v>216</v>
      </c>
      <c r="M105" s="73" t="s">
        <v>332</v>
      </c>
      <c r="N105" s="73" t="s">
        <v>84</v>
      </c>
      <c r="O105" s="73" t="s">
        <v>217</v>
      </c>
      <c r="P105" s="70">
        <v>2</v>
      </c>
      <c r="Q105" s="41">
        <v>3</v>
      </c>
      <c r="R105" s="33">
        <f t="shared" si="14"/>
        <v>6</v>
      </c>
      <c r="S105" s="33" t="str">
        <f t="shared" si="15"/>
        <v>MEDIO</v>
      </c>
      <c r="T105" s="33">
        <v>10</v>
      </c>
      <c r="U105" s="75">
        <f t="shared" si="16"/>
        <v>60</v>
      </c>
      <c r="V105" s="33" t="str">
        <f t="shared" si="17"/>
        <v>lll</v>
      </c>
      <c r="W105" s="74" t="str">
        <f t="shared" si="18"/>
        <v>SI</v>
      </c>
      <c r="X105" s="33">
        <v>8</v>
      </c>
      <c r="Y105" s="31" t="s">
        <v>218</v>
      </c>
      <c r="Z105" s="33" t="s">
        <v>87</v>
      </c>
      <c r="AA105" s="45"/>
      <c r="AB105" s="32"/>
      <c r="AC105" s="34"/>
      <c r="AD105" s="34" t="s">
        <v>536</v>
      </c>
      <c r="AE105" s="34"/>
      <c r="AF105" s="34" t="s">
        <v>464</v>
      </c>
      <c r="AG105" s="41">
        <v>2</v>
      </c>
      <c r="AH105" s="41">
        <v>3</v>
      </c>
      <c r="AI105" s="33">
        <f t="shared" si="20"/>
        <v>6</v>
      </c>
      <c r="AJ105" s="33" t="str">
        <f t="shared" si="21"/>
        <v>MEDIO</v>
      </c>
      <c r="AK105" s="33">
        <v>25</v>
      </c>
      <c r="AL105" s="33">
        <f t="shared" si="19"/>
        <v>150</v>
      </c>
      <c r="AM105" s="33" t="str">
        <f t="shared" si="22"/>
        <v>RIESGO ALTO</v>
      </c>
      <c r="AN105" s="33"/>
      <c r="AO105" s="32"/>
      <c r="AP105" s="34"/>
      <c r="AQ105" s="34" t="s">
        <v>537</v>
      </c>
      <c r="AR105" s="34"/>
      <c r="AS105" s="61" t="s">
        <v>466</v>
      </c>
    </row>
    <row r="106" spans="1:45" s="8" customFormat="1" ht="67.2" x14ac:dyDescent="0.25">
      <c r="A106" s="195"/>
      <c r="B106" s="198"/>
      <c r="C106" s="166"/>
      <c r="D106" s="201"/>
      <c r="E106" s="32" t="s">
        <v>87</v>
      </c>
      <c r="F106" s="152"/>
      <c r="G106" s="47" t="s">
        <v>516</v>
      </c>
      <c r="H106" s="34" t="s">
        <v>149</v>
      </c>
      <c r="I106" s="32" t="s">
        <v>139</v>
      </c>
      <c r="J106" s="32" t="s">
        <v>538</v>
      </c>
      <c r="K106" s="32" t="s">
        <v>104</v>
      </c>
      <c r="L106" s="68" t="s">
        <v>327</v>
      </c>
      <c r="M106" s="73" t="s">
        <v>332</v>
      </c>
      <c r="N106" s="73" t="s">
        <v>84</v>
      </c>
      <c r="O106" s="73" t="s">
        <v>556</v>
      </c>
      <c r="P106" s="70">
        <v>2</v>
      </c>
      <c r="Q106" s="41">
        <v>3</v>
      </c>
      <c r="R106" s="33">
        <f t="shared" si="14"/>
        <v>6</v>
      </c>
      <c r="S106" s="33" t="str">
        <f t="shared" si="15"/>
        <v>MEDIO</v>
      </c>
      <c r="T106" s="33">
        <v>10</v>
      </c>
      <c r="U106" s="75">
        <f t="shared" si="16"/>
        <v>60</v>
      </c>
      <c r="V106" s="33" t="str">
        <f t="shared" si="17"/>
        <v>lll</v>
      </c>
      <c r="W106" s="74" t="str">
        <f t="shared" si="18"/>
        <v>SI</v>
      </c>
      <c r="X106" s="33">
        <v>8</v>
      </c>
      <c r="Y106" s="31" t="s">
        <v>143</v>
      </c>
      <c r="Z106" s="33" t="s">
        <v>87</v>
      </c>
      <c r="AA106" s="45"/>
      <c r="AB106" s="34"/>
      <c r="AC106" s="34"/>
      <c r="AD106" s="42" t="s">
        <v>557</v>
      </c>
      <c r="AE106" s="34"/>
      <c r="AF106" s="34" t="s">
        <v>464</v>
      </c>
      <c r="AG106" s="41">
        <v>2</v>
      </c>
      <c r="AH106" s="41">
        <v>3</v>
      </c>
      <c r="AI106" s="33">
        <f t="shared" si="20"/>
        <v>6</v>
      </c>
      <c r="AJ106" s="33" t="str">
        <f t="shared" si="21"/>
        <v>MEDIO</v>
      </c>
      <c r="AK106" s="33">
        <v>25</v>
      </c>
      <c r="AL106" s="33">
        <f t="shared" si="19"/>
        <v>150</v>
      </c>
      <c r="AM106" s="33" t="str">
        <f t="shared" si="22"/>
        <v>RIESGO ALTO</v>
      </c>
      <c r="AN106" s="33"/>
      <c r="AO106" s="34"/>
      <c r="AP106" s="34"/>
      <c r="AQ106" s="42" t="s">
        <v>558</v>
      </c>
      <c r="AR106" s="34"/>
      <c r="AS106" s="61" t="s">
        <v>466</v>
      </c>
    </row>
    <row r="107" spans="1:45" s="8" customFormat="1" ht="48" x14ac:dyDescent="0.25">
      <c r="A107" s="195"/>
      <c r="B107" s="198"/>
      <c r="C107" s="166"/>
      <c r="D107" s="201"/>
      <c r="E107" s="32" t="s">
        <v>87</v>
      </c>
      <c r="F107" s="152"/>
      <c r="G107" s="47" t="s">
        <v>516</v>
      </c>
      <c r="H107" s="34" t="s">
        <v>334</v>
      </c>
      <c r="I107" s="32" t="s">
        <v>158</v>
      </c>
      <c r="J107" s="32" t="s">
        <v>541</v>
      </c>
      <c r="K107" s="32" t="s">
        <v>104</v>
      </c>
      <c r="L107" s="68" t="s">
        <v>542</v>
      </c>
      <c r="M107" s="73" t="s">
        <v>332</v>
      </c>
      <c r="N107" s="73" t="s">
        <v>84</v>
      </c>
      <c r="O107" s="73" t="s">
        <v>559</v>
      </c>
      <c r="P107" s="70">
        <v>2</v>
      </c>
      <c r="Q107" s="41">
        <v>3</v>
      </c>
      <c r="R107" s="33">
        <f t="shared" si="14"/>
        <v>6</v>
      </c>
      <c r="S107" s="33" t="str">
        <f t="shared" si="15"/>
        <v>MEDIO</v>
      </c>
      <c r="T107" s="33">
        <v>10</v>
      </c>
      <c r="U107" s="75">
        <f t="shared" si="16"/>
        <v>60</v>
      </c>
      <c r="V107" s="33" t="str">
        <f t="shared" si="17"/>
        <v>lll</v>
      </c>
      <c r="W107" s="74" t="str">
        <f t="shared" si="18"/>
        <v>SI</v>
      </c>
      <c r="X107" s="33">
        <v>8</v>
      </c>
      <c r="Y107" s="31" t="s">
        <v>178</v>
      </c>
      <c r="Z107" s="33" t="s">
        <v>87</v>
      </c>
      <c r="AA107" s="45"/>
      <c r="AB107" s="34"/>
      <c r="AC107" s="34"/>
      <c r="AD107" s="34" t="s">
        <v>544</v>
      </c>
      <c r="AE107" s="34" t="s">
        <v>505</v>
      </c>
      <c r="AF107" s="34" t="s">
        <v>464</v>
      </c>
      <c r="AG107" s="41">
        <v>2</v>
      </c>
      <c r="AH107" s="41">
        <v>3</v>
      </c>
      <c r="AI107" s="33">
        <f t="shared" si="20"/>
        <v>6</v>
      </c>
      <c r="AJ107" s="33" t="str">
        <f t="shared" si="21"/>
        <v>MEDIO</v>
      </c>
      <c r="AK107" s="33">
        <v>25</v>
      </c>
      <c r="AL107" s="33">
        <f t="shared" si="19"/>
        <v>150</v>
      </c>
      <c r="AM107" s="33" t="str">
        <f t="shared" si="22"/>
        <v>RIESGO ALTO</v>
      </c>
      <c r="AN107" s="33"/>
      <c r="AO107" s="34"/>
      <c r="AP107" s="34"/>
      <c r="AQ107" s="34" t="s">
        <v>545</v>
      </c>
      <c r="AR107" s="34" t="s">
        <v>505</v>
      </c>
      <c r="AS107" s="61" t="s">
        <v>466</v>
      </c>
    </row>
    <row r="108" spans="1:45" s="8" customFormat="1" ht="38.4" x14ac:dyDescent="0.25">
      <c r="A108" s="195"/>
      <c r="B108" s="198"/>
      <c r="C108" s="166"/>
      <c r="D108" s="201"/>
      <c r="E108" s="32" t="s">
        <v>87</v>
      </c>
      <c r="F108" s="152"/>
      <c r="G108" s="47" t="s">
        <v>516</v>
      </c>
      <c r="H108" s="34" t="s">
        <v>157</v>
      </c>
      <c r="I108" s="32" t="s">
        <v>158</v>
      </c>
      <c r="J108" s="34" t="s">
        <v>560</v>
      </c>
      <c r="K108" s="32" t="s">
        <v>104</v>
      </c>
      <c r="L108" s="68" t="s">
        <v>160</v>
      </c>
      <c r="M108" s="73" t="s">
        <v>332</v>
      </c>
      <c r="N108" s="73" t="s">
        <v>84</v>
      </c>
      <c r="O108" s="73" t="s">
        <v>561</v>
      </c>
      <c r="P108" s="70">
        <v>2</v>
      </c>
      <c r="Q108" s="41">
        <v>3</v>
      </c>
      <c r="R108" s="33">
        <f t="shared" si="14"/>
        <v>6</v>
      </c>
      <c r="S108" s="33" t="str">
        <f t="shared" si="15"/>
        <v>MEDIO</v>
      </c>
      <c r="T108" s="33">
        <v>10</v>
      </c>
      <c r="U108" s="75">
        <f t="shared" si="16"/>
        <v>60</v>
      </c>
      <c r="V108" s="33" t="str">
        <f t="shared" si="17"/>
        <v>lll</v>
      </c>
      <c r="W108" s="74" t="str">
        <f t="shared" si="18"/>
        <v>SI</v>
      </c>
      <c r="X108" s="33">
        <v>8</v>
      </c>
      <c r="Y108" s="31" t="s">
        <v>163</v>
      </c>
      <c r="Z108" s="33" t="s">
        <v>87</v>
      </c>
      <c r="AA108" s="46"/>
      <c r="AB108" s="34"/>
      <c r="AC108" s="34"/>
      <c r="AD108" s="34" t="s">
        <v>562</v>
      </c>
      <c r="AE108" s="34" t="s">
        <v>563</v>
      </c>
      <c r="AF108" s="34" t="s">
        <v>464</v>
      </c>
      <c r="AG108" s="41">
        <v>6</v>
      </c>
      <c r="AH108" s="41">
        <v>3</v>
      </c>
      <c r="AI108" s="33">
        <f t="shared" si="20"/>
        <v>18</v>
      </c>
      <c r="AJ108" s="33" t="str">
        <f t="shared" si="21"/>
        <v>ALTO</v>
      </c>
      <c r="AK108" s="33">
        <v>25</v>
      </c>
      <c r="AL108" s="33">
        <f t="shared" si="19"/>
        <v>450</v>
      </c>
      <c r="AM108" s="33" t="str">
        <f t="shared" si="22"/>
        <v>RIESGO ALTO</v>
      </c>
      <c r="AN108" s="33"/>
      <c r="AO108" s="34"/>
      <c r="AP108" s="34"/>
      <c r="AQ108" s="34" t="s">
        <v>564</v>
      </c>
      <c r="AR108" s="34" t="s">
        <v>563</v>
      </c>
      <c r="AS108" s="61" t="s">
        <v>466</v>
      </c>
    </row>
    <row r="109" spans="1:45" s="8" customFormat="1" ht="57.6" x14ac:dyDescent="0.25">
      <c r="A109" s="195"/>
      <c r="B109" s="198"/>
      <c r="C109" s="166"/>
      <c r="D109" s="196" t="s">
        <v>565</v>
      </c>
      <c r="E109" s="32" t="s">
        <v>87</v>
      </c>
      <c r="F109" s="152" t="s">
        <v>566</v>
      </c>
      <c r="G109" s="47" t="s">
        <v>516</v>
      </c>
      <c r="H109" s="34" t="s">
        <v>183</v>
      </c>
      <c r="I109" s="32" t="s">
        <v>173</v>
      </c>
      <c r="J109" s="47" t="s">
        <v>567</v>
      </c>
      <c r="K109" s="32" t="s">
        <v>104</v>
      </c>
      <c r="L109" s="68" t="s">
        <v>185</v>
      </c>
      <c r="M109" s="73" t="s">
        <v>332</v>
      </c>
      <c r="N109" s="73" t="s">
        <v>84</v>
      </c>
      <c r="O109" s="73" t="s">
        <v>491</v>
      </c>
      <c r="P109" s="70">
        <v>2</v>
      </c>
      <c r="Q109" s="41">
        <v>3</v>
      </c>
      <c r="R109" s="33">
        <f t="shared" si="14"/>
        <v>6</v>
      </c>
      <c r="S109" s="33" t="str">
        <f t="shared" si="15"/>
        <v>MEDIO</v>
      </c>
      <c r="T109" s="33">
        <v>10</v>
      </c>
      <c r="U109" s="75">
        <f t="shared" si="16"/>
        <v>60</v>
      </c>
      <c r="V109" s="33" t="str">
        <f t="shared" si="17"/>
        <v>lll</v>
      </c>
      <c r="W109" s="74" t="str">
        <f t="shared" si="18"/>
        <v>SI</v>
      </c>
      <c r="X109" s="33">
        <v>8</v>
      </c>
      <c r="Y109" s="31" t="s">
        <v>178</v>
      </c>
      <c r="Z109" s="33" t="s">
        <v>87</v>
      </c>
      <c r="AA109" s="46"/>
      <c r="AB109" s="33"/>
      <c r="AC109" s="34"/>
      <c r="AD109" s="34" t="s">
        <v>568</v>
      </c>
      <c r="AE109" s="34" t="s">
        <v>569</v>
      </c>
      <c r="AF109" s="34" t="s">
        <v>464</v>
      </c>
      <c r="AG109" s="41">
        <v>2</v>
      </c>
      <c r="AH109" s="41">
        <v>3</v>
      </c>
      <c r="AI109" s="33">
        <f t="shared" si="20"/>
        <v>6</v>
      </c>
      <c r="AJ109" s="33" t="str">
        <f t="shared" si="21"/>
        <v>MEDIO</v>
      </c>
      <c r="AK109" s="33">
        <v>10</v>
      </c>
      <c r="AL109" s="33">
        <f t="shared" si="19"/>
        <v>60</v>
      </c>
      <c r="AM109" s="33" t="str">
        <f t="shared" si="22"/>
        <v>RIESGO ACEPTABLE</v>
      </c>
      <c r="AN109" s="34"/>
      <c r="AO109" s="34"/>
      <c r="AP109" s="34"/>
      <c r="AQ109" s="34" t="s">
        <v>570</v>
      </c>
      <c r="AR109" s="34" t="s">
        <v>569</v>
      </c>
      <c r="AS109" s="61" t="s">
        <v>464</v>
      </c>
    </row>
    <row r="110" spans="1:45" s="8" customFormat="1" ht="38.4" x14ac:dyDescent="0.25">
      <c r="A110" s="195"/>
      <c r="B110" s="198"/>
      <c r="C110" s="166"/>
      <c r="D110" s="196"/>
      <c r="E110" s="32" t="s">
        <v>87</v>
      </c>
      <c r="F110" s="152"/>
      <c r="G110" s="47" t="s">
        <v>516</v>
      </c>
      <c r="H110" s="34" t="s">
        <v>191</v>
      </c>
      <c r="I110" s="32" t="s">
        <v>173</v>
      </c>
      <c r="J110" s="34" t="s">
        <v>571</v>
      </c>
      <c r="K110" s="32" t="s">
        <v>104</v>
      </c>
      <c r="L110" s="68" t="s">
        <v>193</v>
      </c>
      <c r="M110" s="73" t="s">
        <v>332</v>
      </c>
      <c r="N110" s="73" t="s">
        <v>84</v>
      </c>
      <c r="O110" s="73" t="s">
        <v>491</v>
      </c>
      <c r="P110" s="70">
        <v>2</v>
      </c>
      <c r="Q110" s="41">
        <v>3</v>
      </c>
      <c r="R110" s="33">
        <f t="shared" si="14"/>
        <v>6</v>
      </c>
      <c r="S110" s="33" t="str">
        <f t="shared" si="15"/>
        <v>MEDIO</v>
      </c>
      <c r="T110" s="33">
        <v>10</v>
      </c>
      <c r="U110" s="75">
        <f t="shared" si="16"/>
        <v>60</v>
      </c>
      <c r="V110" s="33" t="str">
        <f t="shared" si="17"/>
        <v>lll</v>
      </c>
      <c r="W110" s="74" t="str">
        <f t="shared" si="18"/>
        <v>SI</v>
      </c>
      <c r="X110" s="33">
        <v>8</v>
      </c>
      <c r="Y110" s="31" t="s">
        <v>195</v>
      </c>
      <c r="Z110" s="33" t="s">
        <v>87</v>
      </c>
      <c r="AA110" s="46"/>
      <c r="AB110" s="32"/>
      <c r="AC110" s="34"/>
      <c r="AD110" s="34" t="s">
        <v>572</v>
      </c>
      <c r="AE110" s="34"/>
      <c r="AF110" s="34" t="s">
        <v>464</v>
      </c>
      <c r="AG110" s="41">
        <v>2</v>
      </c>
      <c r="AH110" s="41">
        <v>3</v>
      </c>
      <c r="AI110" s="33">
        <f t="shared" si="20"/>
        <v>6</v>
      </c>
      <c r="AJ110" s="33" t="str">
        <f t="shared" si="21"/>
        <v>MEDIO</v>
      </c>
      <c r="AK110" s="33">
        <v>10</v>
      </c>
      <c r="AL110" s="33">
        <f t="shared" si="19"/>
        <v>60</v>
      </c>
      <c r="AM110" s="33" t="str">
        <f t="shared" si="22"/>
        <v>RIESGO ACEPTABLE</v>
      </c>
      <c r="AN110" s="33"/>
      <c r="AO110" s="32"/>
      <c r="AP110" s="34"/>
      <c r="AQ110" s="34" t="s">
        <v>573</v>
      </c>
      <c r="AR110" s="34"/>
      <c r="AS110" s="61" t="s">
        <v>466</v>
      </c>
    </row>
    <row r="111" spans="1:45" s="8" customFormat="1" ht="38.4" x14ac:dyDescent="0.25">
      <c r="A111" s="195"/>
      <c r="B111" s="198"/>
      <c r="C111" s="166"/>
      <c r="D111" s="196"/>
      <c r="E111" s="49" t="s">
        <v>87</v>
      </c>
      <c r="F111" s="152"/>
      <c r="G111" s="47" t="s">
        <v>516</v>
      </c>
      <c r="H111" s="34" t="s">
        <v>409</v>
      </c>
      <c r="I111" s="32" t="s">
        <v>115</v>
      </c>
      <c r="J111" s="32" t="s">
        <v>574</v>
      </c>
      <c r="K111" s="32" t="s">
        <v>104</v>
      </c>
      <c r="L111" s="68" t="s">
        <v>411</v>
      </c>
      <c r="M111" s="73" t="s">
        <v>332</v>
      </c>
      <c r="N111" s="73" t="s">
        <v>332</v>
      </c>
      <c r="O111" s="73" t="s">
        <v>443</v>
      </c>
      <c r="P111" s="70">
        <v>2</v>
      </c>
      <c r="Q111" s="41">
        <v>3</v>
      </c>
      <c r="R111" s="33">
        <f t="shared" si="14"/>
        <v>6</v>
      </c>
      <c r="S111" s="33" t="str">
        <f t="shared" si="15"/>
        <v>MEDIO</v>
      </c>
      <c r="T111" s="33">
        <v>10</v>
      </c>
      <c r="U111" s="75">
        <f t="shared" si="16"/>
        <v>60</v>
      </c>
      <c r="V111" s="33" t="str">
        <f t="shared" si="17"/>
        <v>lll</v>
      </c>
      <c r="W111" s="74" t="str">
        <f t="shared" si="18"/>
        <v>SI</v>
      </c>
      <c r="X111" s="33">
        <v>8</v>
      </c>
      <c r="Y111" s="31" t="s">
        <v>413</v>
      </c>
      <c r="Z111" s="33" t="s">
        <v>87</v>
      </c>
      <c r="AA111" s="45"/>
      <c r="AB111" s="32"/>
      <c r="AC111" s="40"/>
      <c r="AD111" s="34" t="s">
        <v>575</v>
      </c>
      <c r="AE111" s="34" t="s">
        <v>190</v>
      </c>
      <c r="AF111" s="34" t="s">
        <v>576</v>
      </c>
      <c r="AG111" s="41">
        <v>2</v>
      </c>
      <c r="AH111" s="41">
        <v>3</v>
      </c>
      <c r="AI111" s="33">
        <f t="shared" si="20"/>
        <v>6</v>
      </c>
      <c r="AJ111" s="33" t="str">
        <f t="shared" si="21"/>
        <v>MEDIO</v>
      </c>
      <c r="AK111" s="33">
        <v>10</v>
      </c>
      <c r="AL111" s="33">
        <f t="shared" si="19"/>
        <v>60</v>
      </c>
      <c r="AM111" s="33" t="str">
        <f t="shared" si="22"/>
        <v>RIESGO ACEPTABLE</v>
      </c>
      <c r="AN111" s="33"/>
      <c r="AO111" s="32"/>
      <c r="AP111" s="40"/>
      <c r="AQ111" s="34" t="s">
        <v>575</v>
      </c>
      <c r="AR111" s="34"/>
      <c r="AS111" s="61" t="s">
        <v>466</v>
      </c>
    </row>
    <row r="112" spans="1:45" s="8" customFormat="1" ht="28.8" x14ac:dyDescent="0.25">
      <c r="A112" s="195"/>
      <c r="B112" s="198"/>
      <c r="C112" s="166"/>
      <c r="D112" s="196"/>
      <c r="E112" s="49" t="s">
        <v>87</v>
      </c>
      <c r="F112" s="152"/>
      <c r="G112" s="47" t="s">
        <v>516</v>
      </c>
      <c r="H112" s="34" t="s">
        <v>577</v>
      </c>
      <c r="I112" s="32" t="s">
        <v>80</v>
      </c>
      <c r="J112" s="34" t="s">
        <v>578</v>
      </c>
      <c r="K112" s="32" t="s">
        <v>104</v>
      </c>
      <c r="L112" s="68" t="s">
        <v>579</v>
      </c>
      <c r="M112" s="73" t="s">
        <v>332</v>
      </c>
      <c r="N112" s="73" t="s">
        <v>84</v>
      </c>
      <c r="O112" s="73" t="s">
        <v>580</v>
      </c>
      <c r="P112" s="70">
        <v>2</v>
      </c>
      <c r="Q112" s="41">
        <v>3</v>
      </c>
      <c r="R112" s="33">
        <f t="shared" si="14"/>
        <v>6</v>
      </c>
      <c r="S112" s="33" t="str">
        <f t="shared" si="15"/>
        <v>MEDIO</v>
      </c>
      <c r="T112" s="33">
        <v>10</v>
      </c>
      <c r="U112" s="75">
        <f t="shared" si="16"/>
        <v>60</v>
      </c>
      <c r="V112" s="33" t="str">
        <f t="shared" si="17"/>
        <v>lll</v>
      </c>
      <c r="W112" s="74" t="str">
        <f t="shared" si="18"/>
        <v>SI</v>
      </c>
      <c r="X112" s="33">
        <v>8</v>
      </c>
      <c r="Y112" s="31" t="s">
        <v>581</v>
      </c>
      <c r="Z112" s="33" t="s">
        <v>87</v>
      </c>
      <c r="AA112" s="45"/>
      <c r="AB112" s="34"/>
      <c r="AC112" s="40"/>
      <c r="AD112" s="50" t="s">
        <v>582</v>
      </c>
      <c r="AE112" s="50" t="s">
        <v>190</v>
      </c>
      <c r="AF112" s="50" t="s">
        <v>582</v>
      </c>
      <c r="AG112" s="41">
        <v>2</v>
      </c>
      <c r="AH112" s="41">
        <v>3</v>
      </c>
      <c r="AI112" s="33">
        <f t="shared" si="20"/>
        <v>6</v>
      </c>
      <c r="AJ112" s="33" t="str">
        <f t="shared" si="21"/>
        <v>MEDIO</v>
      </c>
      <c r="AK112" s="33">
        <v>10</v>
      </c>
      <c r="AL112" s="33">
        <f t="shared" si="19"/>
        <v>60</v>
      </c>
      <c r="AM112" s="33" t="str">
        <f t="shared" si="22"/>
        <v>RIESGO ACEPTABLE</v>
      </c>
      <c r="AN112" s="33"/>
      <c r="AO112" s="34"/>
      <c r="AP112" s="40"/>
      <c r="AQ112" s="34" t="s">
        <v>583</v>
      </c>
      <c r="AR112" s="50" t="s">
        <v>190</v>
      </c>
      <c r="AS112" s="61" t="s">
        <v>466</v>
      </c>
    </row>
    <row r="113" spans="1:152" s="8" customFormat="1" ht="38.4" x14ac:dyDescent="0.25">
      <c r="A113" s="195"/>
      <c r="B113" s="198"/>
      <c r="C113" s="166"/>
      <c r="D113" s="196"/>
      <c r="E113" s="49" t="s">
        <v>87</v>
      </c>
      <c r="F113" s="152"/>
      <c r="G113" s="47" t="s">
        <v>516</v>
      </c>
      <c r="H113" s="34" t="s">
        <v>114</v>
      </c>
      <c r="I113" s="32" t="s">
        <v>115</v>
      </c>
      <c r="J113" s="34" t="s">
        <v>263</v>
      </c>
      <c r="K113" s="34" t="s">
        <v>104</v>
      </c>
      <c r="L113" s="68" t="s">
        <v>117</v>
      </c>
      <c r="M113" s="73" t="s">
        <v>332</v>
      </c>
      <c r="N113" s="73" t="s">
        <v>84</v>
      </c>
      <c r="O113" s="73" t="s">
        <v>264</v>
      </c>
      <c r="P113" s="70">
        <v>2</v>
      </c>
      <c r="Q113" s="44">
        <v>3</v>
      </c>
      <c r="R113" s="33">
        <f>P113*Q113</f>
        <v>6</v>
      </c>
      <c r="S113" s="33" t="str">
        <f t="shared" si="15"/>
        <v>MEDIO</v>
      </c>
      <c r="T113" s="33">
        <v>10</v>
      </c>
      <c r="U113" s="75">
        <f t="shared" si="16"/>
        <v>60</v>
      </c>
      <c r="V113" s="33" t="str">
        <f t="shared" si="17"/>
        <v>lll</v>
      </c>
      <c r="W113" s="74" t="str">
        <f t="shared" si="18"/>
        <v>SI</v>
      </c>
      <c r="X113" s="33">
        <v>8</v>
      </c>
      <c r="Y113" s="31" t="s">
        <v>119</v>
      </c>
      <c r="Z113" s="33" t="s">
        <v>87</v>
      </c>
      <c r="AA113" s="45"/>
      <c r="AB113" s="32"/>
      <c r="AC113" s="50" t="s">
        <v>120</v>
      </c>
      <c r="AD113" s="50" t="s">
        <v>121</v>
      </c>
      <c r="AE113" s="50" t="s">
        <v>407</v>
      </c>
      <c r="AF113" s="50" t="s">
        <v>408</v>
      </c>
      <c r="AG113" s="44">
        <v>2</v>
      </c>
      <c r="AH113" s="44">
        <v>3</v>
      </c>
      <c r="AI113" s="33">
        <f>AG113*AH113</f>
        <v>6</v>
      </c>
      <c r="AJ113" s="33" t="str">
        <f>IF(AND(AI113&gt;=0,AI113&lt;=4),"BAJO",IF(AND(AI113&gt;=6,AI113&lt;=8),"MEDIO",IF(AND(AI113&gt;=10,AI113&lt;=20),"ALTO",IF(AND(AI113&gt;=24,AI113&lt;=40),"MUY ALTO"))))</f>
        <v>MEDIO</v>
      </c>
      <c r="AK113" s="33">
        <v>10</v>
      </c>
      <c r="AL113" s="33">
        <f t="shared" si="19"/>
        <v>60</v>
      </c>
      <c r="AM113" s="33" t="str">
        <f>IF(AND(AL113&gt;=0,AL113&lt;=120),"RIESGO ACEPTABLE",IF(AND(AL113&gt;=150,AL113&lt;=500),"RIESGO ALTO",IF(AND(AL113&gt;=600,AL113&lt;=4000),"RIESGO NO ACEPTABLE")))</f>
        <v>RIESGO ACEPTABLE</v>
      </c>
      <c r="AN113" s="33"/>
      <c r="AO113" s="32"/>
      <c r="AP113" s="50" t="s">
        <v>266</v>
      </c>
      <c r="AQ113" s="50" t="s">
        <v>267</v>
      </c>
      <c r="AR113" s="50" t="s">
        <v>407</v>
      </c>
      <c r="AS113" s="62" t="s">
        <v>408</v>
      </c>
      <c r="EQ113" s="15"/>
      <c r="ER113" s="15"/>
      <c r="ES113" s="15"/>
      <c r="ET113" s="15"/>
      <c r="EU113" s="15"/>
      <c r="EV113" s="15"/>
    </row>
    <row r="114" spans="1:152" s="8" customFormat="1" ht="48" x14ac:dyDescent="0.25">
      <c r="A114" s="195"/>
      <c r="B114" s="198"/>
      <c r="C114" s="166"/>
      <c r="D114" s="196"/>
      <c r="E114" s="49" t="s">
        <v>87</v>
      </c>
      <c r="F114" s="152"/>
      <c r="G114" s="47" t="s">
        <v>516</v>
      </c>
      <c r="H114" s="34" t="s">
        <v>138</v>
      </c>
      <c r="I114" s="32" t="s">
        <v>139</v>
      </c>
      <c r="J114" s="40" t="s">
        <v>584</v>
      </c>
      <c r="K114" s="32" t="s">
        <v>104</v>
      </c>
      <c r="L114" s="68" t="s">
        <v>475</v>
      </c>
      <c r="M114" s="73" t="s">
        <v>332</v>
      </c>
      <c r="N114" s="73" t="s">
        <v>161</v>
      </c>
      <c r="O114" s="73" t="s">
        <v>142</v>
      </c>
      <c r="P114" s="70">
        <v>2</v>
      </c>
      <c r="Q114" s="41">
        <v>2</v>
      </c>
      <c r="R114" s="33">
        <f t="shared" si="14"/>
        <v>4</v>
      </c>
      <c r="S114" s="33" t="str">
        <f t="shared" si="15"/>
        <v>BAJO</v>
      </c>
      <c r="T114" s="33">
        <v>10</v>
      </c>
      <c r="U114" s="75">
        <f t="shared" si="16"/>
        <v>40</v>
      </c>
      <c r="V114" s="33" t="str">
        <f t="shared" si="17"/>
        <v>lll</v>
      </c>
      <c r="W114" s="74" t="str">
        <f t="shared" si="18"/>
        <v>SI</v>
      </c>
      <c r="X114" s="33">
        <v>8</v>
      </c>
      <c r="Y114" s="31" t="s">
        <v>143</v>
      </c>
      <c r="Z114" s="33" t="s">
        <v>87</v>
      </c>
      <c r="AA114" s="45"/>
      <c r="AB114" s="34"/>
      <c r="AC114" s="34"/>
      <c r="AD114" s="34" t="s">
        <v>585</v>
      </c>
      <c r="AE114" s="34"/>
      <c r="AF114" s="34" t="s">
        <v>586</v>
      </c>
      <c r="AG114" s="41">
        <v>2</v>
      </c>
      <c r="AH114" s="41">
        <v>3</v>
      </c>
      <c r="AI114" s="33">
        <f t="shared" si="20"/>
        <v>6</v>
      </c>
      <c r="AJ114" s="33" t="str">
        <f t="shared" si="21"/>
        <v>MEDIO</v>
      </c>
      <c r="AK114" s="33">
        <v>10</v>
      </c>
      <c r="AL114" s="33">
        <f t="shared" si="19"/>
        <v>60</v>
      </c>
      <c r="AM114" s="33" t="str">
        <f t="shared" si="22"/>
        <v>RIESGO ACEPTABLE</v>
      </c>
      <c r="AN114" s="33"/>
      <c r="AO114" s="34"/>
      <c r="AP114" s="34"/>
      <c r="AQ114" s="34" t="s">
        <v>587</v>
      </c>
      <c r="AR114" s="34"/>
      <c r="AS114" s="61" t="s">
        <v>466</v>
      </c>
    </row>
    <row r="115" spans="1:152" s="8" customFormat="1" ht="48" x14ac:dyDescent="0.25">
      <c r="A115" s="195"/>
      <c r="B115" s="198"/>
      <c r="C115" s="166"/>
      <c r="D115" s="196"/>
      <c r="E115" s="49" t="s">
        <v>87</v>
      </c>
      <c r="F115" s="152"/>
      <c r="G115" s="47" t="s">
        <v>516</v>
      </c>
      <c r="H115" s="34" t="s">
        <v>227</v>
      </c>
      <c r="I115" s="32" t="s">
        <v>158</v>
      </c>
      <c r="J115" s="32" t="s">
        <v>502</v>
      </c>
      <c r="K115" s="32" t="s">
        <v>104</v>
      </c>
      <c r="L115" s="68" t="s">
        <v>229</v>
      </c>
      <c r="M115" s="73" t="s">
        <v>332</v>
      </c>
      <c r="N115" s="73" t="s">
        <v>84</v>
      </c>
      <c r="O115" s="73" t="s">
        <v>559</v>
      </c>
      <c r="P115" s="70">
        <v>2</v>
      </c>
      <c r="Q115" s="41">
        <v>3</v>
      </c>
      <c r="R115" s="33">
        <f t="shared" si="14"/>
        <v>6</v>
      </c>
      <c r="S115" s="33" t="str">
        <f t="shared" si="15"/>
        <v>MEDIO</v>
      </c>
      <c r="T115" s="33">
        <v>10</v>
      </c>
      <c r="U115" s="75">
        <f t="shared" si="16"/>
        <v>60</v>
      </c>
      <c r="V115" s="33" t="str">
        <f t="shared" si="17"/>
        <v>lll</v>
      </c>
      <c r="W115" s="74" t="str">
        <f t="shared" si="18"/>
        <v>SI</v>
      </c>
      <c r="X115" s="33">
        <v>8</v>
      </c>
      <c r="Y115" s="31" t="s">
        <v>163</v>
      </c>
      <c r="Z115" s="33" t="s">
        <v>87</v>
      </c>
      <c r="AA115" s="45"/>
      <c r="AB115" s="34"/>
      <c r="AC115" s="42"/>
      <c r="AD115" s="42" t="s">
        <v>544</v>
      </c>
      <c r="AE115" s="34" t="s">
        <v>588</v>
      </c>
      <c r="AF115" s="34" t="s">
        <v>576</v>
      </c>
      <c r="AG115" s="41">
        <v>2</v>
      </c>
      <c r="AH115" s="41">
        <v>3</v>
      </c>
      <c r="AI115" s="33">
        <f t="shared" si="20"/>
        <v>6</v>
      </c>
      <c r="AJ115" s="33" t="str">
        <f t="shared" si="21"/>
        <v>MEDIO</v>
      </c>
      <c r="AK115" s="33">
        <v>10</v>
      </c>
      <c r="AL115" s="33">
        <f t="shared" si="19"/>
        <v>60</v>
      </c>
      <c r="AM115" s="33" t="str">
        <f t="shared" si="22"/>
        <v>RIESGO ACEPTABLE</v>
      </c>
      <c r="AN115" s="33"/>
      <c r="AO115" s="34"/>
      <c r="AP115" s="42"/>
      <c r="AQ115" s="42" t="s">
        <v>545</v>
      </c>
      <c r="AR115" s="34" t="s">
        <v>588</v>
      </c>
      <c r="AS115" s="61" t="s">
        <v>466</v>
      </c>
    </row>
    <row r="116" spans="1:152" s="8" customFormat="1" ht="48" x14ac:dyDescent="0.25">
      <c r="A116" s="195"/>
      <c r="B116" s="198"/>
      <c r="C116" s="166"/>
      <c r="D116" s="196"/>
      <c r="E116" s="49" t="s">
        <v>87</v>
      </c>
      <c r="F116" s="152"/>
      <c r="G116" s="47" t="s">
        <v>516</v>
      </c>
      <c r="H116" s="34" t="s">
        <v>157</v>
      </c>
      <c r="I116" s="32" t="s">
        <v>158</v>
      </c>
      <c r="J116" s="40" t="s">
        <v>589</v>
      </c>
      <c r="K116" s="32" t="s">
        <v>104</v>
      </c>
      <c r="L116" s="68" t="s">
        <v>160</v>
      </c>
      <c r="M116" s="73" t="s">
        <v>332</v>
      </c>
      <c r="N116" s="73" t="s">
        <v>84</v>
      </c>
      <c r="O116" s="73" t="s">
        <v>590</v>
      </c>
      <c r="P116" s="70">
        <v>2</v>
      </c>
      <c r="Q116" s="41">
        <v>3</v>
      </c>
      <c r="R116" s="33">
        <f t="shared" si="14"/>
        <v>6</v>
      </c>
      <c r="S116" s="33" t="str">
        <f t="shared" si="15"/>
        <v>MEDIO</v>
      </c>
      <c r="T116" s="33">
        <v>10</v>
      </c>
      <c r="U116" s="75">
        <f t="shared" si="16"/>
        <v>60</v>
      </c>
      <c r="V116" s="33" t="str">
        <f t="shared" si="17"/>
        <v>lll</v>
      </c>
      <c r="W116" s="74" t="str">
        <f t="shared" si="18"/>
        <v>SI</v>
      </c>
      <c r="X116" s="33">
        <v>8</v>
      </c>
      <c r="Y116" s="31" t="s">
        <v>163</v>
      </c>
      <c r="Z116" s="33" t="s">
        <v>87</v>
      </c>
      <c r="AA116" s="45"/>
      <c r="AB116" s="34"/>
      <c r="AC116" s="40"/>
      <c r="AD116" s="42" t="s">
        <v>544</v>
      </c>
      <c r="AE116" s="34" t="s">
        <v>588</v>
      </c>
      <c r="AF116" s="34" t="s">
        <v>576</v>
      </c>
      <c r="AG116" s="41">
        <v>2</v>
      </c>
      <c r="AH116" s="41">
        <v>3</v>
      </c>
      <c r="AI116" s="33">
        <f t="shared" si="20"/>
        <v>6</v>
      </c>
      <c r="AJ116" s="33" t="str">
        <f t="shared" si="21"/>
        <v>MEDIO</v>
      </c>
      <c r="AK116" s="33">
        <v>10</v>
      </c>
      <c r="AL116" s="33">
        <f t="shared" si="19"/>
        <v>60</v>
      </c>
      <c r="AM116" s="33" t="str">
        <f t="shared" si="22"/>
        <v>RIESGO ACEPTABLE</v>
      </c>
      <c r="AN116" s="33"/>
      <c r="AO116" s="34"/>
      <c r="AP116" s="40"/>
      <c r="AQ116" s="42" t="s">
        <v>545</v>
      </c>
      <c r="AR116" s="34" t="s">
        <v>588</v>
      </c>
      <c r="AS116" s="61" t="s">
        <v>466</v>
      </c>
    </row>
    <row r="117" spans="1:152" s="8" customFormat="1" ht="38.4" x14ac:dyDescent="0.25">
      <c r="A117" s="195"/>
      <c r="B117" s="198"/>
      <c r="C117" s="166"/>
      <c r="D117" s="188" t="s">
        <v>591</v>
      </c>
      <c r="E117" s="32" t="s">
        <v>496</v>
      </c>
      <c r="F117" s="152" t="s">
        <v>515</v>
      </c>
      <c r="G117" s="47" t="s">
        <v>592</v>
      </c>
      <c r="H117" s="34" t="s">
        <v>183</v>
      </c>
      <c r="I117" s="32" t="s">
        <v>173</v>
      </c>
      <c r="J117" s="32" t="s">
        <v>593</v>
      </c>
      <c r="K117" s="32" t="s">
        <v>104</v>
      </c>
      <c r="L117" s="68" t="s">
        <v>185</v>
      </c>
      <c r="M117" s="73" t="s">
        <v>332</v>
      </c>
      <c r="N117" s="73" t="s">
        <v>161</v>
      </c>
      <c r="O117" s="73" t="s">
        <v>594</v>
      </c>
      <c r="P117" s="70">
        <v>2</v>
      </c>
      <c r="Q117" s="41">
        <v>3</v>
      </c>
      <c r="R117" s="33">
        <f t="shared" si="14"/>
        <v>6</v>
      </c>
      <c r="S117" s="33" t="str">
        <f t="shared" si="15"/>
        <v>MEDIO</v>
      </c>
      <c r="T117" s="33">
        <v>10</v>
      </c>
      <c r="U117" s="75">
        <f t="shared" si="16"/>
        <v>60</v>
      </c>
      <c r="V117" s="33" t="str">
        <f t="shared" si="17"/>
        <v>lll</v>
      </c>
      <c r="W117" s="74" t="str">
        <f t="shared" si="18"/>
        <v>SI</v>
      </c>
      <c r="X117" s="33">
        <v>8</v>
      </c>
      <c r="Y117" s="31" t="s">
        <v>178</v>
      </c>
      <c r="Z117" s="33" t="s">
        <v>87</v>
      </c>
      <c r="AA117" s="45"/>
      <c r="AB117" s="32"/>
      <c r="AC117" s="34"/>
      <c r="AD117" s="42" t="s">
        <v>595</v>
      </c>
      <c r="AE117" s="34" t="s">
        <v>596</v>
      </c>
      <c r="AF117" s="34" t="s">
        <v>576</v>
      </c>
      <c r="AG117" s="41">
        <v>2</v>
      </c>
      <c r="AH117" s="41">
        <v>3</v>
      </c>
      <c r="AI117" s="33">
        <f t="shared" si="20"/>
        <v>6</v>
      </c>
      <c r="AJ117" s="33" t="str">
        <f t="shared" si="21"/>
        <v>MEDIO</v>
      </c>
      <c r="AK117" s="33">
        <v>25</v>
      </c>
      <c r="AL117" s="33">
        <f t="shared" si="19"/>
        <v>150</v>
      </c>
      <c r="AM117" s="33" t="str">
        <f t="shared" si="22"/>
        <v>RIESGO ALTO</v>
      </c>
      <c r="AN117" s="33"/>
      <c r="AO117" s="32"/>
      <c r="AP117" s="34"/>
      <c r="AQ117" s="42" t="s">
        <v>597</v>
      </c>
      <c r="AR117" s="34" t="s">
        <v>596</v>
      </c>
      <c r="AS117" s="61" t="s">
        <v>466</v>
      </c>
    </row>
    <row r="118" spans="1:152" s="8" customFormat="1" ht="57.6" x14ac:dyDescent="0.25">
      <c r="A118" s="195"/>
      <c r="B118" s="198"/>
      <c r="C118" s="166"/>
      <c r="D118" s="188"/>
      <c r="E118" s="32" t="s">
        <v>496</v>
      </c>
      <c r="F118" s="152"/>
      <c r="G118" s="47" t="s">
        <v>592</v>
      </c>
      <c r="H118" s="34" t="s">
        <v>191</v>
      </c>
      <c r="I118" s="32" t="s">
        <v>173</v>
      </c>
      <c r="J118" s="32" t="s">
        <v>598</v>
      </c>
      <c r="K118" s="32" t="s">
        <v>104</v>
      </c>
      <c r="L118" s="68" t="s">
        <v>193</v>
      </c>
      <c r="M118" s="73" t="s">
        <v>332</v>
      </c>
      <c r="N118" s="73" t="s">
        <v>161</v>
      </c>
      <c r="O118" s="73" t="s">
        <v>186</v>
      </c>
      <c r="P118" s="70">
        <v>2</v>
      </c>
      <c r="Q118" s="41">
        <v>2</v>
      </c>
      <c r="R118" s="33">
        <f t="shared" si="14"/>
        <v>4</v>
      </c>
      <c r="S118" s="33" t="str">
        <f t="shared" si="15"/>
        <v>BAJO</v>
      </c>
      <c r="T118" s="33">
        <v>10</v>
      </c>
      <c r="U118" s="75">
        <f t="shared" si="16"/>
        <v>40</v>
      </c>
      <c r="V118" s="33" t="str">
        <f t="shared" si="17"/>
        <v>lll</v>
      </c>
      <c r="W118" s="74" t="str">
        <f t="shared" si="18"/>
        <v>SI</v>
      </c>
      <c r="X118" s="33">
        <v>8</v>
      </c>
      <c r="Y118" s="31" t="s">
        <v>195</v>
      </c>
      <c r="Z118" s="33" t="s">
        <v>87</v>
      </c>
      <c r="AA118" s="45"/>
      <c r="AB118" s="32"/>
      <c r="AC118" s="34"/>
      <c r="AD118" s="42" t="s">
        <v>599</v>
      </c>
      <c r="AE118" s="34" t="s">
        <v>600</v>
      </c>
      <c r="AF118" s="34" t="s">
        <v>576</v>
      </c>
      <c r="AG118" s="41">
        <v>2</v>
      </c>
      <c r="AH118" s="41">
        <v>2</v>
      </c>
      <c r="AI118" s="33">
        <f t="shared" si="20"/>
        <v>4</v>
      </c>
      <c r="AJ118" s="33" t="str">
        <f t="shared" si="21"/>
        <v>BAJO</v>
      </c>
      <c r="AK118" s="33">
        <v>25</v>
      </c>
      <c r="AL118" s="33">
        <f t="shared" si="19"/>
        <v>100</v>
      </c>
      <c r="AM118" s="33" t="str">
        <f t="shared" si="22"/>
        <v>RIESGO ACEPTABLE</v>
      </c>
      <c r="AN118" s="33"/>
      <c r="AO118" s="32"/>
      <c r="AP118" s="34"/>
      <c r="AQ118" s="42" t="s">
        <v>601</v>
      </c>
      <c r="AR118" s="34" t="s">
        <v>600</v>
      </c>
      <c r="AS118" s="61" t="s">
        <v>466</v>
      </c>
    </row>
    <row r="119" spans="1:152" s="8" customFormat="1" ht="67.2" x14ac:dyDescent="0.25">
      <c r="A119" s="195"/>
      <c r="B119" s="198"/>
      <c r="C119" s="166"/>
      <c r="D119" s="188"/>
      <c r="E119" s="32" t="s">
        <v>496</v>
      </c>
      <c r="F119" s="152"/>
      <c r="G119" s="47" t="s">
        <v>592</v>
      </c>
      <c r="H119" s="34" t="s">
        <v>380</v>
      </c>
      <c r="I119" s="32" t="s">
        <v>381</v>
      </c>
      <c r="J119" s="34" t="s">
        <v>602</v>
      </c>
      <c r="K119" s="32" t="s">
        <v>104</v>
      </c>
      <c r="L119" s="68" t="s">
        <v>383</v>
      </c>
      <c r="M119" s="73" t="s">
        <v>332</v>
      </c>
      <c r="N119" s="73" t="s">
        <v>490</v>
      </c>
      <c r="O119" s="73" t="s">
        <v>603</v>
      </c>
      <c r="P119" s="70">
        <v>2</v>
      </c>
      <c r="Q119" s="41">
        <v>2</v>
      </c>
      <c r="R119" s="33">
        <f t="shared" si="14"/>
        <v>4</v>
      </c>
      <c r="S119" s="33" t="str">
        <f t="shared" si="15"/>
        <v>BAJO</v>
      </c>
      <c r="T119" s="33">
        <v>10</v>
      </c>
      <c r="U119" s="75">
        <f t="shared" si="16"/>
        <v>40</v>
      </c>
      <c r="V119" s="33" t="str">
        <f t="shared" si="17"/>
        <v>lll</v>
      </c>
      <c r="W119" s="74" t="str">
        <f t="shared" si="18"/>
        <v>SI</v>
      </c>
      <c r="X119" s="33">
        <v>8</v>
      </c>
      <c r="Y119" s="31" t="s">
        <v>385</v>
      </c>
      <c r="Z119" s="33" t="s">
        <v>87</v>
      </c>
      <c r="AA119" s="45"/>
      <c r="AB119" s="34"/>
      <c r="AC119" s="34"/>
      <c r="AD119" s="34" t="s">
        <v>604</v>
      </c>
      <c r="AE119" s="34" t="s">
        <v>605</v>
      </c>
      <c r="AF119" s="34" t="s">
        <v>576</v>
      </c>
      <c r="AG119" s="41">
        <v>2</v>
      </c>
      <c r="AH119" s="41">
        <v>2</v>
      </c>
      <c r="AI119" s="33">
        <f t="shared" si="20"/>
        <v>4</v>
      </c>
      <c r="AJ119" s="33" t="str">
        <f t="shared" si="21"/>
        <v>BAJO</v>
      </c>
      <c r="AK119" s="33">
        <v>25</v>
      </c>
      <c r="AL119" s="33">
        <f t="shared" si="19"/>
        <v>100</v>
      </c>
      <c r="AM119" s="33" t="str">
        <f t="shared" si="22"/>
        <v>RIESGO ACEPTABLE</v>
      </c>
      <c r="AN119" s="33"/>
      <c r="AO119" s="34"/>
      <c r="AP119" s="34"/>
      <c r="AQ119" s="34" t="s">
        <v>606</v>
      </c>
      <c r="AR119" s="34" t="s">
        <v>605</v>
      </c>
      <c r="AS119" s="61" t="s">
        <v>466</v>
      </c>
    </row>
    <row r="120" spans="1:152" s="8" customFormat="1" ht="67.2" x14ac:dyDescent="0.25">
      <c r="A120" s="195"/>
      <c r="B120" s="198"/>
      <c r="C120" s="166"/>
      <c r="D120" s="188"/>
      <c r="E120" s="32" t="s">
        <v>496</v>
      </c>
      <c r="F120" s="152"/>
      <c r="G120" s="47" t="s">
        <v>592</v>
      </c>
      <c r="H120" s="34" t="s">
        <v>316</v>
      </c>
      <c r="I120" s="32" t="s">
        <v>102</v>
      </c>
      <c r="J120" s="32" t="s">
        <v>607</v>
      </c>
      <c r="K120" s="32" t="s">
        <v>104</v>
      </c>
      <c r="L120" s="68" t="s">
        <v>83</v>
      </c>
      <c r="M120" s="73" t="s">
        <v>332</v>
      </c>
      <c r="N120" s="73" t="s">
        <v>106</v>
      </c>
      <c r="O120" s="73" t="s">
        <v>608</v>
      </c>
      <c r="P120" s="70">
        <v>2</v>
      </c>
      <c r="Q120" s="41">
        <v>3</v>
      </c>
      <c r="R120" s="33">
        <f t="shared" si="14"/>
        <v>6</v>
      </c>
      <c r="S120" s="33" t="str">
        <f t="shared" si="15"/>
        <v>MEDIO</v>
      </c>
      <c r="T120" s="33">
        <v>10</v>
      </c>
      <c r="U120" s="75">
        <f t="shared" si="16"/>
        <v>60</v>
      </c>
      <c r="V120" s="33" t="str">
        <f t="shared" si="17"/>
        <v>lll</v>
      </c>
      <c r="W120" s="74" t="str">
        <f t="shared" si="18"/>
        <v>SI</v>
      </c>
      <c r="X120" s="33">
        <v>8</v>
      </c>
      <c r="Y120" s="31" t="s">
        <v>108</v>
      </c>
      <c r="Z120" s="33" t="s">
        <v>87</v>
      </c>
      <c r="AA120" s="45"/>
      <c r="AB120" s="34"/>
      <c r="AC120" s="34"/>
      <c r="AD120" s="42" t="s">
        <v>609</v>
      </c>
      <c r="AE120" s="34" t="s">
        <v>610</v>
      </c>
      <c r="AF120" s="34" t="s">
        <v>576</v>
      </c>
      <c r="AG120" s="41">
        <v>2</v>
      </c>
      <c r="AH120" s="41">
        <v>2</v>
      </c>
      <c r="AI120" s="33">
        <f t="shared" si="20"/>
        <v>4</v>
      </c>
      <c r="AJ120" s="33" t="str">
        <f t="shared" si="21"/>
        <v>BAJO</v>
      </c>
      <c r="AK120" s="33">
        <v>10</v>
      </c>
      <c r="AL120" s="33">
        <f t="shared" si="19"/>
        <v>40</v>
      </c>
      <c r="AM120" s="33" t="str">
        <f t="shared" si="22"/>
        <v>RIESGO ACEPTABLE</v>
      </c>
      <c r="AN120" s="33"/>
      <c r="AO120" s="34"/>
      <c r="AP120" s="34"/>
      <c r="AQ120" s="42" t="s">
        <v>611</v>
      </c>
      <c r="AR120" s="34" t="s">
        <v>610</v>
      </c>
      <c r="AS120" s="61" t="s">
        <v>466</v>
      </c>
    </row>
    <row r="121" spans="1:152" s="8" customFormat="1" ht="48" x14ac:dyDescent="0.25">
      <c r="A121" s="195"/>
      <c r="B121" s="198"/>
      <c r="C121" s="166"/>
      <c r="D121" s="188"/>
      <c r="E121" s="32" t="s">
        <v>496</v>
      </c>
      <c r="F121" s="152"/>
      <c r="G121" s="47" t="s">
        <v>592</v>
      </c>
      <c r="H121" s="34" t="s">
        <v>149</v>
      </c>
      <c r="I121" s="34" t="s">
        <v>139</v>
      </c>
      <c r="J121" s="34" t="s">
        <v>612</v>
      </c>
      <c r="K121" s="32" t="s">
        <v>104</v>
      </c>
      <c r="L121" s="68" t="s">
        <v>327</v>
      </c>
      <c r="M121" s="73" t="s">
        <v>332</v>
      </c>
      <c r="N121" s="73" t="s">
        <v>490</v>
      </c>
      <c r="O121" s="73" t="s">
        <v>556</v>
      </c>
      <c r="P121" s="70">
        <v>2</v>
      </c>
      <c r="Q121" s="41">
        <v>2</v>
      </c>
      <c r="R121" s="33">
        <f t="shared" si="14"/>
        <v>4</v>
      </c>
      <c r="S121" s="33" t="str">
        <f t="shared" si="15"/>
        <v>BAJO</v>
      </c>
      <c r="T121" s="33">
        <v>10</v>
      </c>
      <c r="U121" s="75">
        <f t="shared" si="16"/>
        <v>40</v>
      </c>
      <c r="V121" s="33" t="str">
        <f t="shared" si="17"/>
        <v>lll</v>
      </c>
      <c r="W121" s="74" t="str">
        <f t="shared" si="18"/>
        <v>SI</v>
      </c>
      <c r="X121" s="33">
        <v>8</v>
      </c>
      <c r="Y121" s="31" t="s">
        <v>143</v>
      </c>
      <c r="Z121" s="33" t="s">
        <v>87</v>
      </c>
      <c r="AA121" s="45"/>
      <c r="AB121" s="32"/>
      <c r="AC121" s="34"/>
      <c r="AD121" s="34" t="s">
        <v>613</v>
      </c>
      <c r="AE121" s="34"/>
      <c r="AF121" s="34" t="s">
        <v>576</v>
      </c>
      <c r="AG121" s="41">
        <v>2</v>
      </c>
      <c r="AH121" s="41">
        <v>2</v>
      </c>
      <c r="AI121" s="33">
        <f t="shared" si="20"/>
        <v>4</v>
      </c>
      <c r="AJ121" s="33" t="str">
        <f t="shared" si="21"/>
        <v>BAJO</v>
      </c>
      <c r="AK121" s="33">
        <v>25</v>
      </c>
      <c r="AL121" s="33">
        <f t="shared" si="19"/>
        <v>100</v>
      </c>
      <c r="AM121" s="33" t="str">
        <f t="shared" si="22"/>
        <v>RIESGO ACEPTABLE</v>
      </c>
      <c r="AN121" s="33"/>
      <c r="AO121" s="32"/>
      <c r="AP121" s="34"/>
      <c r="AQ121" s="34" t="s">
        <v>614</v>
      </c>
      <c r="AR121" s="34"/>
      <c r="AS121" s="61" t="s">
        <v>466</v>
      </c>
    </row>
    <row r="122" spans="1:152" s="8" customFormat="1" ht="48" x14ac:dyDescent="0.25">
      <c r="A122" s="195"/>
      <c r="B122" s="198"/>
      <c r="C122" s="166"/>
      <c r="D122" s="188"/>
      <c r="E122" s="32" t="s">
        <v>496</v>
      </c>
      <c r="F122" s="152"/>
      <c r="G122" s="47" t="s">
        <v>592</v>
      </c>
      <c r="H122" s="34" t="s">
        <v>227</v>
      </c>
      <c r="I122" s="32" t="s">
        <v>158</v>
      </c>
      <c r="J122" s="32" t="s">
        <v>615</v>
      </c>
      <c r="K122" s="32" t="s">
        <v>104</v>
      </c>
      <c r="L122" s="68" t="s">
        <v>229</v>
      </c>
      <c r="M122" s="73" t="s">
        <v>332</v>
      </c>
      <c r="N122" s="73" t="s">
        <v>490</v>
      </c>
      <c r="O122" s="73" t="s">
        <v>616</v>
      </c>
      <c r="P122" s="70">
        <v>2</v>
      </c>
      <c r="Q122" s="41">
        <v>2</v>
      </c>
      <c r="R122" s="33">
        <f t="shared" si="14"/>
        <v>4</v>
      </c>
      <c r="S122" s="33" t="str">
        <f t="shared" si="15"/>
        <v>BAJO</v>
      </c>
      <c r="T122" s="33">
        <v>10</v>
      </c>
      <c r="U122" s="75">
        <f t="shared" si="16"/>
        <v>40</v>
      </c>
      <c r="V122" s="33" t="str">
        <f t="shared" si="17"/>
        <v>lll</v>
      </c>
      <c r="W122" s="74" t="str">
        <f t="shared" si="18"/>
        <v>SI</v>
      </c>
      <c r="X122" s="33">
        <v>8</v>
      </c>
      <c r="Y122" s="31" t="s">
        <v>163</v>
      </c>
      <c r="Z122" s="33" t="s">
        <v>87</v>
      </c>
      <c r="AA122" s="45"/>
      <c r="AB122" s="34"/>
      <c r="AC122" s="34"/>
      <c r="AD122" s="34" t="s">
        <v>504</v>
      </c>
      <c r="AE122" s="34" t="s">
        <v>617</v>
      </c>
      <c r="AF122" s="34" t="s">
        <v>576</v>
      </c>
      <c r="AG122" s="41">
        <v>2</v>
      </c>
      <c r="AH122" s="41">
        <v>2</v>
      </c>
      <c r="AI122" s="33">
        <f t="shared" si="20"/>
        <v>4</v>
      </c>
      <c r="AJ122" s="33" t="str">
        <f t="shared" si="21"/>
        <v>BAJO</v>
      </c>
      <c r="AK122" s="33">
        <v>25</v>
      </c>
      <c r="AL122" s="33">
        <f t="shared" si="19"/>
        <v>100</v>
      </c>
      <c r="AM122" s="33" t="str">
        <f t="shared" si="22"/>
        <v>RIESGO ACEPTABLE</v>
      </c>
      <c r="AN122" s="33"/>
      <c r="AO122" s="34"/>
      <c r="AP122" s="34"/>
      <c r="AQ122" s="34" t="s">
        <v>618</v>
      </c>
      <c r="AR122" s="34" t="s">
        <v>617</v>
      </c>
      <c r="AS122" s="61" t="s">
        <v>466</v>
      </c>
    </row>
    <row r="123" spans="1:152" s="8" customFormat="1" ht="48" x14ac:dyDescent="0.25">
      <c r="A123" s="195"/>
      <c r="B123" s="198"/>
      <c r="C123" s="166"/>
      <c r="D123" s="188"/>
      <c r="E123" s="32" t="s">
        <v>496</v>
      </c>
      <c r="F123" s="152"/>
      <c r="G123" s="47" t="s">
        <v>592</v>
      </c>
      <c r="H123" s="34" t="s">
        <v>157</v>
      </c>
      <c r="I123" s="32" t="s">
        <v>158</v>
      </c>
      <c r="J123" s="34" t="s">
        <v>619</v>
      </c>
      <c r="K123" s="32" t="s">
        <v>104</v>
      </c>
      <c r="L123" s="68" t="s">
        <v>160</v>
      </c>
      <c r="M123" s="73" t="s">
        <v>332</v>
      </c>
      <c r="N123" s="73" t="s">
        <v>490</v>
      </c>
      <c r="O123" s="73" t="s">
        <v>561</v>
      </c>
      <c r="P123" s="70">
        <v>2</v>
      </c>
      <c r="Q123" s="41">
        <v>3</v>
      </c>
      <c r="R123" s="33">
        <f t="shared" si="14"/>
        <v>6</v>
      </c>
      <c r="S123" s="33" t="str">
        <f t="shared" si="15"/>
        <v>MEDIO</v>
      </c>
      <c r="T123" s="33">
        <v>10</v>
      </c>
      <c r="U123" s="75">
        <f t="shared" si="16"/>
        <v>60</v>
      </c>
      <c r="V123" s="33" t="str">
        <f t="shared" si="17"/>
        <v>lll</v>
      </c>
      <c r="W123" s="74" t="str">
        <f t="shared" si="18"/>
        <v>SI</v>
      </c>
      <c r="X123" s="33">
        <v>8</v>
      </c>
      <c r="Y123" s="31" t="s">
        <v>163</v>
      </c>
      <c r="Z123" s="33" t="s">
        <v>87</v>
      </c>
      <c r="AA123" s="45"/>
      <c r="AB123" s="34"/>
      <c r="AC123" s="34"/>
      <c r="AD123" s="42" t="s">
        <v>620</v>
      </c>
      <c r="AE123" s="34" t="s">
        <v>621</v>
      </c>
      <c r="AF123" s="34" t="s">
        <v>576</v>
      </c>
      <c r="AG123" s="41">
        <v>6</v>
      </c>
      <c r="AH123" s="41">
        <v>2</v>
      </c>
      <c r="AI123" s="33">
        <f t="shared" si="20"/>
        <v>12</v>
      </c>
      <c r="AJ123" s="33" t="str">
        <f t="shared" si="21"/>
        <v>ALTO</v>
      </c>
      <c r="AK123" s="33">
        <v>25</v>
      </c>
      <c r="AL123" s="33">
        <f t="shared" si="19"/>
        <v>300</v>
      </c>
      <c r="AM123" s="33" t="str">
        <f t="shared" si="22"/>
        <v>RIESGO ALTO</v>
      </c>
      <c r="AN123" s="33"/>
      <c r="AO123" s="34"/>
      <c r="AP123" s="34"/>
      <c r="AQ123" s="42" t="s">
        <v>622</v>
      </c>
      <c r="AR123" s="34" t="s">
        <v>621</v>
      </c>
      <c r="AS123" s="61" t="s">
        <v>466</v>
      </c>
    </row>
    <row r="124" spans="1:152" s="8" customFormat="1" ht="86.4" x14ac:dyDescent="0.25">
      <c r="A124" s="195"/>
      <c r="B124" s="198"/>
      <c r="C124" s="166"/>
      <c r="D124" s="196" t="s">
        <v>623</v>
      </c>
      <c r="E124" s="32" t="s">
        <v>496</v>
      </c>
      <c r="F124" s="152" t="s">
        <v>427</v>
      </c>
      <c r="G124" s="47" t="s">
        <v>592</v>
      </c>
      <c r="H124" s="34" t="s">
        <v>183</v>
      </c>
      <c r="I124" s="32" t="s">
        <v>173</v>
      </c>
      <c r="J124" s="32" t="s">
        <v>593</v>
      </c>
      <c r="K124" s="32" t="s">
        <v>104</v>
      </c>
      <c r="L124" s="68" t="s">
        <v>185</v>
      </c>
      <c r="M124" s="73" t="s">
        <v>332</v>
      </c>
      <c r="N124" s="73" t="s">
        <v>176</v>
      </c>
      <c r="O124" s="73" t="s">
        <v>491</v>
      </c>
      <c r="P124" s="70">
        <v>2</v>
      </c>
      <c r="Q124" s="41">
        <v>3</v>
      </c>
      <c r="R124" s="33">
        <f t="shared" si="14"/>
        <v>6</v>
      </c>
      <c r="S124" s="33" t="str">
        <f t="shared" si="15"/>
        <v>MEDIO</v>
      </c>
      <c r="T124" s="33">
        <v>10</v>
      </c>
      <c r="U124" s="75">
        <f t="shared" si="16"/>
        <v>60</v>
      </c>
      <c r="V124" s="33" t="str">
        <f t="shared" si="17"/>
        <v>lll</v>
      </c>
      <c r="W124" s="74" t="str">
        <f t="shared" si="18"/>
        <v>SI</v>
      </c>
      <c r="X124" s="33">
        <v>8</v>
      </c>
      <c r="Y124" s="31" t="s">
        <v>178</v>
      </c>
      <c r="Z124" s="33" t="s">
        <v>87</v>
      </c>
      <c r="AA124" s="45"/>
      <c r="AB124" s="34"/>
      <c r="AC124" s="34"/>
      <c r="AD124" s="42" t="s">
        <v>595</v>
      </c>
      <c r="AE124" s="34" t="s">
        <v>596</v>
      </c>
      <c r="AF124" s="34" t="s">
        <v>576</v>
      </c>
      <c r="AG124" s="41">
        <v>2</v>
      </c>
      <c r="AH124" s="41">
        <v>2</v>
      </c>
      <c r="AI124" s="33">
        <f t="shared" si="20"/>
        <v>4</v>
      </c>
      <c r="AJ124" s="33" t="str">
        <f t="shared" si="21"/>
        <v>BAJO</v>
      </c>
      <c r="AK124" s="33">
        <v>25</v>
      </c>
      <c r="AL124" s="33">
        <f t="shared" si="19"/>
        <v>100</v>
      </c>
      <c r="AM124" s="33" t="str">
        <f t="shared" si="22"/>
        <v>RIESGO ACEPTABLE</v>
      </c>
      <c r="AN124" s="33"/>
      <c r="AO124" s="34"/>
      <c r="AP124" s="34"/>
      <c r="AQ124" s="42" t="s">
        <v>597</v>
      </c>
      <c r="AR124" s="34" t="s">
        <v>596</v>
      </c>
      <c r="AS124" s="61" t="s">
        <v>466</v>
      </c>
    </row>
    <row r="125" spans="1:152" s="8" customFormat="1" ht="86.4" x14ac:dyDescent="0.25">
      <c r="A125" s="195"/>
      <c r="B125" s="198"/>
      <c r="C125" s="166"/>
      <c r="D125" s="196"/>
      <c r="E125" s="32" t="s">
        <v>496</v>
      </c>
      <c r="F125" s="152"/>
      <c r="G125" s="47" t="s">
        <v>592</v>
      </c>
      <c r="H125" s="34" t="s">
        <v>191</v>
      </c>
      <c r="I125" s="32" t="s">
        <v>173</v>
      </c>
      <c r="J125" s="32" t="s">
        <v>598</v>
      </c>
      <c r="K125" s="32" t="s">
        <v>104</v>
      </c>
      <c r="L125" s="68" t="s">
        <v>193</v>
      </c>
      <c r="M125" s="73" t="s">
        <v>332</v>
      </c>
      <c r="N125" s="73" t="s">
        <v>176</v>
      </c>
      <c r="O125" s="73" t="s">
        <v>624</v>
      </c>
      <c r="P125" s="70">
        <v>2</v>
      </c>
      <c r="Q125" s="41">
        <v>2</v>
      </c>
      <c r="R125" s="33">
        <f t="shared" si="14"/>
        <v>4</v>
      </c>
      <c r="S125" s="33" t="str">
        <f t="shared" si="15"/>
        <v>BAJO</v>
      </c>
      <c r="T125" s="33">
        <v>10</v>
      </c>
      <c r="U125" s="75">
        <f t="shared" si="16"/>
        <v>40</v>
      </c>
      <c r="V125" s="33" t="str">
        <f t="shared" si="17"/>
        <v>lll</v>
      </c>
      <c r="W125" s="74" t="str">
        <f t="shared" si="18"/>
        <v>SI</v>
      </c>
      <c r="X125" s="33">
        <v>8</v>
      </c>
      <c r="Y125" s="31" t="s">
        <v>195</v>
      </c>
      <c r="Z125" s="33" t="s">
        <v>87</v>
      </c>
      <c r="AA125" s="45"/>
      <c r="AB125" s="34"/>
      <c r="AC125" s="34"/>
      <c r="AD125" s="42" t="s">
        <v>599</v>
      </c>
      <c r="AE125" s="34" t="s">
        <v>600</v>
      </c>
      <c r="AF125" s="34" t="s">
        <v>576</v>
      </c>
      <c r="AG125" s="41">
        <v>2</v>
      </c>
      <c r="AH125" s="41">
        <v>2</v>
      </c>
      <c r="AI125" s="33">
        <f t="shared" si="20"/>
        <v>4</v>
      </c>
      <c r="AJ125" s="33" t="str">
        <f t="shared" si="21"/>
        <v>BAJO</v>
      </c>
      <c r="AK125" s="33">
        <v>25</v>
      </c>
      <c r="AL125" s="33">
        <f t="shared" si="19"/>
        <v>100</v>
      </c>
      <c r="AM125" s="33" t="str">
        <f t="shared" si="22"/>
        <v>RIESGO ACEPTABLE</v>
      </c>
      <c r="AN125" s="33"/>
      <c r="AO125" s="34"/>
      <c r="AP125" s="34"/>
      <c r="AQ125" s="42" t="s">
        <v>601</v>
      </c>
      <c r="AR125" s="34" t="s">
        <v>600</v>
      </c>
      <c r="AS125" s="61" t="s">
        <v>466</v>
      </c>
    </row>
    <row r="126" spans="1:152" s="8" customFormat="1" ht="67.2" x14ac:dyDescent="0.25">
      <c r="A126" s="195"/>
      <c r="B126" s="198"/>
      <c r="C126" s="166"/>
      <c r="D126" s="196"/>
      <c r="E126" s="32" t="s">
        <v>496</v>
      </c>
      <c r="F126" s="152"/>
      <c r="G126" s="47" t="s">
        <v>592</v>
      </c>
      <c r="H126" s="34" t="s">
        <v>380</v>
      </c>
      <c r="I126" s="32" t="s">
        <v>381</v>
      </c>
      <c r="J126" s="34" t="s">
        <v>625</v>
      </c>
      <c r="K126" s="32" t="s">
        <v>104</v>
      </c>
      <c r="L126" s="68" t="s">
        <v>383</v>
      </c>
      <c r="M126" s="73" t="s">
        <v>332</v>
      </c>
      <c r="N126" s="73" t="s">
        <v>311</v>
      </c>
      <c r="O126" s="73" t="s">
        <v>603</v>
      </c>
      <c r="P126" s="70">
        <v>2</v>
      </c>
      <c r="Q126" s="41">
        <v>2</v>
      </c>
      <c r="R126" s="33">
        <f t="shared" si="14"/>
        <v>4</v>
      </c>
      <c r="S126" s="33" t="str">
        <f t="shared" si="15"/>
        <v>BAJO</v>
      </c>
      <c r="T126" s="33">
        <v>10</v>
      </c>
      <c r="U126" s="75">
        <f t="shared" si="16"/>
        <v>40</v>
      </c>
      <c r="V126" s="33" t="str">
        <f t="shared" si="17"/>
        <v>lll</v>
      </c>
      <c r="W126" s="74" t="str">
        <f t="shared" si="18"/>
        <v>SI</v>
      </c>
      <c r="X126" s="33">
        <v>8</v>
      </c>
      <c r="Y126" s="31" t="s">
        <v>385</v>
      </c>
      <c r="Z126" s="33" t="s">
        <v>87</v>
      </c>
      <c r="AA126" s="45"/>
      <c r="AB126" s="33"/>
      <c r="AC126" s="40"/>
      <c r="AD126" s="34" t="s">
        <v>604</v>
      </c>
      <c r="AE126" s="34" t="s">
        <v>605</v>
      </c>
      <c r="AF126" s="34" t="s">
        <v>576</v>
      </c>
      <c r="AG126" s="41">
        <v>2</v>
      </c>
      <c r="AH126" s="41">
        <v>2</v>
      </c>
      <c r="AI126" s="33">
        <f t="shared" si="20"/>
        <v>4</v>
      </c>
      <c r="AJ126" s="33" t="str">
        <f t="shared" si="21"/>
        <v>BAJO</v>
      </c>
      <c r="AK126" s="33">
        <v>25</v>
      </c>
      <c r="AL126" s="33">
        <f t="shared" si="19"/>
        <v>100</v>
      </c>
      <c r="AM126" s="33" t="str">
        <f t="shared" si="22"/>
        <v>RIESGO ACEPTABLE</v>
      </c>
      <c r="AN126" s="33"/>
      <c r="AO126" s="33"/>
      <c r="AP126" s="34"/>
      <c r="AQ126" s="34" t="s">
        <v>606</v>
      </c>
      <c r="AR126" s="34" t="s">
        <v>605</v>
      </c>
      <c r="AS126" s="61" t="s">
        <v>466</v>
      </c>
    </row>
    <row r="127" spans="1:152" s="8" customFormat="1" ht="67.2" x14ac:dyDescent="0.25">
      <c r="A127" s="195"/>
      <c r="B127" s="198"/>
      <c r="C127" s="166"/>
      <c r="D127" s="196"/>
      <c r="E127" s="32" t="s">
        <v>496</v>
      </c>
      <c r="F127" s="152"/>
      <c r="G127" s="47" t="s">
        <v>592</v>
      </c>
      <c r="H127" s="34" t="s">
        <v>316</v>
      </c>
      <c r="I127" s="32" t="s">
        <v>102</v>
      </c>
      <c r="J127" s="32" t="s">
        <v>607</v>
      </c>
      <c r="K127" s="32" t="s">
        <v>104</v>
      </c>
      <c r="L127" s="68" t="s">
        <v>83</v>
      </c>
      <c r="M127" s="73" t="s">
        <v>332</v>
      </c>
      <c r="N127" s="73" t="s">
        <v>106</v>
      </c>
      <c r="O127" s="73" t="s">
        <v>626</v>
      </c>
      <c r="P127" s="70">
        <v>2</v>
      </c>
      <c r="Q127" s="41">
        <v>3</v>
      </c>
      <c r="R127" s="33">
        <f t="shared" si="14"/>
        <v>6</v>
      </c>
      <c r="S127" s="33" t="str">
        <f t="shared" si="15"/>
        <v>MEDIO</v>
      </c>
      <c r="T127" s="33">
        <v>10</v>
      </c>
      <c r="U127" s="75">
        <f t="shared" si="16"/>
        <v>60</v>
      </c>
      <c r="V127" s="33" t="str">
        <f t="shared" si="17"/>
        <v>lll</v>
      </c>
      <c r="W127" s="74" t="str">
        <f t="shared" si="18"/>
        <v>SI</v>
      </c>
      <c r="X127" s="33">
        <v>8</v>
      </c>
      <c r="Y127" s="31" t="s">
        <v>108</v>
      </c>
      <c r="Z127" s="33" t="s">
        <v>87</v>
      </c>
      <c r="AA127" s="45"/>
      <c r="AB127" s="34"/>
      <c r="AC127" s="40"/>
      <c r="AD127" s="42" t="s">
        <v>609</v>
      </c>
      <c r="AE127" s="34" t="s">
        <v>610</v>
      </c>
      <c r="AF127" s="34" t="s">
        <v>576</v>
      </c>
      <c r="AG127" s="41">
        <v>2</v>
      </c>
      <c r="AH127" s="41">
        <v>2</v>
      </c>
      <c r="AI127" s="33">
        <f t="shared" si="20"/>
        <v>4</v>
      </c>
      <c r="AJ127" s="33" t="str">
        <f t="shared" si="21"/>
        <v>BAJO</v>
      </c>
      <c r="AK127" s="33">
        <v>10</v>
      </c>
      <c r="AL127" s="33">
        <f t="shared" si="19"/>
        <v>40</v>
      </c>
      <c r="AM127" s="33" t="str">
        <f t="shared" si="22"/>
        <v>RIESGO ACEPTABLE</v>
      </c>
      <c r="AN127" s="33"/>
      <c r="AO127" s="34"/>
      <c r="AP127" s="34"/>
      <c r="AQ127" s="42" t="s">
        <v>611</v>
      </c>
      <c r="AR127" s="34" t="s">
        <v>610</v>
      </c>
      <c r="AS127" s="61" t="s">
        <v>466</v>
      </c>
    </row>
    <row r="128" spans="1:152" s="8" customFormat="1" ht="67.2" x14ac:dyDescent="0.25">
      <c r="A128" s="195"/>
      <c r="B128" s="198"/>
      <c r="C128" s="166"/>
      <c r="D128" s="196"/>
      <c r="E128" s="32" t="s">
        <v>496</v>
      </c>
      <c r="F128" s="152"/>
      <c r="G128" s="47" t="s">
        <v>592</v>
      </c>
      <c r="H128" s="34" t="s">
        <v>205</v>
      </c>
      <c r="I128" s="32" t="s">
        <v>102</v>
      </c>
      <c r="J128" s="32" t="s">
        <v>627</v>
      </c>
      <c r="K128" s="32" t="s">
        <v>104</v>
      </c>
      <c r="L128" s="68" t="s">
        <v>207</v>
      </c>
      <c r="M128" s="73" t="s">
        <v>332</v>
      </c>
      <c r="N128" s="73" t="s">
        <v>106</v>
      </c>
      <c r="O128" s="73" t="s">
        <v>85</v>
      </c>
      <c r="P128" s="70">
        <v>2</v>
      </c>
      <c r="Q128" s="41">
        <v>3</v>
      </c>
      <c r="R128" s="33">
        <f t="shared" si="14"/>
        <v>6</v>
      </c>
      <c r="S128" s="33" t="str">
        <f t="shared" si="15"/>
        <v>MEDIO</v>
      </c>
      <c r="T128" s="33">
        <v>10</v>
      </c>
      <c r="U128" s="75">
        <f t="shared" si="16"/>
        <v>60</v>
      </c>
      <c r="V128" s="33" t="str">
        <f t="shared" si="17"/>
        <v>lll</v>
      </c>
      <c r="W128" s="74" t="str">
        <f t="shared" si="18"/>
        <v>SI</v>
      </c>
      <c r="X128" s="33">
        <v>8</v>
      </c>
      <c r="Y128" s="31" t="s">
        <v>209</v>
      </c>
      <c r="Z128" s="33" t="s">
        <v>87</v>
      </c>
      <c r="AA128" s="45"/>
      <c r="AB128" s="34"/>
      <c r="AC128" s="34"/>
      <c r="AD128" s="34" t="s">
        <v>628</v>
      </c>
      <c r="AE128" s="34" t="s">
        <v>629</v>
      </c>
      <c r="AF128" s="34" t="s">
        <v>576</v>
      </c>
      <c r="AG128" s="41">
        <v>2</v>
      </c>
      <c r="AH128" s="41">
        <v>2</v>
      </c>
      <c r="AI128" s="33">
        <f t="shared" si="20"/>
        <v>4</v>
      </c>
      <c r="AJ128" s="33" t="str">
        <f t="shared" si="21"/>
        <v>BAJO</v>
      </c>
      <c r="AK128" s="33">
        <v>25</v>
      </c>
      <c r="AL128" s="33">
        <f t="shared" si="19"/>
        <v>100</v>
      </c>
      <c r="AM128" s="33" t="str">
        <f t="shared" si="22"/>
        <v>RIESGO ACEPTABLE</v>
      </c>
      <c r="AN128" s="33"/>
      <c r="AO128" s="34"/>
      <c r="AP128" s="34"/>
      <c r="AQ128" s="34" t="s">
        <v>630</v>
      </c>
      <c r="AR128" s="34" t="s">
        <v>629</v>
      </c>
      <c r="AS128" s="61" t="s">
        <v>466</v>
      </c>
    </row>
    <row r="129" spans="1:45" s="8" customFormat="1" ht="48" x14ac:dyDescent="0.25">
      <c r="A129" s="195"/>
      <c r="B129" s="198"/>
      <c r="C129" s="166"/>
      <c r="D129" s="196"/>
      <c r="E129" s="32" t="s">
        <v>496</v>
      </c>
      <c r="F129" s="152"/>
      <c r="G129" s="47" t="s">
        <v>592</v>
      </c>
      <c r="H129" s="34" t="s">
        <v>149</v>
      </c>
      <c r="I129" s="34" t="s">
        <v>139</v>
      </c>
      <c r="J129" s="34" t="s">
        <v>612</v>
      </c>
      <c r="K129" s="32" t="s">
        <v>104</v>
      </c>
      <c r="L129" s="68" t="s">
        <v>327</v>
      </c>
      <c r="M129" s="73" t="s">
        <v>332</v>
      </c>
      <c r="N129" s="73" t="s">
        <v>311</v>
      </c>
      <c r="O129" s="73" t="s">
        <v>556</v>
      </c>
      <c r="P129" s="70">
        <v>2</v>
      </c>
      <c r="Q129" s="41">
        <v>2</v>
      </c>
      <c r="R129" s="33">
        <f t="shared" si="14"/>
        <v>4</v>
      </c>
      <c r="S129" s="33" t="str">
        <f t="shared" si="15"/>
        <v>BAJO</v>
      </c>
      <c r="T129" s="33">
        <v>10</v>
      </c>
      <c r="U129" s="75">
        <f t="shared" si="16"/>
        <v>40</v>
      </c>
      <c r="V129" s="33" t="str">
        <f t="shared" si="17"/>
        <v>lll</v>
      </c>
      <c r="W129" s="74" t="str">
        <f t="shared" si="18"/>
        <v>SI</v>
      </c>
      <c r="X129" s="33">
        <v>8</v>
      </c>
      <c r="Y129" s="31" t="s">
        <v>143</v>
      </c>
      <c r="Z129" s="33" t="s">
        <v>87</v>
      </c>
      <c r="AA129" s="45"/>
      <c r="AB129" s="34"/>
      <c r="AC129" s="34"/>
      <c r="AD129" s="34" t="s">
        <v>613</v>
      </c>
      <c r="AE129" s="34"/>
      <c r="AF129" s="34" t="s">
        <v>576</v>
      </c>
      <c r="AG129" s="41">
        <v>2</v>
      </c>
      <c r="AH129" s="41">
        <v>2</v>
      </c>
      <c r="AI129" s="33">
        <f t="shared" si="20"/>
        <v>4</v>
      </c>
      <c r="AJ129" s="33" t="str">
        <f t="shared" si="21"/>
        <v>BAJO</v>
      </c>
      <c r="AK129" s="33">
        <v>25</v>
      </c>
      <c r="AL129" s="33">
        <f t="shared" si="19"/>
        <v>100</v>
      </c>
      <c r="AM129" s="33" t="str">
        <f t="shared" si="22"/>
        <v>RIESGO ACEPTABLE</v>
      </c>
      <c r="AN129" s="33"/>
      <c r="AO129" s="34"/>
      <c r="AP129" s="34"/>
      <c r="AQ129" s="34" t="s">
        <v>614</v>
      </c>
      <c r="AR129" s="34"/>
      <c r="AS129" s="61" t="s">
        <v>466</v>
      </c>
    </row>
    <row r="130" spans="1:45" s="8" customFormat="1" ht="48" x14ac:dyDescent="0.25">
      <c r="A130" s="195"/>
      <c r="B130" s="198"/>
      <c r="C130" s="166"/>
      <c r="D130" s="196"/>
      <c r="E130" s="32" t="s">
        <v>496</v>
      </c>
      <c r="F130" s="152"/>
      <c r="G130" s="47" t="s">
        <v>592</v>
      </c>
      <c r="H130" s="34" t="s">
        <v>227</v>
      </c>
      <c r="I130" s="32" t="s">
        <v>158</v>
      </c>
      <c r="J130" s="32" t="s">
        <v>615</v>
      </c>
      <c r="K130" s="32" t="s">
        <v>104</v>
      </c>
      <c r="L130" s="68" t="s">
        <v>229</v>
      </c>
      <c r="M130" s="73" t="s">
        <v>332</v>
      </c>
      <c r="N130" s="73" t="s">
        <v>311</v>
      </c>
      <c r="O130" s="73" t="s">
        <v>367</v>
      </c>
      <c r="P130" s="70">
        <v>2</v>
      </c>
      <c r="Q130" s="41">
        <v>2</v>
      </c>
      <c r="R130" s="33">
        <f t="shared" si="14"/>
        <v>4</v>
      </c>
      <c r="S130" s="33" t="str">
        <f t="shared" si="15"/>
        <v>BAJO</v>
      </c>
      <c r="T130" s="33">
        <v>10</v>
      </c>
      <c r="U130" s="75">
        <f t="shared" si="16"/>
        <v>40</v>
      </c>
      <c r="V130" s="33" t="str">
        <f t="shared" si="17"/>
        <v>lll</v>
      </c>
      <c r="W130" s="74" t="str">
        <f t="shared" si="18"/>
        <v>SI</v>
      </c>
      <c r="X130" s="33">
        <v>8</v>
      </c>
      <c r="Y130" s="31" t="s">
        <v>163</v>
      </c>
      <c r="Z130" s="33" t="s">
        <v>87</v>
      </c>
      <c r="AA130" s="45"/>
      <c r="AB130" s="34"/>
      <c r="AC130" s="34"/>
      <c r="AD130" s="34" t="s">
        <v>504</v>
      </c>
      <c r="AE130" s="34" t="s">
        <v>617</v>
      </c>
      <c r="AF130" s="34" t="s">
        <v>576</v>
      </c>
      <c r="AG130" s="41">
        <v>6</v>
      </c>
      <c r="AH130" s="41">
        <v>2</v>
      </c>
      <c r="AI130" s="33">
        <f t="shared" si="20"/>
        <v>12</v>
      </c>
      <c r="AJ130" s="33" t="str">
        <f t="shared" si="21"/>
        <v>ALTO</v>
      </c>
      <c r="AK130" s="33">
        <v>25</v>
      </c>
      <c r="AL130" s="33">
        <f t="shared" si="19"/>
        <v>300</v>
      </c>
      <c r="AM130" s="33" t="str">
        <f t="shared" si="22"/>
        <v>RIESGO ALTO</v>
      </c>
      <c r="AN130" s="33"/>
      <c r="AO130" s="34"/>
      <c r="AP130" s="34"/>
      <c r="AQ130" s="34" t="s">
        <v>618</v>
      </c>
      <c r="AR130" s="34" t="s">
        <v>617</v>
      </c>
      <c r="AS130" s="61" t="s">
        <v>466</v>
      </c>
    </row>
    <row r="131" spans="1:45" s="8" customFormat="1" ht="48" x14ac:dyDescent="0.25">
      <c r="A131" s="195"/>
      <c r="B131" s="198"/>
      <c r="C131" s="166"/>
      <c r="D131" s="196"/>
      <c r="E131" s="32" t="s">
        <v>496</v>
      </c>
      <c r="F131" s="152"/>
      <c r="G131" s="47" t="s">
        <v>592</v>
      </c>
      <c r="H131" s="34" t="s">
        <v>157</v>
      </c>
      <c r="I131" s="32" t="s">
        <v>158</v>
      </c>
      <c r="J131" s="34" t="s">
        <v>619</v>
      </c>
      <c r="K131" s="32" t="s">
        <v>104</v>
      </c>
      <c r="L131" s="68" t="s">
        <v>160</v>
      </c>
      <c r="M131" s="73" t="s">
        <v>332</v>
      </c>
      <c r="N131" s="73" t="s">
        <v>311</v>
      </c>
      <c r="O131" s="73" t="s">
        <v>367</v>
      </c>
      <c r="P131" s="70">
        <v>2</v>
      </c>
      <c r="Q131" s="41">
        <v>3</v>
      </c>
      <c r="R131" s="33">
        <f t="shared" si="14"/>
        <v>6</v>
      </c>
      <c r="S131" s="33" t="str">
        <f t="shared" si="15"/>
        <v>MEDIO</v>
      </c>
      <c r="T131" s="33">
        <v>10</v>
      </c>
      <c r="U131" s="75">
        <f t="shared" si="16"/>
        <v>60</v>
      </c>
      <c r="V131" s="33" t="str">
        <f t="shared" si="17"/>
        <v>lll</v>
      </c>
      <c r="W131" s="74" t="str">
        <f t="shared" si="18"/>
        <v>SI</v>
      </c>
      <c r="X131" s="33">
        <v>8</v>
      </c>
      <c r="Y131" s="31" t="s">
        <v>163</v>
      </c>
      <c r="Z131" s="33" t="s">
        <v>87</v>
      </c>
      <c r="AA131" s="46"/>
      <c r="AB131" s="33"/>
      <c r="AC131" s="34"/>
      <c r="AD131" s="42" t="s">
        <v>620</v>
      </c>
      <c r="AE131" s="34" t="s">
        <v>621</v>
      </c>
      <c r="AF131" s="34" t="s">
        <v>576</v>
      </c>
      <c r="AG131" s="41">
        <v>10</v>
      </c>
      <c r="AH131" s="41">
        <v>2</v>
      </c>
      <c r="AI131" s="33">
        <f t="shared" si="20"/>
        <v>20</v>
      </c>
      <c r="AJ131" s="33" t="str">
        <f t="shared" si="21"/>
        <v>ALTO</v>
      </c>
      <c r="AK131" s="33">
        <v>25</v>
      </c>
      <c r="AL131" s="33">
        <f t="shared" si="19"/>
        <v>500</v>
      </c>
      <c r="AM131" s="33" t="str">
        <f t="shared" si="22"/>
        <v>RIESGO ALTO</v>
      </c>
      <c r="AN131" s="34"/>
      <c r="AO131" s="34"/>
      <c r="AP131" s="34"/>
      <c r="AQ131" s="42" t="s">
        <v>622</v>
      </c>
      <c r="AR131" s="34" t="s">
        <v>621</v>
      </c>
      <c r="AS131" s="61" t="s">
        <v>466</v>
      </c>
    </row>
    <row r="132" spans="1:45" s="8" customFormat="1" ht="67.2" x14ac:dyDescent="0.25">
      <c r="A132" s="195"/>
      <c r="B132" s="198"/>
      <c r="C132" s="166"/>
      <c r="D132" s="196"/>
      <c r="E132" s="32" t="s">
        <v>496</v>
      </c>
      <c r="F132" s="152"/>
      <c r="G132" s="47" t="s">
        <v>592</v>
      </c>
      <c r="H132" s="34" t="s">
        <v>631</v>
      </c>
      <c r="I132" s="32" t="s">
        <v>291</v>
      </c>
      <c r="J132" s="32" t="s">
        <v>632</v>
      </c>
      <c r="K132" s="32" t="s">
        <v>104</v>
      </c>
      <c r="L132" s="68" t="s">
        <v>633</v>
      </c>
      <c r="M132" s="73" t="s">
        <v>332</v>
      </c>
      <c r="N132" s="73" t="s">
        <v>106</v>
      </c>
      <c r="O132" s="73" t="s">
        <v>294</v>
      </c>
      <c r="P132" s="70">
        <v>2</v>
      </c>
      <c r="Q132" s="41">
        <v>3</v>
      </c>
      <c r="R132" s="33">
        <f t="shared" si="14"/>
        <v>6</v>
      </c>
      <c r="S132" s="33" t="str">
        <f t="shared" si="15"/>
        <v>MEDIO</v>
      </c>
      <c r="T132" s="33">
        <v>10</v>
      </c>
      <c r="U132" s="75">
        <f t="shared" si="16"/>
        <v>60</v>
      </c>
      <c r="V132" s="33" t="str">
        <f t="shared" si="17"/>
        <v>lll</v>
      </c>
      <c r="W132" s="74" t="str">
        <f t="shared" si="18"/>
        <v>SI</v>
      </c>
      <c r="X132" s="33">
        <v>8</v>
      </c>
      <c r="Y132" s="31" t="s">
        <v>634</v>
      </c>
      <c r="Z132" s="33" t="s">
        <v>87</v>
      </c>
      <c r="AA132" s="45"/>
      <c r="AB132" s="34"/>
      <c r="AC132" s="34" t="s">
        <v>635</v>
      </c>
      <c r="AD132" s="34" t="s">
        <v>636</v>
      </c>
      <c r="AE132" s="34" t="s">
        <v>637</v>
      </c>
      <c r="AF132" s="34" t="s">
        <v>576</v>
      </c>
      <c r="AG132" s="41">
        <v>2</v>
      </c>
      <c r="AH132" s="41">
        <v>2</v>
      </c>
      <c r="AI132" s="33">
        <f t="shared" si="20"/>
        <v>4</v>
      </c>
      <c r="AJ132" s="33" t="str">
        <f t="shared" si="21"/>
        <v>BAJO</v>
      </c>
      <c r="AK132" s="33">
        <v>25</v>
      </c>
      <c r="AL132" s="33">
        <f t="shared" si="19"/>
        <v>100</v>
      </c>
      <c r="AM132" s="33" t="str">
        <f t="shared" si="22"/>
        <v>RIESGO ACEPTABLE</v>
      </c>
      <c r="AN132" s="33"/>
      <c r="AO132" s="34"/>
      <c r="AP132" s="34" t="s">
        <v>638</v>
      </c>
      <c r="AQ132" s="34" t="s">
        <v>639</v>
      </c>
      <c r="AR132" s="34" t="s">
        <v>637</v>
      </c>
      <c r="AS132" s="61" t="s">
        <v>466</v>
      </c>
    </row>
    <row r="133" spans="1:45" s="8" customFormat="1" ht="67.2" x14ac:dyDescent="0.25">
      <c r="A133" s="195"/>
      <c r="B133" s="198"/>
      <c r="C133" s="166"/>
      <c r="D133" s="196" t="s">
        <v>640</v>
      </c>
      <c r="E133" s="32" t="s">
        <v>496</v>
      </c>
      <c r="F133" s="152" t="s">
        <v>515</v>
      </c>
      <c r="G133" s="47" t="s">
        <v>592</v>
      </c>
      <c r="H133" s="34" t="s">
        <v>183</v>
      </c>
      <c r="I133" s="32" t="s">
        <v>173</v>
      </c>
      <c r="J133" s="32" t="s">
        <v>593</v>
      </c>
      <c r="K133" s="32" t="s">
        <v>104</v>
      </c>
      <c r="L133" s="68" t="s">
        <v>185</v>
      </c>
      <c r="M133" s="73" t="s">
        <v>332</v>
      </c>
      <c r="N133" s="73" t="s">
        <v>641</v>
      </c>
      <c r="O133" s="73" t="s">
        <v>491</v>
      </c>
      <c r="P133" s="70">
        <v>2</v>
      </c>
      <c r="Q133" s="41">
        <v>3</v>
      </c>
      <c r="R133" s="33">
        <f t="shared" si="14"/>
        <v>6</v>
      </c>
      <c r="S133" s="33" t="str">
        <f t="shared" si="15"/>
        <v>MEDIO</v>
      </c>
      <c r="T133" s="33">
        <v>10</v>
      </c>
      <c r="U133" s="75">
        <f t="shared" si="16"/>
        <v>60</v>
      </c>
      <c r="V133" s="33" t="str">
        <f t="shared" si="17"/>
        <v>lll</v>
      </c>
      <c r="W133" s="74" t="str">
        <f t="shared" si="18"/>
        <v>SI</v>
      </c>
      <c r="X133" s="33">
        <v>8</v>
      </c>
      <c r="Y133" s="31" t="s">
        <v>178</v>
      </c>
      <c r="Z133" s="33" t="s">
        <v>87</v>
      </c>
      <c r="AA133" s="45"/>
      <c r="AB133" s="45"/>
      <c r="AC133" s="40"/>
      <c r="AD133" s="42" t="s">
        <v>595</v>
      </c>
      <c r="AE133" s="34" t="s">
        <v>596</v>
      </c>
      <c r="AF133" s="34" t="s">
        <v>576</v>
      </c>
      <c r="AG133" s="41">
        <v>2</v>
      </c>
      <c r="AH133" s="41">
        <v>2</v>
      </c>
      <c r="AI133" s="33">
        <f t="shared" si="20"/>
        <v>4</v>
      </c>
      <c r="AJ133" s="33" t="str">
        <f t="shared" si="21"/>
        <v>BAJO</v>
      </c>
      <c r="AK133" s="33">
        <v>25</v>
      </c>
      <c r="AL133" s="33">
        <f t="shared" si="19"/>
        <v>100</v>
      </c>
      <c r="AM133" s="33" t="str">
        <f t="shared" si="22"/>
        <v>RIESGO ACEPTABLE</v>
      </c>
      <c r="AN133" s="33"/>
      <c r="AO133" s="34"/>
      <c r="AP133" s="40"/>
      <c r="AQ133" s="42" t="s">
        <v>597</v>
      </c>
      <c r="AR133" s="34" t="s">
        <v>596</v>
      </c>
      <c r="AS133" s="61" t="s">
        <v>466</v>
      </c>
    </row>
    <row r="134" spans="1:45" s="8" customFormat="1" ht="67.2" x14ac:dyDescent="0.25">
      <c r="A134" s="195"/>
      <c r="B134" s="198"/>
      <c r="C134" s="166"/>
      <c r="D134" s="196"/>
      <c r="E134" s="32" t="s">
        <v>496</v>
      </c>
      <c r="F134" s="152"/>
      <c r="G134" s="47" t="s">
        <v>592</v>
      </c>
      <c r="H134" s="34" t="s">
        <v>191</v>
      </c>
      <c r="I134" s="32" t="s">
        <v>173</v>
      </c>
      <c r="J134" s="32" t="s">
        <v>598</v>
      </c>
      <c r="K134" s="32" t="s">
        <v>104</v>
      </c>
      <c r="L134" s="68" t="s">
        <v>193</v>
      </c>
      <c r="M134" s="73" t="s">
        <v>332</v>
      </c>
      <c r="N134" s="73" t="s">
        <v>641</v>
      </c>
      <c r="O134" s="73" t="s">
        <v>491</v>
      </c>
      <c r="P134" s="70">
        <v>2</v>
      </c>
      <c r="Q134" s="41">
        <v>2</v>
      </c>
      <c r="R134" s="33">
        <f t="shared" si="14"/>
        <v>4</v>
      </c>
      <c r="S134" s="33" t="str">
        <f t="shared" si="15"/>
        <v>BAJO</v>
      </c>
      <c r="T134" s="33">
        <v>10</v>
      </c>
      <c r="U134" s="75">
        <f t="shared" si="16"/>
        <v>40</v>
      </c>
      <c r="V134" s="33" t="str">
        <f t="shared" si="17"/>
        <v>lll</v>
      </c>
      <c r="W134" s="74" t="str">
        <f t="shared" si="18"/>
        <v>SI</v>
      </c>
      <c r="X134" s="33">
        <v>8</v>
      </c>
      <c r="Y134" s="31" t="s">
        <v>195</v>
      </c>
      <c r="Z134" s="33" t="s">
        <v>87</v>
      </c>
      <c r="AA134" s="45"/>
      <c r="AB134" s="34"/>
      <c r="AC134" s="40"/>
      <c r="AD134" s="42" t="s">
        <v>599</v>
      </c>
      <c r="AE134" s="34" t="s">
        <v>600</v>
      </c>
      <c r="AF134" s="34" t="s">
        <v>576</v>
      </c>
      <c r="AG134" s="41">
        <v>2</v>
      </c>
      <c r="AH134" s="41">
        <v>2</v>
      </c>
      <c r="AI134" s="33">
        <f t="shared" si="20"/>
        <v>4</v>
      </c>
      <c r="AJ134" s="33" t="str">
        <f t="shared" si="21"/>
        <v>BAJO</v>
      </c>
      <c r="AK134" s="33">
        <v>25</v>
      </c>
      <c r="AL134" s="33">
        <f t="shared" si="19"/>
        <v>100</v>
      </c>
      <c r="AM134" s="33" t="str">
        <f t="shared" si="22"/>
        <v>RIESGO ACEPTABLE</v>
      </c>
      <c r="AN134" s="33"/>
      <c r="AO134" s="34"/>
      <c r="AP134" s="40"/>
      <c r="AQ134" s="42" t="s">
        <v>601</v>
      </c>
      <c r="AR134" s="34" t="s">
        <v>600</v>
      </c>
      <c r="AS134" s="61" t="s">
        <v>466</v>
      </c>
    </row>
    <row r="135" spans="1:45" s="8" customFormat="1" ht="96" x14ac:dyDescent="0.25">
      <c r="A135" s="195"/>
      <c r="B135" s="198"/>
      <c r="C135" s="166"/>
      <c r="D135" s="196"/>
      <c r="E135" s="32" t="s">
        <v>496</v>
      </c>
      <c r="F135" s="152"/>
      <c r="G135" s="47" t="s">
        <v>592</v>
      </c>
      <c r="H135" s="34" t="s">
        <v>380</v>
      </c>
      <c r="I135" s="32" t="s">
        <v>381</v>
      </c>
      <c r="J135" s="34" t="s">
        <v>625</v>
      </c>
      <c r="K135" s="32" t="s">
        <v>104</v>
      </c>
      <c r="L135" s="68" t="s">
        <v>383</v>
      </c>
      <c r="M135" s="73" t="s">
        <v>332</v>
      </c>
      <c r="N135" s="73" t="s">
        <v>642</v>
      </c>
      <c r="O135" s="73" t="s">
        <v>643</v>
      </c>
      <c r="P135" s="70">
        <v>2</v>
      </c>
      <c r="Q135" s="41">
        <v>2</v>
      </c>
      <c r="R135" s="33">
        <f t="shared" si="14"/>
        <v>4</v>
      </c>
      <c r="S135" s="33" t="str">
        <f t="shared" si="15"/>
        <v>BAJO</v>
      </c>
      <c r="T135" s="33">
        <v>10</v>
      </c>
      <c r="U135" s="75">
        <f t="shared" si="16"/>
        <v>40</v>
      </c>
      <c r="V135" s="33" t="str">
        <f t="shared" si="17"/>
        <v>lll</v>
      </c>
      <c r="W135" s="74" t="str">
        <f t="shared" si="18"/>
        <v>SI</v>
      </c>
      <c r="X135" s="33">
        <v>8</v>
      </c>
      <c r="Y135" s="31" t="s">
        <v>385</v>
      </c>
      <c r="Z135" s="33" t="s">
        <v>87</v>
      </c>
      <c r="AA135" s="45"/>
      <c r="AB135" s="34"/>
      <c r="AC135" s="34"/>
      <c r="AD135" s="34" t="s">
        <v>604</v>
      </c>
      <c r="AE135" s="34" t="s">
        <v>605</v>
      </c>
      <c r="AF135" s="34" t="s">
        <v>576</v>
      </c>
      <c r="AG135" s="41">
        <v>2</v>
      </c>
      <c r="AH135" s="41">
        <v>2</v>
      </c>
      <c r="AI135" s="33">
        <f t="shared" si="20"/>
        <v>4</v>
      </c>
      <c r="AJ135" s="33" t="str">
        <f t="shared" si="21"/>
        <v>BAJO</v>
      </c>
      <c r="AK135" s="33">
        <v>25</v>
      </c>
      <c r="AL135" s="33">
        <f t="shared" si="19"/>
        <v>100</v>
      </c>
      <c r="AM135" s="33" t="str">
        <f t="shared" si="22"/>
        <v>RIESGO ACEPTABLE</v>
      </c>
      <c r="AN135" s="33"/>
      <c r="AO135" s="34"/>
      <c r="AP135" s="34"/>
      <c r="AQ135" s="34" t="s">
        <v>606</v>
      </c>
      <c r="AR135" s="34" t="s">
        <v>605</v>
      </c>
      <c r="AS135" s="61" t="s">
        <v>466</v>
      </c>
    </row>
    <row r="136" spans="1:45" s="8" customFormat="1" ht="67.2" x14ac:dyDescent="0.25">
      <c r="A136" s="195"/>
      <c r="B136" s="198"/>
      <c r="C136" s="166"/>
      <c r="D136" s="196"/>
      <c r="E136" s="32" t="s">
        <v>496</v>
      </c>
      <c r="F136" s="152"/>
      <c r="G136" s="47" t="s">
        <v>592</v>
      </c>
      <c r="H136" s="34" t="s">
        <v>316</v>
      </c>
      <c r="I136" s="32" t="s">
        <v>102</v>
      </c>
      <c r="J136" s="32" t="s">
        <v>607</v>
      </c>
      <c r="K136" s="32" t="s">
        <v>104</v>
      </c>
      <c r="L136" s="68" t="s">
        <v>83</v>
      </c>
      <c r="M136" s="73" t="s">
        <v>332</v>
      </c>
      <c r="N136" s="73" t="s">
        <v>106</v>
      </c>
      <c r="O136" s="73" t="s">
        <v>608</v>
      </c>
      <c r="P136" s="70">
        <v>2</v>
      </c>
      <c r="Q136" s="41">
        <v>3</v>
      </c>
      <c r="R136" s="33">
        <f t="shared" si="14"/>
        <v>6</v>
      </c>
      <c r="S136" s="33" t="str">
        <f t="shared" si="15"/>
        <v>MEDIO</v>
      </c>
      <c r="T136" s="33">
        <v>10</v>
      </c>
      <c r="U136" s="75">
        <f t="shared" si="16"/>
        <v>60</v>
      </c>
      <c r="V136" s="33" t="str">
        <f t="shared" si="17"/>
        <v>lll</v>
      </c>
      <c r="W136" s="74" t="str">
        <f t="shared" si="18"/>
        <v>SI</v>
      </c>
      <c r="X136" s="33">
        <v>8</v>
      </c>
      <c r="Y136" s="31" t="s">
        <v>108</v>
      </c>
      <c r="Z136" s="33" t="s">
        <v>87</v>
      </c>
      <c r="AA136" s="45"/>
      <c r="AB136" s="34"/>
      <c r="AC136" s="42"/>
      <c r="AD136" s="42" t="s">
        <v>609</v>
      </c>
      <c r="AE136" s="34" t="s">
        <v>610</v>
      </c>
      <c r="AF136" s="34" t="s">
        <v>576</v>
      </c>
      <c r="AG136" s="41">
        <v>2</v>
      </c>
      <c r="AH136" s="41">
        <v>2</v>
      </c>
      <c r="AI136" s="33">
        <f t="shared" si="20"/>
        <v>4</v>
      </c>
      <c r="AJ136" s="33" t="str">
        <f t="shared" si="21"/>
        <v>BAJO</v>
      </c>
      <c r="AK136" s="33">
        <v>10</v>
      </c>
      <c r="AL136" s="33">
        <f t="shared" si="19"/>
        <v>40</v>
      </c>
      <c r="AM136" s="33" t="str">
        <f t="shared" si="22"/>
        <v>RIESGO ACEPTABLE</v>
      </c>
      <c r="AN136" s="33"/>
      <c r="AO136" s="34"/>
      <c r="AP136" s="42"/>
      <c r="AQ136" s="42" t="s">
        <v>611</v>
      </c>
      <c r="AR136" s="34" t="s">
        <v>610</v>
      </c>
      <c r="AS136" s="61" t="s">
        <v>466</v>
      </c>
    </row>
    <row r="137" spans="1:45" s="8" customFormat="1" ht="67.2" x14ac:dyDescent="0.25">
      <c r="A137" s="195"/>
      <c r="B137" s="198"/>
      <c r="C137" s="166"/>
      <c r="D137" s="196"/>
      <c r="E137" s="32" t="s">
        <v>496</v>
      </c>
      <c r="F137" s="152"/>
      <c r="G137" s="47" t="s">
        <v>592</v>
      </c>
      <c r="H137" s="34" t="s">
        <v>205</v>
      </c>
      <c r="I137" s="32" t="s">
        <v>102</v>
      </c>
      <c r="J137" s="32" t="s">
        <v>644</v>
      </c>
      <c r="K137" s="32" t="s">
        <v>104</v>
      </c>
      <c r="L137" s="68" t="s">
        <v>207</v>
      </c>
      <c r="M137" s="73" t="s">
        <v>332</v>
      </c>
      <c r="N137" s="73" t="s">
        <v>106</v>
      </c>
      <c r="O137" s="73" t="s">
        <v>608</v>
      </c>
      <c r="P137" s="70">
        <v>2</v>
      </c>
      <c r="Q137" s="41">
        <v>3</v>
      </c>
      <c r="R137" s="33">
        <f t="shared" si="14"/>
        <v>6</v>
      </c>
      <c r="S137" s="33" t="str">
        <f t="shared" si="15"/>
        <v>MEDIO</v>
      </c>
      <c r="T137" s="33">
        <v>10</v>
      </c>
      <c r="U137" s="75">
        <f t="shared" si="16"/>
        <v>60</v>
      </c>
      <c r="V137" s="33" t="str">
        <f t="shared" si="17"/>
        <v>lll</v>
      </c>
      <c r="W137" s="74" t="str">
        <f t="shared" si="18"/>
        <v>SI</v>
      </c>
      <c r="X137" s="33">
        <v>8</v>
      </c>
      <c r="Y137" s="31" t="s">
        <v>209</v>
      </c>
      <c r="Z137" s="33" t="s">
        <v>87</v>
      </c>
      <c r="AA137" s="45"/>
      <c r="AB137" s="34"/>
      <c r="AC137" s="42"/>
      <c r="AD137" s="34" t="s">
        <v>628</v>
      </c>
      <c r="AE137" s="34" t="s">
        <v>629</v>
      </c>
      <c r="AF137" s="34" t="s">
        <v>576</v>
      </c>
      <c r="AG137" s="41">
        <v>2</v>
      </c>
      <c r="AH137" s="41">
        <v>2</v>
      </c>
      <c r="AI137" s="33">
        <f t="shared" si="20"/>
        <v>4</v>
      </c>
      <c r="AJ137" s="33" t="str">
        <f t="shared" si="21"/>
        <v>BAJO</v>
      </c>
      <c r="AK137" s="33">
        <v>25</v>
      </c>
      <c r="AL137" s="33">
        <f t="shared" si="19"/>
        <v>100</v>
      </c>
      <c r="AM137" s="33" t="str">
        <f t="shared" si="22"/>
        <v>RIESGO ACEPTABLE</v>
      </c>
      <c r="AN137" s="33"/>
      <c r="AO137" s="34"/>
      <c r="AP137" s="42"/>
      <c r="AQ137" s="34" t="s">
        <v>630</v>
      </c>
      <c r="AR137" s="34" t="s">
        <v>629</v>
      </c>
      <c r="AS137" s="61" t="s">
        <v>466</v>
      </c>
    </row>
    <row r="138" spans="1:45" s="8" customFormat="1" ht="67.2" x14ac:dyDescent="0.25">
      <c r="A138" s="195"/>
      <c r="B138" s="198"/>
      <c r="C138" s="166"/>
      <c r="D138" s="196"/>
      <c r="E138" s="32" t="s">
        <v>496</v>
      </c>
      <c r="F138" s="152"/>
      <c r="G138" s="47" t="s">
        <v>592</v>
      </c>
      <c r="H138" s="34" t="s">
        <v>101</v>
      </c>
      <c r="I138" s="32" t="s">
        <v>102</v>
      </c>
      <c r="J138" s="32" t="s">
        <v>644</v>
      </c>
      <c r="K138" s="32" t="s">
        <v>104</v>
      </c>
      <c r="L138" s="68" t="s">
        <v>207</v>
      </c>
      <c r="M138" s="73" t="s">
        <v>332</v>
      </c>
      <c r="N138" s="73" t="s">
        <v>106</v>
      </c>
      <c r="O138" s="73" t="s">
        <v>608</v>
      </c>
      <c r="P138" s="70">
        <v>2</v>
      </c>
      <c r="Q138" s="41">
        <v>3</v>
      </c>
      <c r="R138" s="33">
        <f t="shared" si="14"/>
        <v>6</v>
      </c>
      <c r="S138" s="33" t="str">
        <f t="shared" si="15"/>
        <v>MEDIO</v>
      </c>
      <c r="T138" s="33">
        <v>10</v>
      </c>
      <c r="U138" s="75">
        <f t="shared" si="16"/>
        <v>60</v>
      </c>
      <c r="V138" s="33" t="str">
        <f t="shared" si="17"/>
        <v>lll</v>
      </c>
      <c r="W138" s="74" t="str">
        <f t="shared" si="18"/>
        <v>SI</v>
      </c>
      <c r="X138" s="33">
        <v>8</v>
      </c>
      <c r="Y138" s="31" t="s">
        <v>108</v>
      </c>
      <c r="Z138" s="33" t="s">
        <v>87</v>
      </c>
      <c r="AA138" s="45"/>
      <c r="AB138" s="34"/>
      <c r="AC138" s="40"/>
      <c r="AD138" s="34" t="s">
        <v>628</v>
      </c>
      <c r="AE138" s="34" t="s">
        <v>645</v>
      </c>
      <c r="AF138" s="34" t="s">
        <v>576</v>
      </c>
      <c r="AG138" s="41">
        <v>2</v>
      </c>
      <c r="AH138" s="41">
        <v>2</v>
      </c>
      <c r="AI138" s="33">
        <f t="shared" si="20"/>
        <v>4</v>
      </c>
      <c r="AJ138" s="33" t="str">
        <f t="shared" si="21"/>
        <v>BAJO</v>
      </c>
      <c r="AK138" s="33">
        <v>25</v>
      </c>
      <c r="AL138" s="33">
        <f t="shared" si="19"/>
        <v>100</v>
      </c>
      <c r="AM138" s="33" t="str">
        <f t="shared" si="22"/>
        <v>RIESGO ACEPTABLE</v>
      </c>
      <c r="AN138" s="33"/>
      <c r="AO138" s="34"/>
      <c r="AP138" s="40"/>
      <c r="AQ138" s="34" t="s">
        <v>646</v>
      </c>
      <c r="AR138" s="34" t="s">
        <v>647</v>
      </c>
      <c r="AS138" s="61" t="s">
        <v>466</v>
      </c>
    </row>
    <row r="139" spans="1:45" s="8" customFormat="1" ht="48" x14ac:dyDescent="0.25">
      <c r="A139" s="195"/>
      <c r="B139" s="198"/>
      <c r="C139" s="166"/>
      <c r="D139" s="196"/>
      <c r="E139" s="32" t="s">
        <v>496</v>
      </c>
      <c r="F139" s="152"/>
      <c r="G139" s="47" t="s">
        <v>592</v>
      </c>
      <c r="H139" s="34" t="s">
        <v>149</v>
      </c>
      <c r="I139" s="34" t="s">
        <v>139</v>
      </c>
      <c r="J139" s="34" t="s">
        <v>612</v>
      </c>
      <c r="K139" s="32" t="s">
        <v>104</v>
      </c>
      <c r="L139" s="68" t="s">
        <v>327</v>
      </c>
      <c r="M139" s="73" t="s">
        <v>332</v>
      </c>
      <c r="N139" s="73" t="s">
        <v>161</v>
      </c>
      <c r="O139" s="73" t="s">
        <v>152</v>
      </c>
      <c r="P139" s="70">
        <v>2</v>
      </c>
      <c r="Q139" s="41">
        <v>2</v>
      </c>
      <c r="R139" s="33">
        <f t="shared" si="14"/>
        <v>4</v>
      </c>
      <c r="S139" s="33" t="str">
        <f t="shared" si="15"/>
        <v>BAJO</v>
      </c>
      <c r="T139" s="33">
        <v>10</v>
      </c>
      <c r="U139" s="75">
        <f t="shared" si="16"/>
        <v>40</v>
      </c>
      <c r="V139" s="33" t="str">
        <f t="shared" si="17"/>
        <v>lll</v>
      </c>
      <c r="W139" s="74" t="str">
        <f t="shared" si="18"/>
        <v>SI</v>
      </c>
      <c r="X139" s="33">
        <v>8</v>
      </c>
      <c r="Y139" s="31" t="s">
        <v>143</v>
      </c>
      <c r="Z139" s="33" t="s">
        <v>87</v>
      </c>
      <c r="AA139" s="45"/>
      <c r="AB139" s="34"/>
      <c r="AC139" s="34"/>
      <c r="AD139" s="34" t="s">
        <v>613</v>
      </c>
      <c r="AE139" s="34"/>
      <c r="AF139" s="34" t="s">
        <v>576</v>
      </c>
      <c r="AG139" s="41">
        <v>2</v>
      </c>
      <c r="AH139" s="41">
        <v>2</v>
      </c>
      <c r="AI139" s="33">
        <f t="shared" si="20"/>
        <v>4</v>
      </c>
      <c r="AJ139" s="33" t="str">
        <f t="shared" si="21"/>
        <v>BAJO</v>
      </c>
      <c r="AK139" s="33">
        <v>25</v>
      </c>
      <c r="AL139" s="33">
        <f t="shared" si="19"/>
        <v>100</v>
      </c>
      <c r="AM139" s="33" t="str">
        <f t="shared" si="22"/>
        <v>RIESGO ACEPTABLE</v>
      </c>
      <c r="AN139" s="33"/>
      <c r="AO139" s="34"/>
      <c r="AP139" s="34"/>
      <c r="AQ139" s="34" t="s">
        <v>614</v>
      </c>
      <c r="AR139" s="34"/>
      <c r="AS139" s="61" t="s">
        <v>466</v>
      </c>
    </row>
    <row r="140" spans="1:45" s="8" customFormat="1" ht="96" x14ac:dyDescent="0.25">
      <c r="A140" s="195"/>
      <c r="B140" s="198"/>
      <c r="C140" s="166"/>
      <c r="D140" s="196"/>
      <c r="E140" s="32" t="s">
        <v>496</v>
      </c>
      <c r="F140" s="152"/>
      <c r="G140" s="47" t="s">
        <v>592</v>
      </c>
      <c r="H140" s="34" t="s">
        <v>227</v>
      </c>
      <c r="I140" s="32" t="s">
        <v>158</v>
      </c>
      <c r="J140" s="32" t="s">
        <v>502</v>
      </c>
      <c r="K140" s="32" t="s">
        <v>104</v>
      </c>
      <c r="L140" s="68" t="s">
        <v>229</v>
      </c>
      <c r="M140" s="73" t="s">
        <v>332</v>
      </c>
      <c r="N140" s="73" t="s">
        <v>642</v>
      </c>
      <c r="O140" s="73" t="s">
        <v>559</v>
      </c>
      <c r="P140" s="70">
        <v>2</v>
      </c>
      <c r="Q140" s="41">
        <v>2</v>
      </c>
      <c r="R140" s="33">
        <f t="shared" si="14"/>
        <v>4</v>
      </c>
      <c r="S140" s="33" t="str">
        <f t="shared" si="15"/>
        <v>BAJO</v>
      </c>
      <c r="T140" s="33">
        <v>10</v>
      </c>
      <c r="U140" s="75">
        <f t="shared" si="16"/>
        <v>40</v>
      </c>
      <c r="V140" s="33" t="str">
        <f t="shared" si="17"/>
        <v>lll</v>
      </c>
      <c r="W140" s="74" t="str">
        <f t="shared" si="18"/>
        <v>SI</v>
      </c>
      <c r="X140" s="33">
        <v>8</v>
      </c>
      <c r="Y140" s="31" t="s">
        <v>163</v>
      </c>
      <c r="Z140" s="33" t="s">
        <v>87</v>
      </c>
      <c r="AA140" s="45"/>
      <c r="AB140" s="32"/>
      <c r="AC140" s="40"/>
      <c r="AD140" s="34" t="s">
        <v>504</v>
      </c>
      <c r="AE140" s="34" t="s">
        <v>617</v>
      </c>
      <c r="AF140" s="34" t="s">
        <v>576</v>
      </c>
      <c r="AG140" s="41">
        <v>6</v>
      </c>
      <c r="AH140" s="41">
        <v>2</v>
      </c>
      <c r="AI140" s="33">
        <f t="shared" si="20"/>
        <v>12</v>
      </c>
      <c r="AJ140" s="33" t="str">
        <f t="shared" si="21"/>
        <v>ALTO</v>
      </c>
      <c r="AK140" s="33">
        <v>25</v>
      </c>
      <c r="AL140" s="33">
        <f t="shared" si="19"/>
        <v>300</v>
      </c>
      <c r="AM140" s="33" t="str">
        <f t="shared" si="22"/>
        <v>RIESGO ALTO</v>
      </c>
      <c r="AN140" s="33"/>
      <c r="AO140" s="32"/>
      <c r="AP140" s="40"/>
      <c r="AQ140" s="34" t="s">
        <v>618</v>
      </c>
      <c r="AR140" s="34" t="s">
        <v>617</v>
      </c>
      <c r="AS140" s="61" t="s">
        <v>466</v>
      </c>
    </row>
    <row r="141" spans="1:45" s="8" customFormat="1" ht="96" x14ac:dyDescent="0.25">
      <c r="A141" s="195"/>
      <c r="B141" s="198"/>
      <c r="C141" s="166"/>
      <c r="D141" s="196"/>
      <c r="E141" s="32" t="s">
        <v>496</v>
      </c>
      <c r="F141" s="152"/>
      <c r="G141" s="47" t="s">
        <v>592</v>
      </c>
      <c r="H141" s="34" t="s">
        <v>157</v>
      </c>
      <c r="I141" s="32" t="s">
        <v>158</v>
      </c>
      <c r="J141" s="34" t="s">
        <v>619</v>
      </c>
      <c r="K141" s="32" t="s">
        <v>104</v>
      </c>
      <c r="L141" s="68" t="s">
        <v>160</v>
      </c>
      <c r="M141" s="73" t="s">
        <v>332</v>
      </c>
      <c r="N141" s="73" t="s">
        <v>642</v>
      </c>
      <c r="O141" s="73" t="s">
        <v>648</v>
      </c>
      <c r="P141" s="70">
        <v>2</v>
      </c>
      <c r="Q141" s="41">
        <v>3</v>
      </c>
      <c r="R141" s="33">
        <f t="shared" ref="R141:R204" si="23">P141*Q141</f>
        <v>6</v>
      </c>
      <c r="S141" s="33" t="str">
        <f t="shared" si="15"/>
        <v>MEDIO</v>
      </c>
      <c r="T141" s="33">
        <v>10</v>
      </c>
      <c r="U141" s="75">
        <f t="shared" si="16"/>
        <v>60</v>
      </c>
      <c r="V141" s="33" t="str">
        <f t="shared" si="17"/>
        <v>lll</v>
      </c>
      <c r="W141" s="74" t="str">
        <f t="shared" si="18"/>
        <v>SI</v>
      </c>
      <c r="X141" s="33">
        <v>8</v>
      </c>
      <c r="Y141" s="31" t="s">
        <v>163</v>
      </c>
      <c r="Z141" s="33" t="s">
        <v>87</v>
      </c>
      <c r="AA141" s="45"/>
      <c r="AB141" s="34"/>
      <c r="AC141" s="34"/>
      <c r="AD141" s="42" t="s">
        <v>620</v>
      </c>
      <c r="AE141" s="34" t="s">
        <v>621</v>
      </c>
      <c r="AF141" s="34" t="s">
        <v>576</v>
      </c>
      <c r="AG141" s="41">
        <v>10</v>
      </c>
      <c r="AH141" s="41">
        <v>2</v>
      </c>
      <c r="AI141" s="33">
        <f t="shared" si="20"/>
        <v>20</v>
      </c>
      <c r="AJ141" s="33" t="str">
        <f t="shared" si="21"/>
        <v>ALTO</v>
      </c>
      <c r="AK141" s="33">
        <v>25</v>
      </c>
      <c r="AL141" s="33">
        <f t="shared" si="19"/>
        <v>500</v>
      </c>
      <c r="AM141" s="33" t="str">
        <f t="shared" si="22"/>
        <v>RIESGO ALTO</v>
      </c>
      <c r="AN141" s="33"/>
      <c r="AO141" s="34"/>
      <c r="AP141" s="40"/>
      <c r="AQ141" s="42" t="s">
        <v>622</v>
      </c>
      <c r="AR141" s="34" t="s">
        <v>621</v>
      </c>
      <c r="AS141" s="61" t="s">
        <v>466</v>
      </c>
    </row>
    <row r="142" spans="1:45" s="8" customFormat="1" ht="96" x14ac:dyDescent="0.25">
      <c r="A142" s="195"/>
      <c r="B142" s="198"/>
      <c r="C142" s="166"/>
      <c r="D142" s="196"/>
      <c r="E142" s="32" t="s">
        <v>496</v>
      </c>
      <c r="F142" s="152"/>
      <c r="G142" s="47" t="s">
        <v>592</v>
      </c>
      <c r="H142" s="32" t="s">
        <v>649</v>
      </c>
      <c r="I142" s="32" t="s">
        <v>291</v>
      </c>
      <c r="J142" s="32" t="s">
        <v>650</v>
      </c>
      <c r="K142" s="32" t="s">
        <v>104</v>
      </c>
      <c r="L142" s="68" t="s">
        <v>651</v>
      </c>
      <c r="M142" s="73" t="s">
        <v>332</v>
      </c>
      <c r="N142" s="73" t="s">
        <v>642</v>
      </c>
      <c r="O142" s="73" t="s">
        <v>652</v>
      </c>
      <c r="P142" s="70">
        <v>2</v>
      </c>
      <c r="Q142" s="41">
        <v>2</v>
      </c>
      <c r="R142" s="33">
        <f t="shared" si="23"/>
        <v>4</v>
      </c>
      <c r="S142" s="33" t="str">
        <f t="shared" si="15"/>
        <v>BAJO</v>
      </c>
      <c r="T142" s="33">
        <v>10</v>
      </c>
      <c r="U142" s="75">
        <f t="shared" si="16"/>
        <v>40</v>
      </c>
      <c r="V142" s="33" t="str">
        <f t="shared" si="17"/>
        <v>lll</v>
      </c>
      <c r="W142" s="74" t="str">
        <f t="shared" si="18"/>
        <v>SI</v>
      </c>
      <c r="X142" s="33">
        <v>8</v>
      </c>
      <c r="Y142" s="31" t="s">
        <v>653</v>
      </c>
      <c r="Z142" s="33" t="s">
        <v>87</v>
      </c>
      <c r="AA142" s="45"/>
      <c r="AB142" s="34"/>
      <c r="AC142" s="40"/>
      <c r="AD142" s="34" t="s">
        <v>654</v>
      </c>
      <c r="AE142" s="34" t="s">
        <v>655</v>
      </c>
      <c r="AF142" s="34" t="s">
        <v>576</v>
      </c>
      <c r="AG142" s="41">
        <v>2</v>
      </c>
      <c r="AH142" s="41">
        <v>2</v>
      </c>
      <c r="AI142" s="33">
        <f t="shared" si="20"/>
        <v>4</v>
      </c>
      <c r="AJ142" s="33" t="str">
        <f t="shared" si="21"/>
        <v>BAJO</v>
      </c>
      <c r="AK142" s="33">
        <v>25</v>
      </c>
      <c r="AL142" s="33">
        <f t="shared" si="19"/>
        <v>100</v>
      </c>
      <c r="AM142" s="33" t="str">
        <f t="shared" si="22"/>
        <v>RIESGO ACEPTABLE</v>
      </c>
      <c r="AN142" s="33"/>
      <c r="AO142" s="34"/>
      <c r="AP142" s="40"/>
      <c r="AQ142" s="34" t="s">
        <v>656</v>
      </c>
      <c r="AR142" s="34" t="s">
        <v>655</v>
      </c>
      <c r="AS142" s="61" t="s">
        <v>466</v>
      </c>
    </row>
    <row r="143" spans="1:45" s="8" customFormat="1" ht="96" x14ac:dyDescent="0.25">
      <c r="A143" s="195"/>
      <c r="B143" s="198"/>
      <c r="C143" s="166"/>
      <c r="D143" s="196"/>
      <c r="E143" s="32" t="s">
        <v>496</v>
      </c>
      <c r="F143" s="152"/>
      <c r="G143" s="47" t="s">
        <v>592</v>
      </c>
      <c r="H143" s="34" t="s">
        <v>631</v>
      </c>
      <c r="I143" s="32" t="s">
        <v>291</v>
      </c>
      <c r="J143" s="32" t="s">
        <v>657</v>
      </c>
      <c r="K143" s="32" t="s">
        <v>104</v>
      </c>
      <c r="L143" s="68" t="s">
        <v>633</v>
      </c>
      <c r="M143" s="73" t="s">
        <v>332</v>
      </c>
      <c r="N143" s="73" t="s">
        <v>642</v>
      </c>
      <c r="O143" s="73" t="s">
        <v>658</v>
      </c>
      <c r="P143" s="70">
        <v>2</v>
      </c>
      <c r="Q143" s="41">
        <v>3</v>
      </c>
      <c r="R143" s="33">
        <f t="shared" si="23"/>
        <v>6</v>
      </c>
      <c r="S143" s="33" t="str">
        <f t="shared" si="15"/>
        <v>MEDIO</v>
      </c>
      <c r="T143" s="33">
        <v>10</v>
      </c>
      <c r="U143" s="75">
        <f t="shared" si="16"/>
        <v>60</v>
      </c>
      <c r="V143" s="33" t="str">
        <f t="shared" si="17"/>
        <v>lll</v>
      </c>
      <c r="W143" s="74" t="str">
        <f t="shared" si="18"/>
        <v>SI</v>
      </c>
      <c r="X143" s="33">
        <v>8</v>
      </c>
      <c r="Y143" s="31" t="s">
        <v>634</v>
      </c>
      <c r="Z143" s="33" t="s">
        <v>87</v>
      </c>
      <c r="AA143" s="45"/>
      <c r="AB143" s="34"/>
      <c r="AC143" s="34" t="s">
        <v>659</v>
      </c>
      <c r="AD143" s="34" t="s">
        <v>660</v>
      </c>
      <c r="AE143" s="34"/>
      <c r="AF143" s="34" t="s">
        <v>576</v>
      </c>
      <c r="AG143" s="41">
        <v>2</v>
      </c>
      <c r="AH143" s="41">
        <v>2</v>
      </c>
      <c r="AI143" s="33">
        <f t="shared" si="20"/>
        <v>4</v>
      </c>
      <c r="AJ143" s="33" t="str">
        <f t="shared" si="21"/>
        <v>BAJO</v>
      </c>
      <c r="AK143" s="33">
        <v>100</v>
      </c>
      <c r="AL143" s="33">
        <f t="shared" si="19"/>
        <v>400</v>
      </c>
      <c r="AM143" s="33" t="str">
        <f t="shared" si="22"/>
        <v>RIESGO ALTO</v>
      </c>
      <c r="AN143" s="33"/>
      <c r="AO143" s="34"/>
      <c r="AP143" s="34" t="s">
        <v>659</v>
      </c>
      <c r="AQ143" s="34" t="s">
        <v>661</v>
      </c>
      <c r="AR143" s="34"/>
      <c r="AS143" s="61" t="s">
        <v>466</v>
      </c>
    </row>
    <row r="144" spans="1:45" s="8" customFormat="1" ht="67.2" x14ac:dyDescent="0.25">
      <c r="A144" s="195"/>
      <c r="B144" s="198"/>
      <c r="C144" s="166"/>
      <c r="D144" s="201" t="s">
        <v>662</v>
      </c>
      <c r="E144" s="32" t="s">
        <v>496</v>
      </c>
      <c r="F144" s="152" t="s">
        <v>663</v>
      </c>
      <c r="G144" s="47" t="s">
        <v>592</v>
      </c>
      <c r="H144" s="34" t="s">
        <v>183</v>
      </c>
      <c r="I144" s="32" t="s">
        <v>173</v>
      </c>
      <c r="J144" s="32" t="s">
        <v>593</v>
      </c>
      <c r="K144" s="32" t="s">
        <v>104</v>
      </c>
      <c r="L144" s="68" t="s">
        <v>185</v>
      </c>
      <c r="M144" s="73" t="s">
        <v>332</v>
      </c>
      <c r="N144" s="73" t="s">
        <v>641</v>
      </c>
      <c r="O144" s="73" t="s">
        <v>548</v>
      </c>
      <c r="P144" s="70">
        <v>2</v>
      </c>
      <c r="Q144" s="41">
        <v>3</v>
      </c>
      <c r="R144" s="33">
        <f t="shared" si="23"/>
        <v>6</v>
      </c>
      <c r="S144" s="33" t="str">
        <f t="shared" si="15"/>
        <v>MEDIO</v>
      </c>
      <c r="T144" s="33">
        <v>10</v>
      </c>
      <c r="U144" s="75">
        <f t="shared" si="16"/>
        <v>60</v>
      </c>
      <c r="V144" s="33" t="str">
        <f t="shared" si="17"/>
        <v>lll</v>
      </c>
      <c r="W144" s="74" t="str">
        <f t="shared" si="18"/>
        <v>SI</v>
      </c>
      <c r="X144" s="33">
        <v>8</v>
      </c>
      <c r="Y144" s="31" t="s">
        <v>178</v>
      </c>
      <c r="Z144" s="33" t="s">
        <v>87</v>
      </c>
      <c r="AA144" s="45"/>
      <c r="AB144" s="34"/>
      <c r="AC144" s="34"/>
      <c r="AD144" s="42" t="s">
        <v>595</v>
      </c>
      <c r="AE144" s="34" t="s">
        <v>596</v>
      </c>
      <c r="AF144" s="34" t="s">
        <v>576</v>
      </c>
      <c r="AG144" s="41">
        <v>2</v>
      </c>
      <c r="AH144" s="41">
        <v>2</v>
      </c>
      <c r="AI144" s="33">
        <f t="shared" si="20"/>
        <v>4</v>
      </c>
      <c r="AJ144" s="33" t="str">
        <f t="shared" si="21"/>
        <v>BAJO</v>
      </c>
      <c r="AK144" s="33">
        <v>25</v>
      </c>
      <c r="AL144" s="33">
        <f t="shared" si="19"/>
        <v>100</v>
      </c>
      <c r="AM144" s="33" t="str">
        <f t="shared" si="22"/>
        <v>RIESGO ACEPTABLE</v>
      </c>
      <c r="AN144" s="33"/>
      <c r="AO144" s="34"/>
      <c r="AP144" s="34"/>
      <c r="AQ144" s="42" t="s">
        <v>597</v>
      </c>
      <c r="AR144" s="34" t="s">
        <v>596</v>
      </c>
      <c r="AS144" s="61" t="s">
        <v>466</v>
      </c>
    </row>
    <row r="145" spans="1:45" s="8" customFormat="1" ht="67.2" x14ac:dyDescent="0.25">
      <c r="A145" s="195"/>
      <c r="B145" s="198"/>
      <c r="C145" s="166"/>
      <c r="D145" s="201"/>
      <c r="E145" s="32" t="s">
        <v>496</v>
      </c>
      <c r="F145" s="152"/>
      <c r="G145" s="47" t="s">
        <v>592</v>
      </c>
      <c r="H145" s="34" t="s">
        <v>191</v>
      </c>
      <c r="I145" s="32" t="s">
        <v>173</v>
      </c>
      <c r="J145" s="32" t="s">
        <v>598</v>
      </c>
      <c r="K145" s="32" t="s">
        <v>104</v>
      </c>
      <c r="L145" s="68" t="s">
        <v>193</v>
      </c>
      <c r="M145" s="73" t="s">
        <v>332</v>
      </c>
      <c r="N145" s="73" t="s">
        <v>641</v>
      </c>
      <c r="O145" s="73" t="s">
        <v>624</v>
      </c>
      <c r="P145" s="70">
        <v>2</v>
      </c>
      <c r="Q145" s="41">
        <v>2</v>
      </c>
      <c r="R145" s="33">
        <f t="shared" si="23"/>
        <v>4</v>
      </c>
      <c r="S145" s="33" t="str">
        <f t="shared" si="15"/>
        <v>BAJO</v>
      </c>
      <c r="T145" s="33">
        <v>10</v>
      </c>
      <c r="U145" s="75">
        <f t="shared" si="16"/>
        <v>40</v>
      </c>
      <c r="V145" s="33" t="str">
        <f t="shared" si="17"/>
        <v>lll</v>
      </c>
      <c r="W145" s="74" t="str">
        <f t="shared" si="18"/>
        <v>SI</v>
      </c>
      <c r="X145" s="33">
        <v>8</v>
      </c>
      <c r="Y145" s="31" t="s">
        <v>195</v>
      </c>
      <c r="Z145" s="33" t="s">
        <v>87</v>
      </c>
      <c r="AA145" s="45"/>
      <c r="AB145" s="34"/>
      <c r="AC145" s="34"/>
      <c r="AD145" s="42" t="s">
        <v>599</v>
      </c>
      <c r="AE145" s="34" t="s">
        <v>600</v>
      </c>
      <c r="AF145" s="34" t="s">
        <v>576</v>
      </c>
      <c r="AG145" s="41">
        <v>2</v>
      </c>
      <c r="AH145" s="41">
        <v>2</v>
      </c>
      <c r="AI145" s="33">
        <f t="shared" si="20"/>
        <v>4</v>
      </c>
      <c r="AJ145" s="33" t="str">
        <f t="shared" si="21"/>
        <v>BAJO</v>
      </c>
      <c r="AK145" s="33">
        <v>25</v>
      </c>
      <c r="AL145" s="33">
        <f t="shared" si="19"/>
        <v>100</v>
      </c>
      <c r="AM145" s="33" t="str">
        <f t="shared" si="22"/>
        <v>RIESGO ACEPTABLE</v>
      </c>
      <c r="AN145" s="33"/>
      <c r="AO145" s="34"/>
      <c r="AP145" s="34"/>
      <c r="AQ145" s="42" t="s">
        <v>601</v>
      </c>
      <c r="AR145" s="34" t="s">
        <v>600</v>
      </c>
      <c r="AS145" s="61" t="s">
        <v>466</v>
      </c>
    </row>
    <row r="146" spans="1:45" s="8" customFormat="1" ht="67.2" x14ac:dyDescent="0.25">
      <c r="A146" s="195"/>
      <c r="B146" s="198"/>
      <c r="C146" s="166"/>
      <c r="D146" s="201"/>
      <c r="E146" s="32" t="s">
        <v>496</v>
      </c>
      <c r="F146" s="152"/>
      <c r="G146" s="47" t="s">
        <v>592</v>
      </c>
      <c r="H146" s="34" t="s">
        <v>380</v>
      </c>
      <c r="I146" s="32" t="s">
        <v>381</v>
      </c>
      <c r="J146" s="34" t="s">
        <v>625</v>
      </c>
      <c r="K146" s="32" t="s">
        <v>104</v>
      </c>
      <c r="L146" s="68" t="s">
        <v>383</v>
      </c>
      <c r="M146" s="73" t="s">
        <v>332</v>
      </c>
      <c r="N146" s="73" t="s">
        <v>161</v>
      </c>
      <c r="O146" s="73" t="s">
        <v>664</v>
      </c>
      <c r="P146" s="70">
        <v>2</v>
      </c>
      <c r="Q146" s="41">
        <v>2</v>
      </c>
      <c r="R146" s="33">
        <f t="shared" si="23"/>
        <v>4</v>
      </c>
      <c r="S146" s="33" t="str">
        <f t="shared" si="15"/>
        <v>BAJO</v>
      </c>
      <c r="T146" s="33">
        <v>10</v>
      </c>
      <c r="U146" s="75">
        <f t="shared" si="16"/>
        <v>40</v>
      </c>
      <c r="V146" s="33" t="str">
        <f t="shared" si="17"/>
        <v>lll</v>
      </c>
      <c r="W146" s="74" t="str">
        <f t="shared" si="18"/>
        <v>SI</v>
      </c>
      <c r="X146" s="33">
        <v>8</v>
      </c>
      <c r="Y146" s="31" t="s">
        <v>385</v>
      </c>
      <c r="Z146" s="33" t="s">
        <v>87</v>
      </c>
      <c r="AA146" s="45"/>
      <c r="AB146" s="34"/>
      <c r="AC146" s="34"/>
      <c r="AD146" s="34" t="s">
        <v>604</v>
      </c>
      <c r="AE146" s="34" t="s">
        <v>605</v>
      </c>
      <c r="AF146" s="34" t="s">
        <v>576</v>
      </c>
      <c r="AG146" s="41">
        <v>2</v>
      </c>
      <c r="AH146" s="41">
        <v>2</v>
      </c>
      <c r="AI146" s="33">
        <f t="shared" si="20"/>
        <v>4</v>
      </c>
      <c r="AJ146" s="33" t="str">
        <f t="shared" si="21"/>
        <v>BAJO</v>
      </c>
      <c r="AK146" s="33">
        <v>25</v>
      </c>
      <c r="AL146" s="33">
        <f t="shared" si="19"/>
        <v>100</v>
      </c>
      <c r="AM146" s="33" t="str">
        <f t="shared" si="22"/>
        <v>RIESGO ACEPTABLE</v>
      </c>
      <c r="AN146" s="33"/>
      <c r="AO146" s="34"/>
      <c r="AP146" s="34"/>
      <c r="AQ146" s="34" t="s">
        <v>606</v>
      </c>
      <c r="AR146" s="34" t="s">
        <v>605</v>
      </c>
      <c r="AS146" s="61" t="s">
        <v>466</v>
      </c>
    </row>
    <row r="147" spans="1:45" s="8" customFormat="1" ht="48" x14ac:dyDescent="0.25">
      <c r="A147" s="195"/>
      <c r="B147" s="198"/>
      <c r="C147" s="166"/>
      <c r="D147" s="201"/>
      <c r="E147" s="32" t="s">
        <v>496</v>
      </c>
      <c r="F147" s="152"/>
      <c r="G147" s="47" t="s">
        <v>592</v>
      </c>
      <c r="H147" s="34" t="s">
        <v>149</v>
      </c>
      <c r="I147" s="34" t="s">
        <v>139</v>
      </c>
      <c r="J147" s="34" t="s">
        <v>612</v>
      </c>
      <c r="K147" s="32" t="s">
        <v>104</v>
      </c>
      <c r="L147" s="68" t="s">
        <v>327</v>
      </c>
      <c r="M147" s="73" t="s">
        <v>332</v>
      </c>
      <c r="N147" s="73" t="s">
        <v>332</v>
      </c>
      <c r="O147" s="73" t="s">
        <v>556</v>
      </c>
      <c r="P147" s="70">
        <v>2</v>
      </c>
      <c r="Q147" s="41">
        <v>2</v>
      </c>
      <c r="R147" s="33">
        <f t="shared" si="23"/>
        <v>4</v>
      </c>
      <c r="S147" s="33" t="str">
        <f t="shared" si="15"/>
        <v>BAJO</v>
      </c>
      <c r="T147" s="33">
        <v>10</v>
      </c>
      <c r="U147" s="75">
        <f t="shared" si="16"/>
        <v>40</v>
      </c>
      <c r="V147" s="33" t="str">
        <f t="shared" si="17"/>
        <v>lll</v>
      </c>
      <c r="W147" s="74" t="str">
        <f t="shared" si="18"/>
        <v>SI</v>
      </c>
      <c r="X147" s="33">
        <v>8</v>
      </c>
      <c r="Y147" s="31" t="s">
        <v>143</v>
      </c>
      <c r="Z147" s="33" t="s">
        <v>87</v>
      </c>
      <c r="AA147" s="45"/>
      <c r="AB147" s="34"/>
      <c r="AC147" s="34"/>
      <c r="AD147" s="34" t="s">
        <v>613</v>
      </c>
      <c r="AE147" s="34"/>
      <c r="AF147" s="34" t="s">
        <v>576</v>
      </c>
      <c r="AG147" s="41">
        <v>2</v>
      </c>
      <c r="AH147" s="41">
        <v>2</v>
      </c>
      <c r="AI147" s="33">
        <f t="shared" si="20"/>
        <v>4</v>
      </c>
      <c r="AJ147" s="33" t="str">
        <f t="shared" si="21"/>
        <v>BAJO</v>
      </c>
      <c r="AK147" s="33">
        <v>25</v>
      </c>
      <c r="AL147" s="33">
        <f t="shared" si="19"/>
        <v>100</v>
      </c>
      <c r="AM147" s="33" t="str">
        <f t="shared" si="22"/>
        <v>RIESGO ACEPTABLE</v>
      </c>
      <c r="AN147" s="33"/>
      <c r="AO147" s="34"/>
      <c r="AP147" s="34"/>
      <c r="AQ147" s="34" t="s">
        <v>614</v>
      </c>
      <c r="AR147" s="34"/>
      <c r="AS147" s="61" t="s">
        <v>466</v>
      </c>
    </row>
    <row r="148" spans="1:45" s="8" customFormat="1" ht="48" x14ac:dyDescent="0.25">
      <c r="A148" s="195"/>
      <c r="B148" s="198"/>
      <c r="C148" s="166"/>
      <c r="D148" s="201"/>
      <c r="E148" s="32" t="s">
        <v>496</v>
      </c>
      <c r="F148" s="152"/>
      <c r="G148" s="47" t="s">
        <v>592</v>
      </c>
      <c r="H148" s="34" t="s">
        <v>227</v>
      </c>
      <c r="I148" s="32" t="s">
        <v>158</v>
      </c>
      <c r="J148" s="32" t="s">
        <v>615</v>
      </c>
      <c r="K148" s="32" t="s">
        <v>104</v>
      </c>
      <c r="L148" s="68" t="s">
        <v>229</v>
      </c>
      <c r="M148" s="73" t="s">
        <v>332</v>
      </c>
      <c r="N148" s="73" t="s">
        <v>332</v>
      </c>
      <c r="O148" s="73" t="s">
        <v>230</v>
      </c>
      <c r="P148" s="70">
        <v>2</v>
      </c>
      <c r="Q148" s="41">
        <v>2</v>
      </c>
      <c r="R148" s="33">
        <f t="shared" si="23"/>
        <v>4</v>
      </c>
      <c r="S148" s="33" t="str">
        <f t="shared" ref="S148:S211" si="24">IF(AND(R148&gt;=0,R148&lt;=4),"BAJO",IF(AND(R148&gt;=6,R148&lt;=8),"MEDIO",IF(AND(R148&gt;=10,R148&lt;=20),"ALTO",IF(AND(R148&gt;=24,R148&lt;=40),"MUY ALTO"))))</f>
        <v>BAJO</v>
      </c>
      <c r="T148" s="33">
        <v>10</v>
      </c>
      <c r="U148" s="75">
        <f t="shared" si="16"/>
        <v>40</v>
      </c>
      <c r="V148" s="33" t="str">
        <f t="shared" si="17"/>
        <v>lll</v>
      </c>
      <c r="W148" s="74" t="str">
        <f t="shared" si="18"/>
        <v>SI</v>
      </c>
      <c r="X148" s="33">
        <v>8</v>
      </c>
      <c r="Y148" s="31" t="s">
        <v>163</v>
      </c>
      <c r="Z148" s="33" t="s">
        <v>87</v>
      </c>
      <c r="AA148" s="45"/>
      <c r="AB148" s="34"/>
      <c r="AC148" s="34"/>
      <c r="AD148" s="34" t="s">
        <v>504</v>
      </c>
      <c r="AE148" s="34" t="s">
        <v>617</v>
      </c>
      <c r="AF148" s="34" t="s">
        <v>576</v>
      </c>
      <c r="AG148" s="41">
        <v>6</v>
      </c>
      <c r="AH148" s="41">
        <v>2</v>
      </c>
      <c r="AI148" s="33">
        <f t="shared" si="20"/>
        <v>12</v>
      </c>
      <c r="AJ148" s="33" t="str">
        <f t="shared" si="21"/>
        <v>ALTO</v>
      </c>
      <c r="AK148" s="33">
        <v>25</v>
      </c>
      <c r="AL148" s="33">
        <f t="shared" si="19"/>
        <v>300</v>
      </c>
      <c r="AM148" s="33" t="str">
        <f t="shared" si="22"/>
        <v>RIESGO ALTO</v>
      </c>
      <c r="AN148" s="33"/>
      <c r="AO148" s="34"/>
      <c r="AP148" s="34"/>
      <c r="AQ148" s="34" t="s">
        <v>618</v>
      </c>
      <c r="AR148" s="34" t="s">
        <v>617</v>
      </c>
      <c r="AS148" s="61" t="s">
        <v>466</v>
      </c>
    </row>
    <row r="149" spans="1:45" s="8" customFormat="1" ht="48" x14ac:dyDescent="0.25">
      <c r="A149" s="195"/>
      <c r="B149" s="198"/>
      <c r="C149" s="166"/>
      <c r="D149" s="201"/>
      <c r="E149" s="32" t="s">
        <v>496</v>
      </c>
      <c r="F149" s="152"/>
      <c r="G149" s="47" t="s">
        <v>592</v>
      </c>
      <c r="H149" s="34" t="s">
        <v>157</v>
      </c>
      <c r="I149" s="32" t="s">
        <v>158</v>
      </c>
      <c r="J149" s="34" t="s">
        <v>619</v>
      </c>
      <c r="K149" s="32" t="s">
        <v>104</v>
      </c>
      <c r="L149" s="68" t="s">
        <v>160</v>
      </c>
      <c r="M149" s="73" t="s">
        <v>332</v>
      </c>
      <c r="N149" s="73" t="s">
        <v>332</v>
      </c>
      <c r="O149" s="73" t="s">
        <v>665</v>
      </c>
      <c r="P149" s="70">
        <v>2</v>
      </c>
      <c r="Q149" s="41">
        <v>3</v>
      </c>
      <c r="R149" s="33">
        <f t="shared" si="23"/>
        <v>6</v>
      </c>
      <c r="S149" s="33" t="str">
        <f t="shared" si="24"/>
        <v>MEDIO</v>
      </c>
      <c r="T149" s="33">
        <v>10</v>
      </c>
      <c r="U149" s="75">
        <f t="shared" ref="U149:U212" si="25">R149*T149</f>
        <v>60</v>
      </c>
      <c r="V149" s="33" t="str">
        <f t="shared" ref="V149:V212" si="26">IF(AND(U149&gt;=0,U149&lt;=20),"IV ",IF(AND(U149&gt;=40,U149&lt;=120),"lll",IF(AND(U149&gt;=150,U149&lt;=500),"ll",IF(AND(U149&gt;=600,U149&lt;=4000),"l"))))</f>
        <v>lll</v>
      </c>
      <c r="W149" s="74" t="str">
        <f t="shared" ref="W149:W212" si="27">IF(AND(V149="lV"),"SI",IF(AND(V149="lll"),"SI",IF(AND(V149="ll"),"NO",IF(AND(V149="l"),"NO"))))</f>
        <v>SI</v>
      </c>
      <c r="X149" s="33">
        <v>8</v>
      </c>
      <c r="Y149" s="31" t="s">
        <v>163</v>
      </c>
      <c r="Z149" s="33" t="s">
        <v>87</v>
      </c>
      <c r="AA149" s="45"/>
      <c r="AB149" s="34"/>
      <c r="AC149" s="34"/>
      <c r="AD149" s="42" t="s">
        <v>620</v>
      </c>
      <c r="AE149" s="34" t="s">
        <v>621</v>
      </c>
      <c r="AF149" s="34" t="s">
        <v>576</v>
      </c>
      <c r="AG149" s="41">
        <v>10</v>
      </c>
      <c r="AH149" s="41">
        <v>2</v>
      </c>
      <c r="AI149" s="33">
        <f t="shared" si="20"/>
        <v>20</v>
      </c>
      <c r="AJ149" s="33" t="str">
        <f t="shared" si="21"/>
        <v>ALTO</v>
      </c>
      <c r="AK149" s="33">
        <v>25</v>
      </c>
      <c r="AL149" s="33">
        <f t="shared" ref="AL149:AL212" si="28">AI149*AK149</f>
        <v>500</v>
      </c>
      <c r="AM149" s="33" t="str">
        <f t="shared" si="22"/>
        <v>RIESGO ALTO</v>
      </c>
      <c r="AN149" s="33"/>
      <c r="AO149" s="34"/>
      <c r="AP149" s="34"/>
      <c r="AQ149" s="42" t="s">
        <v>622</v>
      </c>
      <c r="AR149" s="34" t="s">
        <v>621</v>
      </c>
      <c r="AS149" s="61" t="s">
        <v>466</v>
      </c>
    </row>
    <row r="150" spans="1:45" s="8" customFormat="1" ht="57.6" x14ac:dyDescent="0.25">
      <c r="A150" s="195"/>
      <c r="B150" s="198"/>
      <c r="C150" s="166"/>
      <c r="D150" s="201"/>
      <c r="E150" s="32" t="s">
        <v>496</v>
      </c>
      <c r="F150" s="152"/>
      <c r="G150" s="47" t="s">
        <v>592</v>
      </c>
      <c r="H150" s="34" t="s">
        <v>631</v>
      </c>
      <c r="I150" s="32" t="s">
        <v>291</v>
      </c>
      <c r="J150" s="32" t="s">
        <v>632</v>
      </c>
      <c r="K150" s="32" t="s">
        <v>104</v>
      </c>
      <c r="L150" s="68" t="s">
        <v>633</v>
      </c>
      <c r="M150" s="73" t="s">
        <v>332</v>
      </c>
      <c r="N150" s="73" t="s">
        <v>332</v>
      </c>
      <c r="O150" s="73" t="s">
        <v>666</v>
      </c>
      <c r="P150" s="70">
        <v>2</v>
      </c>
      <c r="Q150" s="41">
        <v>3</v>
      </c>
      <c r="R150" s="33">
        <f t="shared" si="23"/>
        <v>6</v>
      </c>
      <c r="S150" s="33" t="str">
        <f t="shared" si="24"/>
        <v>MEDIO</v>
      </c>
      <c r="T150" s="33">
        <v>10</v>
      </c>
      <c r="U150" s="75">
        <f t="shared" si="25"/>
        <v>60</v>
      </c>
      <c r="V150" s="33" t="str">
        <f t="shared" si="26"/>
        <v>lll</v>
      </c>
      <c r="W150" s="74" t="str">
        <f t="shared" si="27"/>
        <v>SI</v>
      </c>
      <c r="X150" s="33">
        <v>8</v>
      </c>
      <c r="Y150" s="31" t="s">
        <v>634</v>
      </c>
      <c r="Z150" s="33" t="s">
        <v>87</v>
      </c>
      <c r="AA150" s="45"/>
      <c r="AB150" s="34"/>
      <c r="AC150" s="34" t="s">
        <v>635</v>
      </c>
      <c r="AD150" s="34" t="s">
        <v>636</v>
      </c>
      <c r="AE150" s="34" t="s">
        <v>637</v>
      </c>
      <c r="AF150" s="34" t="s">
        <v>576</v>
      </c>
      <c r="AG150" s="33">
        <v>6</v>
      </c>
      <c r="AH150" s="41">
        <v>2</v>
      </c>
      <c r="AI150" s="33">
        <f t="shared" si="20"/>
        <v>12</v>
      </c>
      <c r="AJ150" s="33" t="str">
        <f t="shared" si="21"/>
        <v>ALTO</v>
      </c>
      <c r="AK150" s="33">
        <v>25</v>
      </c>
      <c r="AL150" s="33">
        <f t="shared" si="28"/>
        <v>300</v>
      </c>
      <c r="AM150" s="33" t="str">
        <f t="shared" si="22"/>
        <v>RIESGO ALTO</v>
      </c>
      <c r="AN150" s="33"/>
      <c r="AO150" s="34"/>
      <c r="AP150" s="34" t="s">
        <v>638</v>
      </c>
      <c r="AQ150" s="34" t="s">
        <v>639</v>
      </c>
      <c r="AR150" s="34" t="s">
        <v>637</v>
      </c>
      <c r="AS150" s="61" t="s">
        <v>466</v>
      </c>
    </row>
    <row r="151" spans="1:45" s="8" customFormat="1" ht="67.2" x14ac:dyDescent="0.25">
      <c r="A151" s="195"/>
      <c r="B151" s="198"/>
      <c r="C151" s="166"/>
      <c r="D151" s="201" t="s">
        <v>667</v>
      </c>
      <c r="E151" s="32" t="s">
        <v>496</v>
      </c>
      <c r="F151" s="152" t="s">
        <v>663</v>
      </c>
      <c r="G151" s="47" t="s">
        <v>592</v>
      </c>
      <c r="H151" s="34" t="s">
        <v>183</v>
      </c>
      <c r="I151" s="32" t="s">
        <v>173</v>
      </c>
      <c r="J151" s="32" t="s">
        <v>593</v>
      </c>
      <c r="K151" s="32" t="s">
        <v>104</v>
      </c>
      <c r="L151" s="68" t="s">
        <v>185</v>
      </c>
      <c r="M151" s="73" t="s">
        <v>332</v>
      </c>
      <c r="N151" s="73" t="s">
        <v>641</v>
      </c>
      <c r="O151" s="73" t="s">
        <v>668</v>
      </c>
      <c r="P151" s="70">
        <v>2</v>
      </c>
      <c r="Q151" s="41">
        <v>3</v>
      </c>
      <c r="R151" s="33">
        <f t="shared" si="23"/>
        <v>6</v>
      </c>
      <c r="S151" s="33" t="str">
        <f t="shared" si="24"/>
        <v>MEDIO</v>
      </c>
      <c r="T151" s="33">
        <v>10</v>
      </c>
      <c r="U151" s="75">
        <f t="shared" si="25"/>
        <v>60</v>
      </c>
      <c r="V151" s="33" t="str">
        <f t="shared" si="26"/>
        <v>lll</v>
      </c>
      <c r="W151" s="74" t="str">
        <f t="shared" si="27"/>
        <v>SI</v>
      </c>
      <c r="X151" s="33">
        <v>8</v>
      </c>
      <c r="Y151" s="31" t="s">
        <v>178</v>
      </c>
      <c r="Z151" s="33" t="s">
        <v>87</v>
      </c>
      <c r="AA151" s="45"/>
      <c r="AB151" s="34"/>
      <c r="AC151" s="34"/>
      <c r="AD151" s="42" t="s">
        <v>595</v>
      </c>
      <c r="AE151" s="34" t="s">
        <v>596</v>
      </c>
      <c r="AF151" s="34" t="s">
        <v>576</v>
      </c>
      <c r="AG151" s="41">
        <v>2</v>
      </c>
      <c r="AH151" s="41">
        <v>2</v>
      </c>
      <c r="AI151" s="33">
        <f t="shared" si="20"/>
        <v>4</v>
      </c>
      <c r="AJ151" s="33" t="str">
        <f t="shared" si="21"/>
        <v>BAJO</v>
      </c>
      <c r="AK151" s="33">
        <v>25</v>
      </c>
      <c r="AL151" s="33">
        <f t="shared" si="28"/>
        <v>100</v>
      </c>
      <c r="AM151" s="33" t="str">
        <f t="shared" si="22"/>
        <v>RIESGO ACEPTABLE</v>
      </c>
      <c r="AN151" s="33"/>
      <c r="AO151" s="34"/>
      <c r="AP151" s="34"/>
      <c r="AQ151" s="42" t="s">
        <v>597</v>
      </c>
      <c r="AR151" s="34" t="s">
        <v>596</v>
      </c>
      <c r="AS151" s="61" t="s">
        <v>466</v>
      </c>
    </row>
    <row r="152" spans="1:45" s="8" customFormat="1" ht="67.2" x14ac:dyDescent="0.25">
      <c r="A152" s="195"/>
      <c r="B152" s="198"/>
      <c r="C152" s="166"/>
      <c r="D152" s="201"/>
      <c r="E152" s="32" t="s">
        <v>496</v>
      </c>
      <c r="F152" s="152"/>
      <c r="G152" s="47" t="s">
        <v>592</v>
      </c>
      <c r="H152" s="34" t="s">
        <v>191</v>
      </c>
      <c r="I152" s="32" t="s">
        <v>173</v>
      </c>
      <c r="J152" s="32" t="s">
        <v>598</v>
      </c>
      <c r="K152" s="32" t="s">
        <v>104</v>
      </c>
      <c r="L152" s="68" t="s">
        <v>193</v>
      </c>
      <c r="M152" s="73" t="s">
        <v>332</v>
      </c>
      <c r="N152" s="73" t="s">
        <v>641</v>
      </c>
      <c r="O152" s="73" t="s">
        <v>669</v>
      </c>
      <c r="P152" s="70">
        <v>2</v>
      </c>
      <c r="Q152" s="41">
        <v>2</v>
      </c>
      <c r="R152" s="33">
        <f t="shared" si="23"/>
        <v>4</v>
      </c>
      <c r="S152" s="33" t="str">
        <f t="shared" si="24"/>
        <v>BAJO</v>
      </c>
      <c r="T152" s="33">
        <v>10</v>
      </c>
      <c r="U152" s="75">
        <f t="shared" si="25"/>
        <v>40</v>
      </c>
      <c r="V152" s="33" t="str">
        <f t="shared" si="26"/>
        <v>lll</v>
      </c>
      <c r="W152" s="74" t="str">
        <f t="shared" si="27"/>
        <v>SI</v>
      </c>
      <c r="X152" s="33">
        <v>8</v>
      </c>
      <c r="Y152" s="31" t="s">
        <v>195</v>
      </c>
      <c r="Z152" s="33" t="s">
        <v>87</v>
      </c>
      <c r="AA152" s="45"/>
      <c r="AB152" s="34"/>
      <c r="AC152" s="34"/>
      <c r="AD152" s="42" t="s">
        <v>599</v>
      </c>
      <c r="AE152" s="34" t="s">
        <v>600</v>
      </c>
      <c r="AF152" s="34" t="s">
        <v>576</v>
      </c>
      <c r="AG152" s="41">
        <v>2</v>
      </c>
      <c r="AH152" s="41">
        <v>2</v>
      </c>
      <c r="AI152" s="33">
        <f t="shared" si="20"/>
        <v>4</v>
      </c>
      <c r="AJ152" s="33" t="str">
        <f t="shared" si="21"/>
        <v>BAJO</v>
      </c>
      <c r="AK152" s="33">
        <v>25</v>
      </c>
      <c r="AL152" s="33">
        <f t="shared" si="28"/>
        <v>100</v>
      </c>
      <c r="AM152" s="33" t="str">
        <f t="shared" si="22"/>
        <v>RIESGO ACEPTABLE</v>
      </c>
      <c r="AN152" s="33"/>
      <c r="AO152" s="34"/>
      <c r="AP152" s="34"/>
      <c r="AQ152" s="42" t="s">
        <v>601</v>
      </c>
      <c r="AR152" s="34" t="s">
        <v>600</v>
      </c>
      <c r="AS152" s="61" t="s">
        <v>466</v>
      </c>
    </row>
    <row r="153" spans="1:45" s="8" customFormat="1" ht="67.2" x14ac:dyDescent="0.25">
      <c r="A153" s="195"/>
      <c r="B153" s="198"/>
      <c r="C153" s="166"/>
      <c r="D153" s="201"/>
      <c r="E153" s="32" t="s">
        <v>496</v>
      </c>
      <c r="F153" s="152"/>
      <c r="G153" s="47" t="s">
        <v>592</v>
      </c>
      <c r="H153" s="34" t="s">
        <v>380</v>
      </c>
      <c r="I153" s="32" t="s">
        <v>381</v>
      </c>
      <c r="J153" s="34" t="s">
        <v>625</v>
      </c>
      <c r="K153" s="32" t="s">
        <v>104</v>
      </c>
      <c r="L153" s="68" t="s">
        <v>383</v>
      </c>
      <c r="M153" s="73" t="s">
        <v>332</v>
      </c>
      <c r="N153" s="73" t="s">
        <v>84</v>
      </c>
      <c r="O153" s="73" t="s">
        <v>669</v>
      </c>
      <c r="P153" s="70">
        <v>2</v>
      </c>
      <c r="Q153" s="41">
        <v>2</v>
      </c>
      <c r="R153" s="33">
        <f t="shared" si="23"/>
        <v>4</v>
      </c>
      <c r="S153" s="33" t="str">
        <f t="shared" si="24"/>
        <v>BAJO</v>
      </c>
      <c r="T153" s="33">
        <v>10</v>
      </c>
      <c r="U153" s="75">
        <f t="shared" si="25"/>
        <v>40</v>
      </c>
      <c r="V153" s="33" t="str">
        <f t="shared" si="26"/>
        <v>lll</v>
      </c>
      <c r="W153" s="74" t="str">
        <f t="shared" si="27"/>
        <v>SI</v>
      </c>
      <c r="X153" s="33">
        <v>8</v>
      </c>
      <c r="Y153" s="31" t="s">
        <v>385</v>
      </c>
      <c r="Z153" s="33" t="s">
        <v>87</v>
      </c>
      <c r="AA153" s="45"/>
      <c r="AB153" s="34"/>
      <c r="AC153" s="34"/>
      <c r="AD153" s="34" t="s">
        <v>604</v>
      </c>
      <c r="AE153" s="34" t="s">
        <v>605</v>
      </c>
      <c r="AF153" s="34" t="s">
        <v>576</v>
      </c>
      <c r="AG153" s="41">
        <v>2</v>
      </c>
      <c r="AH153" s="41">
        <v>2</v>
      </c>
      <c r="AI153" s="33">
        <f t="shared" si="20"/>
        <v>4</v>
      </c>
      <c r="AJ153" s="33" t="str">
        <f t="shared" si="21"/>
        <v>BAJO</v>
      </c>
      <c r="AK153" s="33">
        <v>25</v>
      </c>
      <c r="AL153" s="33">
        <f t="shared" si="28"/>
        <v>100</v>
      </c>
      <c r="AM153" s="33" t="str">
        <f t="shared" si="22"/>
        <v>RIESGO ACEPTABLE</v>
      </c>
      <c r="AN153" s="33"/>
      <c r="AO153" s="34"/>
      <c r="AP153" s="34"/>
      <c r="AQ153" s="34" t="s">
        <v>606</v>
      </c>
      <c r="AR153" s="34" t="s">
        <v>605</v>
      </c>
      <c r="AS153" s="61" t="s">
        <v>466</v>
      </c>
    </row>
    <row r="154" spans="1:45" s="8" customFormat="1" ht="67.2" x14ac:dyDescent="0.25">
      <c r="A154" s="195"/>
      <c r="B154" s="198"/>
      <c r="C154" s="166"/>
      <c r="D154" s="201"/>
      <c r="E154" s="32" t="s">
        <v>496</v>
      </c>
      <c r="F154" s="152"/>
      <c r="G154" s="47" t="s">
        <v>592</v>
      </c>
      <c r="H154" s="34" t="s">
        <v>316</v>
      </c>
      <c r="I154" s="32" t="s">
        <v>102</v>
      </c>
      <c r="J154" s="32" t="s">
        <v>607</v>
      </c>
      <c r="K154" s="32" t="s">
        <v>104</v>
      </c>
      <c r="L154" s="68" t="s">
        <v>83</v>
      </c>
      <c r="M154" s="73" t="s">
        <v>332</v>
      </c>
      <c r="N154" s="73" t="s">
        <v>106</v>
      </c>
      <c r="O154" s="73" t="s">
        <v>549</v>
      </c>
      <c r="P154" s="70">
        <v>2</v>
      </c>
      <c r="Q154" s="41">
        <v>3</v>
      </c>
      <c r="R154" s="33">
        <f t="shared" si="23"/>
        <v>6</v>
      </c>
      <c r="S154" s="33" t="str">
        <f t="shared" si="24"/>
        <v>MEDIO</v>
      </c>
      <c r="T154" s="33">
        <v>10</v>
      </c>
      <c r="U154" s="75">
        <f t="shared" si="25"/>
        <v>60</v>
      </c>
      <c r="V154" s="33" t="str">
        <f t="shared" si="26"/>
        <v>lll</v>
      </c>
      <c r="W154" s="74" t="str">
        <f t="shared" si="27"/>
        <v>SI</v>
      </c>
      <c r="X154" s="33">
        <v>8</v>
      </c>
      <c r="Y154" s="31" t="s">
        <v>108</v>
      </c>
      <c r="Z154" s="33" t="s">
        <v>87</v>
      </c>
      <c r="AA154" s="45"/>
      <c r="AB154" s="34"/>
      <c r="AC154" s="34"/>
      <c r="AD154" s="42" t="s">
        <v>609</v>
      </c>
      <c r="AE154" s="34" t="s">
        <v>610</v>
      </c>
      <c r="AF154" s="34" t="s">
        <v>576</v>
      </c>
      <c r="AG154" s="41">
        <v>2</v>
      </c>
      <c r="AH154" s="41">
        <v>2</v>
      </c>
      <c r="AI154" s="33">
        <f t="shared" si="20"/>
        <v>4</v>
      </c>
      <c r="AJ154" s="33" t="str">
        <f t="shared" si="21"/>
        <v>BAJO</v>
      </c>
      <c r="AK154" s="33">
        <v>10</v>
      </c>
      <c r="AL154" s="33">
        <f t="shared" si="28"/>
        <v>40</v>
      </c>
      <c r="AM154" s="33" t="str">
        <f t="shared" si="22"/>
        <v>RIESGO ACEPTABLE</v>
      </c>
      <c r="AN154" s="33"/>
      <c r="AO154" s="34"/>
      <c r="AP154" s="40"/>
      <c r="AQ154" s="42" t="s">
        <v>611</v>
      </c>
      <c r="AR154" s="34" t="s">
        <v>610</v>
      </c>
      <c r="AS154" s="61" t="s">
        <v>466</v>
      </c>
    </row>
    <row r="155" spans="1:45" s="8" customFormat="1" ht="67.2" x14ac:dyDescent="0.25">
      <c r="A155" s="195"/>
      <c r="B155" s="198"/>
      <c r="C155" s="166"/>
      <c r="D155" s="201"/>
      <c r="E155" s="32" t="s">
        <v>496</v>
      </c>
      <c r="F155" s="152"/>
      <c r="G155" s="47" t="s">
        <v>592</v>
      </c>
      <c r="H155" s="34" t="s">
        <v>101</v>
      </c>
      <c r="I155" s="32" t="s">
        <v>102</v>
      </c>
      <c r="J155" s="32" t="s">
        <v>644</v>
      </c>
      <c r="K155" s="32" t="s">
        <v>104</v>
      </c>
      <c r="L155" s="68" t="s">
        <v>207</v>
      </c>
      <c r="M155" s="73" t="s">
        <v>332</v>
      </c>
      <c r="N155" s="73" t="s">
        <v>106</v>
      </c>
      <c r="O155" s="73" t="s">
        <v>549</v>
      </c>
      <c r="P155" s="70">
        <v>2</v>
      </c>
      <c r="Q155" s="41">
        <v>3</v>
      </c>
      <c r="R155" s="33">
        <f t="shared" si="23"/>
        <v>6</v>
      </c>
      <c r="S155" s="33" t="str">
        <f t="shared" si="24"/>
        <v>MEDIO</v>
      </c>
      <c r="T155" s="33">
        <v>10</v>
      </c>
      <c r="U155" s="75">
        <f t="shared" si="25"/>
        <v>60</v>
      </c>
      <c r="V155" s="33" t="str">
        <f t="shared" si="26"/>
        <v>lll</v>
      </c>
      <c r="W155" s="74" t="str">
        <f t="shared" si="27"/>
        <v>SI</v>
      </c>
      <c r="X155" s="33">
        <v>8</v>
      </c>
      <c r="Y155" s="31" t="s">
        <v>108</v>
      </c>
      <c r="Z155" s="33" t="s">
        <v>87</v>
      </c>
      <c r="AA155" s="45"/>
      <c r="AB155" s="32"/>
      <c r="AC155" s="34"/>
      <c r="AD155" s="34" t="s">
        <v>628</v>
      </c>
      <c r="AE155" s="34" t="s">
        <v>645</v>
      </c>
      <c r="AF155" s="34" t="s">
        <v>576</v>
      </c>
      <c r="AG155" s="41">
        <v>2</v>
      </c>
      <c r="AH155" s="41">
        <v>2</v>
      </c>
      <c r="AI155" s="33">
        <f t="shared" si="20"/>
        <v>4</v>
      </c>
      <c r="AJ155" s="33" t="str">
        <f t="shared" si="21"/>
        <v>BAJO</v>
      </c>
      <c r="AK155" s="33">
        <v>25</v>
      </c>
      <c r="AL155" s="33">
        <f t="shared" si="28"/>
        <v>100</v>
      </c>
      <c r="AM155" s="33" t="str">
        <f t="shared" si="22"/>
        <v>RIESGO ACEPTABLE</v>
      </c>
      <c r="AN155" s="33"/>
      <c r="AO155" s="32"/>
      <c r="AP155" s="34"/>
      <c r="AQ155" s="34" t="s">
        <v>646</v>
      </c>
      <c r="AR155" s="34" t="s">
        <v>647</v>
      </c>
      <c r="AS155" s="61" t="s">
        <v>466</v>
      </c>
    </row>
    <row r="156" spans="1:45" s="8" customFormat="1" ht="48" x14ac:dyDescent="0.25">
      <c r="A156" s="195"/>
      <c r="B156" s="198"/>
      <c r="C156" s="166"/>
      <c r="D156" s="201"/>
      <c r="E156" s="32" t="s">
        <v>496</v>
      </c>
      <c r="F156" s="152"/>
      <c r="G156" s="47" t="s">
        <v>592</v>
      </c>
      <c r="H156" s="34" t="s">
        <v>149</v>
      </c>
      <c r="I156" s="34" t="s">
        <v>139</v>
      </c>
      <c r="J156" s="34" t="s">
        <v>612</v>
      </c>
      <c r="K156" s="32" t="s">
        <v>104</v>
      </c>
      <c r="L156" s="68" t="s">
        <v>327</v>
      </c>
      <c r="M156" s="73" t="s">
        <v>332</v>
      </c>
      <c r="N156" s="73" t="s">
        <v>84</v>
      </c>
      <c r="O156" s="73" t="s">
        <v>670</v>
      </c>
      <c r="P156" s="70">
        <v>2</v>
      </c>
      <c r="Q156" s="41">
        <v>2</v>
      </c>
      <c r="R156" s="33">
        <f t="shared" si="23"/>
        <v>4</v>
      </c>
      <c r="S156" s="33" t="str">
        <f t="shared" si="24"/>
        <v>BAJO</v>
      </c>
      <c r="T156" s="33">
        <v>10</v>
      </c>
      <c r="U156" s="75">
        <f t="shared" si="25"/>
        <v>40</v>
      </c>
      <c r="V156" s="33" t="str">
        <f t="shared" si="26"/>
        <v>lll</v>
      </c>
      <c r="W156" s="74" t="str">
        <f t="shared" si="27"/>
        <v>SI</v>
      </c>
      <c r="X156" s="33">
        <v>8</v>
      </c>
      <c r="Y156" s="31" t="s">
        <v>143</v>
      </c>
      <c r="Z156" s="33" t="s">
        <v>87</v>
      </c>
      <c r="AA156" s="45"/>
      <c r="AB156" s="32"/>
      <c r="AC156" s="34"/>
      <c r="AD156" s="34" t="s">
        <v>613</v>
      </c>
      <c r="AE156" s="34"/>
      <c r="AF156" s="34" t="s">
        <v>576</v>
      </c>
      <c r="AG156" s="41">
        <v>2</v>
      </c>
      <c r="AH156" s="41">
        <v>2</v>
      </c>
      <c r="AI156" s="33">
        <f t="shared" si="20"/>
        <v>4</v>
      </c>
      <c r="AJ156" s="33" t="str">
        <f t="shared" si="21"/>
        <v>BAJO</v>
      </c>
      <c r="AK156" s="33">
        <v>25</v>
      </c>
      <c r="AL156" s="33">
        <f t="shared" si="28"/>
        <v>100</v>
      </c>
      <c r="AM156" s="33" t="str">
        <f t="shared" si="22"/>
        <v>RIESGO ACEPTABLE</v>
      </c>
      <c r="AN156" s="33"/>
      <c r="AO156" s="32"/>
      <c r="AP156" s="34"/>
      <c r="AQ156" s="34" t="s">
        <v>614</v>
      </c>
      <c r="AR156" s="34"/>
      <c r="AS156" s="61" t="s">
        <v>466</v>
      </c>
    </row>
    <row r="157" spans="1:45" s="8" customFormat="1" ht="48" x14ac:dyDescent="0.25">
      <c r="A157" s="195"/>
      <c r="B157" s="198"/>
      <c r="C157" s="166"/>
      <c r="D157" s="201"/>
      <c r="E157" s="32" t="s">
        <v>496</v>
      </c>
      <c r="F157" s="152"/>
      <c r="G157" s="47" t="s">
        <v>592</v>
      </c>
      <c r="H157" s="34" t="s">
        <v>227</v>
      </c>
      <c r="I157" s="32" t="s">
        <v>158</v>
      </c>
      <c r="J157" s="32" t="s">
        <v>615</v>
      </c>
      <c r="K157" s="32" t="s">
        <v>104</v>
      </c>
      <c r="L157" s="68" t="s">
        <v>229</v>
      </c>
      <c r="M157" s="73" t="s">
        <v>332</v>
      </c>
      <c r="N157" s="73" t="s">
        <v>84</v>
      </c>
      <c r="O157" s="73" t="s">
        <v>559</v>
      </c>
      <c r="P157" s="70">
        <v>2</v>
      </c>
      <c r="Q157" s="41">
        <v>2</v>
      </c>
      <c r="R157" s="33">
        <f t="shared" si="23"/>
        <v>4</v>
      </c>
      <c r="S157" s="33" t="str">
        <f t="shared" si="24"/>
        <v>BAJO</v>
      </c>
      <c r="T157" s="33">
        <v>10</v>
      </c>
      <c r="U157" s="75">
        <f t="shared" si="25"/>
        <v>40</v>
      </c>
      <c r="V157" s="33" t="str">
        <f t="shared" si="26"/>
        <v>lll</v>
      </c>
      <c r="W157" s="74" t="str">
        <f t="shared" si="27"/>
        <v>SI</v>
      </c>
      <c r="X157" s="33">
        <v>8</v>
      </c>
      <c r="Y157" s="31" t="s">
        <v>163</v>
      </c>
      <c r="Z157" s="33" t="s">
        <v>87</v>
      </c>
      <c r="AA157" s="45"/>
      <c r="AB157" s="34"/>
      <c r="AC157" s="34"/>
      <c r="AD157" s="34" t="s">
        <v>504</v>
      </c>
      <c r="AE157" s="34" t="s">
        <v>617</v>
      </c>
      <c r="AF157" s="34" t="s">
        <v>576</v>
      </c>
      <c r="AG157" s="41">
        <v>2</v>
      </c>
      <c r="AH157" s="41">
        <v>2</v>
      </c>
      <c r="AI157" s="33">
        <f t="shared" si="20"/>
        <v>4</v>
      </c>
      <c r="AJ157" s="33" t="str">
        <f t="shared" si="21"/>
        <v>BAJO</v>
      </c>
      <c r="AK157" s="33">
        <v>60</v>
      </c>
      <c r="AL157" s="33">
        <f t="shared" si="28"/>
        <v>240</v>
      </c>
      <c r="AM157" s="33" t="str">
        <f t="shared" si="22"/>
        <v>RIESGO ALTO</v>
      </c>
      <c r="AN157" s="33"/>
      <c r="AO157" s="34"/>
      <c r="AP157" s="34"/>
      <c r="AQ157" s="34" t="s">
        <v>618</v>
      </c>
      <c r="AR157" s="34" t="s">
        <v>617</v>
      </c>
      <c r="AS157" s="61" t="s">
        <v>466</v>
      </c>
    </row>
    <row r="158" spans="1:45" s="8" customFormat="1" ht="48" x14ac:dyDescent="0.25">
      <c r="A158" s="195"/>
      <c r="B158" s="198"/>
      <c r="C158" s="166"/>
      <c r="D158" s="201"/>
      <c r="E158" s="32" t="s">
        <v>496</v>
      </c>
      <c r="F158" s="152"/>
      <c r="G158" s="47" t="s">
        <v>592</v>
      </c>
      <c r="H158" s="34" t="s">
        <v>157</v>
      </c>
      <c r="I158" s="32" t="s">
        <v>158</v>
      </c>
      <c r="J158" s="34" t="s">
        <v>619</v>
      </c>
      <c r="K158" s="32" t="s">
        <v>104</v>
      </c>
      <c r="L158" s="68" t="s">
        <v>160</v>
      </c>
      <c r="M158" s="73" t="s">
        <v>332</v>
      </c>
      <c r="N158" s="73" t="s">
        <v>84</v>
      </c>
      <c r="O158" s="73" t="s">
        <v>665</v>
      </c>
      <c r="P158" s="70">
        <v>2</v>
      </c>
      <c r="Q158" s="41">
        <v>3</v>
      </c>
      <c r="R158" s="33">
        <f t="shared" si="23"/>
        <v>6</v>
      </c>
      <c r="S158" s="33" t="str">
        <f t="shared" si="24"/>
        <v>MEDIO</v>
      </c>
      <c r="T158" s="33">
        <v>10</v>
      </c>
      <c r="U158" s="75">
        <f t="shared" si="25"/>
        <v>60</v>
      </c>
      <c r="V158" s="33" t="str">
        <f t="shared" si="26"/>
        <v>lll</v>
      </c>
      <c r="W158" s="74" t="str">
        <f t="shared" si="27"/>
        <v>SI</v>
      </c>
      <c r="X158" s="33">
        <v>8</v>
      </c>
      <c r="Y158" s="31" t="s">
        <v>163</v>
      </c>
      <c r="Z158" s="33" t="s">
        <v>87</v>
      </c>
      <c r="AA158" s="45"/>
      <c r="AB158" s="34"/>
      <c r="AC158" s="34"/>
      <c r="AD158" s="42" t="s">
        <v>620</v>
      </c>
      <c r="AE158" s="34" t="s">
        <v>621</v>
      </c>
      <c r="AF158" s="34" t="s">
        <v>576</v>
      </c>
      <c r="AG158" s="41">
        <v>6</v>
      </c>
      <c r="AH158" s="41">
        <v>2</v>
      </c>
      <c r="AI158" s="33">
        <f t="shared" si="20"/>
        <v>12</v>
      </c>
      <c r="AJ158" s="33" t="str">
        <f t="shared" si="21"/>
        <v>ALTO</v>
      </c>
      <c r="AK158" s="33">
        <v>25</v>
      </c>
      <c r="AL158" s="33">
        <f t="shared" si="28"/>
        <v>300</v>
      </c>
      <c r="AM158" s="33" t="str">
        <f t="shared" si="22"/>
        <v>RIESGO ALTO</v>
      </c>
      <c r="AN158" s="33"/>
      <c r="AO158" s="34"/>
      <c r="AP158" s="34"/>
      <c r="AQ158" s="42" t="s">
        <v>622</v>
      </c>
      <c r="AR158" s="34" t="s">
        <v>621</v>
      </c>
      <c r="AS158" s="61" t="s">
        <v>466</v>
      </c>
    </row>
    <row r="159" spans="1:45" s="8" customFormat="1" ht="38.4" x14ac:dyDescent="0.25">
      <c r="A159" s="195"/>
      <c r="B159" s="198"/>
      <c r="C159" s="166"/>
      <c r="D159" s="196" t="s">
        <v>671</v>
      </c>
      <c r="E159" s="32" t="s">
        <v>496</v>
      </c>
      <c r="F159" s="152" t="s">
        <v>457</v>
      </c>
      <c r="G159" s="47" t="s">
        <v>592</v>
      </c>
      <c r="H159" s="34" t="s">
        <v>183</v>
      </c>
      <c r="I159" s="32" t="s">
        <v>173</v>
      </c>
      <c r="J159" s="32" t="s">
        <v>593</v>
      </c>
      <c r="K159" s="32" t="s">
        <v>104</v>
      </c>
      <c r="L159" s="68" t="s">
        <v>185</v>
      </c>
      <c r="M159" s="73" t="s">
        <v>332</v>
      </c>
      <c r="N159" s="73" t="s">
        <v>84</v>
      </c>
      <c r="O159" s="73" t="s">
        <v>186</v>
      </c>
      <c r="P159" s="70">
        <v>2</v>
      </c>
      <c r="Q159" s="41">
        <v>3</v>
      </c>
      <c r="R159" s="33">
        <f t="shared" si="23"/>
        <v>6</v>
      </c>
      <c r="S159" s="33" t="str">
        <f t="shared" si="24"/>
        <v>MEDIO</v>
      </c>
      <c r="T159" s="33">
        <v>10</v>
      </c>
      <c r="U159" s="75">
        <f t="shared" si="25"/>
        <v>60</v>
      </c>
      <c r="V159" s="33" t="str">
        <f t="shared" si="26"/>
        <v>lll</v>
      </c>
      <c r="W159" s="74" t="str">
        <f t="shared" si="27"/>
        <v>SI</v>
      </c>
      <c r="X159" s="33">
        <v>8</v>
      </c>
      <c r="Y159" s="31" t="s">
        <v>178</v>
      </c>
      <c r="Z159" s="33" t="s">
        <v>87</v>
      </c>
      <c r="AA159" s="45"/>
      <c r="AB159" s="34"/>
      <c r="AC159" s="34"/>
      <c r="AD159" s="42" t="s">
        <v>595</v>
      </c>
      <c r="AE159" s="34" t="s">
        <v>596</v>
      </c>
      <c r="AF159" s="34" t="s">
        <v>576</v>
      </c>
      <c r="AG159" s="41">
        <v>2</v>
      </c>
      <c r="AH159" s="41">
        <v>2</v>
      </c>
      <c r="AI159" s="33">
        <f t="shared" si="20"/>
        <v>4</v>
      </c>
      <c r="AJ159" s="33" t="str">
        <f t="shared" si="21"/>
        <v>BAJO</v>
      </c>
      <c r="AK159" s="33">
        <v>25</v>
      </c>
      <c r="AL159" s="33">
        <f t="shared" si="28"/>
        <v>100</v>
      </c>
      <c r="AM159" s="33" t="str">
        <f t="shared" si="22"/>
        <v>RIESGO ACEPTABLE</v>
      </c>
      <c r="AN159" s="33"/>
      <c r="AO159" s="34"/>
      <c r="AP159" s="34"/>
      <c r="AQ159" s="42" t="s">
        <v>597</v>
      </c>
      <c r="AR159" s="34" t="s">
        <v>596</v>
      </c>
      <c r="AS159" s="61" t="s">
        <v>466</v>
      </c>
    </row>
    <row r="160" spans="1:45" s="8" customFormat="1" ht="67.2" x14ac:dyDescent="0.25">
      <c r="A160" s="195"/>
      <c r="B160" s="198"/>
      <c r="C160" s="166"/>
      <c r="D160" s="196"/>
      <c r="E160" s="32" t="s">
        <v>496</v>
      </c>
      <c r="F160" s="152"/>
      <c r="G160" s="47" t="s">
        <v>592</v>
      </c>
      <c r="H160" s="34" t="s">
        <v>205</v>
      </c>
      <c r="I160" s="32" t="s">
        <v>102</v>
      </c>
      <c r="J160" s="32" t="s">
        <v>672</v>
      </c>
      <c r="K160" s="32" t="s">
        <v>104</v>
      </c>
      <c r="L160" s="68" t="s">
        <v>207</v>
      </c>
      <c r="M160" s="73" t="s">
        <v>332</v>
      </c>
      <c r="N160" s="73" t="s">
        <v>106</v>
      </c>
      <c r="O160" s="73" t="s">
        <v>608</v>
      </c>
      <c r="P160" s="70">
        <v>2</v>
      </c>
      <c r="Q160" s="41">
        <v>3</v>
      </c>
      <c r="R160" s="33">
        <f t="shared" si="23"/>
        <v>6</v>
      </c>
      <c r="S160" s="33" t="str">
        <f t="shared" si="24"/>
        <v>MEDIO</v>
      </c>
      <c r="T160" s="33">
        <v>10</v>
      </c>
      <c r="U160" s="75">
        <f t="shared" si="25"/>
        <v>60</v>
      </c>
      <c r="V160" s="33" t="str">
        <f t="shared" si="26"/>
        <v>lll</v>
      </c>
      <c r="W160" s="74" t="str">
        <f t="shared" si="27"/>
        <v>SI</v>
      </c>
      <c r="X160" s="33">
        <v>8</v>
      </c>
      <c r="Y160" s="31" t="s">
        <v>209</v>
      </c>
      <c r="Z160" s="33" t="s">
        <v>87</v>
      </c>
      <c r="AA160" s="45"/>
      <c r="AB160" s="34"/>
      <c r="AC160" s="34"/>
      <c r="AD160" s="34" t="s">
        <v>628</v>
      </c>
      <c r="AE160" s="34" t="s">
        <v>673</v>
      </c>
      <c r="AF160" s="34" t="s">
        <v>576</v>
      </c>
      <c r="AG160" s="41">
        <v>2</v>
      </c>
      <c r="AH160" s="41">
        <v>2</v>
      </c>
      <c r="AI160" s="33">
        <f t="shared" si="20"/>
        <v>4</v>
      </c>
      <c r="AJ160" s="33" t="str">
        <f t="shared" si="21"/>
        <v>BAJO</v>
      </c>
      <c r="AK160" s="33">
        <v>60</v>
      </c>
      <c r="AL160" s="33">
        <f t="shared" si="28"/>
        <v>240</v>
      </c>
      <c r="AM160" s="33" t="str">
        <f t="shared" si="22"/>
        <v>RIESGO ALTO</v>
      </c>
      <c r="AN160" s="33"/>
      <c r="AO160" s="34"/>
      <c r="AP160" s="40"/>
      <c r="AQ160" s="34" t="s">
        <v>630</v>
      </c>
      <c r="AR160" s="34" t="s">
        <v>673</v>
      </c>
      <c r="AS160" s="61" t="s">
        <v>466</v>
      </c>
    </row>
    <row r="161" spans="1:152" s="8" customFormat="1" ht="67.2" x14ac:dyDescent="0.25">
      <c r="A161" s="195"/>
      <c r="B161" s="198"/>
      <c r="C161" s="166"/>
      <c r="D161" s="196"/>
      <c r="E161" s="32" t="s">
        <v>496</v>
      </c>
      <c r="F161" s="152"/>
      <c r="G161" s="47" t="s">
        <v>592</v>
      </c>
      <c r="H161" s="34" t="s">
        <v>101</v>
      </c>
      <c r="I161" s="32" t="s">
        <v>102</v>
      </c>
      <c r="J161" s="32" t="s">
        <v>644</v>
      </c>
      <c r="K161" s="32" t="s">
        <v>104</v>
      </c>
      <c r="L161" s="68" t="s">
        <v>207</v>
      </c>
      <c r="M161" s="73" t="s">
        <v>332</v>
      </c>
      <c r="N161" s="73" t="s">
        <v>106</v>
      </c>
      <c r="O161" s="73" t="s">
        <v>608</v>
      </c>
      <c r="P161" s="70">
        <v>2</v>
      </c>
      <c r="Q161" s="41">
        <v>3</v>
      </c>
      <c r="R161" s="33">
        <f t="shared" si="23"/>
        <v>6</v>
      </c>
      <c r="S161" s="33" t="str">
        <f t="shared" si="24"/>
        <v>MEDIO</v>
      </c>
      <c r="T161" s="33">
        <v>10</v>
      </c>
      <c r="U161" s="75">
        <f t="shared" si="25"/>
        <v>60</v>
      </c>
      <c r="V161" s="33" t="str">
        <f t="shared" si="26"/>
        <v>lll</v>
      </c>
      <c r="W161" s="74" t="str">
        <f t="shared" si="27"/>
        <v>SI</v>
      </c>
      <c r="X161" s="33">
        <v>8</v>
      </c>
      <c r="Y161" s="31" t="s">
        <v>108</v>
      </c>
      <c r="Z161" s="33" t="s">
        <v>87</v>
      </c>
      <c r="AA161" s="45"/>
      <c r="AB161" s="34"/>
      <c r="AC161" s="34"/>
      <c r="AD161" s="34" t="s">
        <v>628</v>
      </c>
      <c r="AE161" s="34" t="s">
        <v>673</v>
      </c>
      <c r="AF161" s="34" t="s">
        <v>576</v>
      </c>
      <c r="AG161" s="41">
        <v>2</v>
      </c>
      <c r="AH161" s="41">
        <v>2</v>
      </c>
      <c r="AI161" s="33">
        <f t="shared" si="20"/>
        <v>4</v>
      </c>
      <c r="AJ161" s="33" t="str">
        <f t="shared" si="21"/>
        <v>BAJO</v>
      </c>
      <c r="AK161" s="33">
        <v>60</v>
      </c>
      <c r="AL161" s="33">
        <f t="shared" si="28"/>
        <v>240</v>
      </c>
      <c r="AM161" s="33" t="str">
        <f t="shared" si="22"/>
        <v>RIESGO ALTO</v>
      </c>
      <c r="AN161" s="33"/>
      <c r="AO161" s="34"/>
      <c r="AP161" s="34"/>
      <c r="AQ161" s="34" t="s">
        <v>630</v>
      </c>
      <c r="AR161" s="34" t="s">
        <v>673</v>
      </c>
      <c r="AS161" s="61" t="s">
        <v>466</v>
      </c>
    </row>
    <row r="162" spans="1:152" s="8" customFormat="1" ht="48" x14ac:dyDescent="0.25">
      <c r="A162" s="195"/>
      <c r="B162" s="198"/>
      <c r="C162" s="166"/>
      <c r="D162" s="196"/>
      <c r="E162" s="32" t="s">
        <v>496</v>
      </c>
      <c r="F162" s="152"/>
      <c r="G162" s="47" t="s">
        <v>516</v>
      </c>
      <c r="H162" s="34" t="s">
        <v>138</v>
      </c>
      <c r="I162" s="32" t="s">
        <v>139</v>
      </c>
      <c r="J162" s="40" t="s">
        <v>674</v>
      </c>
      <c r="K162" s="32" t="s">
        <v>104</v>
      </c>
      <c r="L162" s="68" t="s">
        <v>475</v>
      </c>
      <c r="M162" s="73" t="s">
        <v>332</v>
      </c>
      <c r="N162" s="73" t="s">
        <v>84</v>
      </c>
      <c r="O162" s="73" t="s">
        <v>556</v>
      </c>
      <c r="P162" s="70">
        <v>2</v>
      </c>
      <c r="Q162" s="41">
        <v>2</v>
      </c>
      <c r="R162" s="33">
        <f t="shared" si="23"/>
        <v>4</v>
      </c>
      <c r="S162" s="33" t="str">
        <f t="shared" si="24"/>
        <v>BAJO</v>
      </c>
      <c r="T162" s="33">
        <v>10</v>
      </c>
      <c r="U162" s="75">
        <f t="shared" si="25"/>
        <v>40</v>
      </c>
      <c r="V162" s="33" t="str">
        <f t="shared" si="26"/>
        <v>lll</v>
      </c>
      <c r="W162" s="74" t="str">
        <f t="shared" si="27"/>
        <v>SI</v>
      </c>
      <c r="X162" s="33">
        <v>8</v>
      </c>
      <c r="Y162" s="31" t="s">
        <v>143</v>
      </c>
      <c r="Z162" s="33" t="s">
        <v>87</v>
      </c>
      <c r="AA162" s="45"/>
      <c r="AB162" s="34"/>
      <c r="AC162" s="34"/>
      <c r="AD162" s="34" t="s">
        <v>675</v>
      </c>
      <c r="AE162" s="34"/>
      <c r="AF162" s="34" t="s">
        <v>576</v>
      </c>
      <c r="AG162" s="41">
        <v>2</v>
      </c>
      <c r="AH162" s="41">
        <v>2</v>
      </c>
      <c r="AI162" s="33">
        <f t="shared" si="20"/>
        <v>4</v>
      </c>
      <c r="AJ162" s="33" t="str">
        <f t="shared" si="21"/>
        <v>BAJO</v>
      </c>
      <c r="AK162" s="33">
        <v>25</v>
      </c>
      <c r="AL162" s="33">
        <f t="shared" si="28"/>
        <v>100</v>
      </c>
      <c r="AM162" s="33" t="str">
        <f t="shared" si="22"/>
        <v>RIESGO ACEPTABLE</v>
      </c>
      <c r="AN162" s="33"/>
      <c r="AO162" s="34"/>
      <c r="AP162" s="34"/>
      <c r="AQ162" s="34" t="s">
        <v>587</v>
      </c>
      <c r="AR162" s="34"/>
      <c r="AS162" s="61" t="s">
        <v>466</v>
      </c>
    </row>
    <row r="163" spans="1:152" s="8" customFormat="1" ht="48" x14ac:dyDescent="0.25">
      <c r="A163" s="195"/>
      <c r="B163" s="198"/>
      <c r="C163" s="166"/>
      <c r="D163" s="196"/>
      <c r="E163" s="32" t="s">
        <v>496</v>
      </c>
      <c r="F163" s="152"/>
      <c r="G163" s="47" t="s">
        <v>592</v>
      </c>
      <c r="H163" s="34" t="s">
        <v>227</v>
      </c>
      <c r="I163" s="32" t="s">
        <v>158</v>
      </c>
      <c r="J163" s="32" t="s">
        <v>615</v>
      </c>
      <c r="K163" s="32" t="s">
        <v>104</v>
      </c>
      <c r="L163" s="68" t="s">
        <v>229</v>
      </c>
      <c r="M163" s="73" t="s">
        <v>332</v>
      </c>
      <c r="N163" s="73" t="s">
        <v>84</v>
      </c>
      <c r="O163" s="73" t="s">
        <v>676</v>
      </c>
      <c r="P163" s="70">
        <v>2</v>
      </c>
      <c r="Q163" s="41">
        <v>2</v>
      </c>
      <c r="R163" s="33">
        <f t="shared" si="23"/>
        <v>4</v>
      </c>
      <c r="S163" s="33" t="str">
        <f t="shared" si="24"/>
        <v>BAJO</v>
      </c>
      <c r="T163" s="33">
        <v>10</v>
      </c>
      <c r="U163" s="75">
        <f t="shared" si="25"/>
        <v>40</v>
      </c>
      <c r="V163" s="33" t="str">
        <f t="shared" si="26"/>
        <v>lll</v>
      </c>
      <c r="W163" s="74" t="str">
        <f t="shared" si="27"/>
        <v>SI</v>
      </c>
      <c r="X163" s="33">
        <v>8</v>
      </c>
      <c r="Y163" s="31" t="s">
        <v>163</v>
      </c>
      <c r="Z163" s="33" t="s">
        <v>87</v>
      </c>
      <c r="AA163" s="45"/>
      <c r="AB163" s="34"/>
      <c r="AC163" s="34"/>
      <c r="AD163" s="34" t="s">
        <v>504</v>
      </c>
      <c r="AE163" s="34" t="s">
        <v>617</v>
      </c>
      <c r="AF163" s="34" t="s">
        <v>576</v>
      </c>
      <c r="AG163" s="41">
        <v>2</v>
      </c>
      <c r="AH163" s="41">
        <v>2</v>
      </c>
      <c r="AI163" s="33">
        <f t="shared" si="20"/>
        <v>4</v>
      </c>
      <c r="AJ163" s="33" t="str">
        <f t="shared" si="21"/>
        <v>BAJO</v>
      </c>
      <c r="AK163" s="33">
        <v>25</v>
      </c>
      <c r="AL163" s="33">
        <f t="shared" si="28"/>
        <v>100</v>
      </c>
      <c r="AM163" s="33" t="str">
        <f t="shared" si="22"/>
        <v>RIESGO ACEPTABLE</v>
      </c>
      <c r="AN163" s="33"/>
      <c r="AO163" s="34"/>
      <c r="AP163" s="40"/>
      <c r="AQ163" s="34" t="s">
        <v>618</v>
      </c>
      <c r="AR163" s="34" t="s">
        <v>617</v>
      </c>
      <c r="AS163" s="61" t="s">
        <v>466</v>
      </c>
    </row>
    <row r="164" spans="1:152" s="8" customFormat="1" ht="48" x14ac:dyDescent="0.25">
      <c r="A164" s="195"/>
      <c r="B164" s="198"/>
      <c r="C164" s="166"/>
      <c r="D164" s="196"/>
      <c r="E164" s="32" t="s">
        <v>496</v>
      </c>
      <c r="F164" s="152"/>
      <c r="G164" s="47" t="s">
        <v>592</v>
      </c>
      <c r="H164" s="34" t="s">
        <v>157</v>
      </c>
      <c r="I164" s="32" t="s">
        <v>158</v>
      </c>
      <c r="J164" s="34" t="s">
        <v>677</v>
      </c>
      <c r="K164" s="32" t="s">
        <v>104</v>
      </c>
      <c r="L164" s="68" t="s">
        <v>160</v>
      </c>
      <c r="M164" s="73" t="s">
        <v>332</v>
      </c>
      <c r="N164" s="73" t="s">
        <v>84</v>
      </c>
      <c r="O164" s="73" t="s">
        <v>676</v>
      </c>
      <c r="P164" s="70">
        <v>2</v>
      </c>
      <c r="Q164" s="41">
        <v>3</v>
      </c>
      <c r="R164" s="33">
        <f t="shared" si="23"/>
        <v>6</v>
      </c>
      <c r="S164" s="33" t="str">
        <f t="shared" si="24"/>
        <v>MEDIO</v>
      </c>
      <c r="T164" s="33">
        <v>10</v>
      </c>
      <c r="U164" s="75">
        <f t="shared" si="25"/>
        <v>60</v>
      </c>
      <c r="V164" s="33" t="str">
        <f t="shared" si="26"/>
        <v>lll</v>
      </c>
      <c r="W164" s="74" t="str">
        <f t="shared" si="27"/>
        <v>SI</v>
      </c>
      <c r="X164" s="33">
        <v>8</v>
      </c>
      <c r="Y164" s="31" t="s">
        <v>163</v>
      </c>
      <c r="Z164" s="33" t="s">
        <v>87</v>
      </c>
      <c r="AA164" s="45"/>
      <c r="AB164" s="34"/>
      <c r="AC164" s="34"/>
      <c r="AD164" s="42" t="s">
        <v>620</v>
      </c>
      <c r="AE164" s="34" t="s">
        <v>621</v>
      </c>
      <c r="AF164" s="34" t="s">
        <v>576</v>
      </c>
      <c r="AG164" s="41">
        <v>2</v>
      </c>
      <c r="AH164" s="41">
        <v>2</v>
      </c>
      <c r="AI164" s="33">
        <f t="shared" si="20"/>
        <v>4</v>
      </c>
      <c r="AJ164" s="33" t="str">
        <f t="shared" si="21"/>
        <v>BAJO</v>
      </c>
      <c r="AK164" s="33">
        <v>60</v>
      </c>
      <c r="AL164" s="33">
        <f t="shared" si="28"/>
        <v>240</v>
      </c>
      <c r="AM164" s="33" t="str">
        <f t="shared" si="22"/>
        <v>RIESGO ALTO</v>
      </c>
      <c r="AN164" s="33"/>
      <c r="AO164" s="34"/>
      <c r="AP164" s="34"/>
      <c r="AQ164" s="42" t="s">
        <v>622</v>
      </c>
      <c r="AR164" s="34" t="s">
        <v>621</v>
      </c>
      <c r="AS164" s="61" t="s">
        <v>466</v>
      </c>
    </row>
    <row r="165" spans="1:152" s="8" customFormat="1" ht="67.2" x14ac:dyDescent="0.25">
      <c r="A165" s="195"/>
      <c r="B165" s="198"/>
      <c r="C165" s="210" t="s">
        <v>678</v>
      </c>
      <c r="D165" s="211" t="s">
        <v>679</v>
      </c>
      <c r="E165" s="32" t="s">
        <v>87</v>
      </c>
      <c r="F165" s="152" t="s">
        <v>680</v>
      </c>
      <c r="G165" s="47" t="s">
        <v>681</v>
      </c>
      <c r="H165" s="34" t="s">
        <v>380</v>
      </c>
      <c r="I165" s="32" t="s">
        <v>381</v>
      </c>
      <c r="J165" s="34" t="s">
        <v>682</v>
      </c>
      <c r="K165" s="32" t="s">
        <v>104</v>
      </c>
      <c r="L165" s="68" t="s">
        <v>383</v>
      </c>
      <c r="M165" s="73" t="s">
        <v>332</v>
      </c>
      <c r="N165" s="73" t="s">
        <v>683</v>
      </c>
      <c r="O165" s="73" t="s">
        <v>684</v>
      </c>
      <c r="P165" s="70">
        <v>2</v>
      </c>
      <c r="Q165" s="41">
        <v>2</v>
      </c>
      <c r="R165" s="33">
        <f t="shared" si="23"/>
        <v>4</v>
      </c>
      <c r="S165" s="33" t="str">
        <f t="shared" si="24"/>
        <v>BAJO</v>
      </c>
      <c r="T165" s="33">
        <v>10</v>
      </c>
      <c r="U165" s="75">
        <f t="shared" si="25"/>
        <v>40</v>
      </c>
      <c r="V165" s="33" t="str">
        <f t="shared" si="26"/>
        <v>lll</v>
      </c>
      <c r="W165" s="74" t="str">
        <f t="shared" si="27"/>
        <v>SI</v>
      </c>
      <c r="X165" s="33">
        <v>8</v>
      </c>
      <c r="Y165" s="31" t="s">
        <v>385</v>
      </c>
      <c r="Z165" s="33" t="s">
        <v>87</v>
      </c>
      <c r="AA165" s="45"/>
      <c r="AB165" s="32"/>
      <c r="AC165" s="34" t="s">
        <v>685</v>
      </c>
      <c r="AD165" s="34" t="s">
        <v>686</v>
      </c>
      <c r="AE165" s="34"/>
      <c r="AF165" s="34" t="s">
        <v>182</v>
      </c>
      <c r="AG165" s="41">
        <v>2</v>
      </c>
      <c r="AH165" s="41">
        <v>2</v>
      </c>
      <c r="AI165" s="33">
        <f t="shared" si="20"/>
        <v>4</v>
      </c>
      <c r="AJ165" s="33" t="str">
        <f t="shared" si="21"/>
        <v>BAJO</v>
      </c>
      <c r="AK165" s="33">
        <v>25</v>
      </c>
      <c r="AL165" s="33">
        <f t="shared" si="28"/>
        <v>100</v>
      </c>
      <c r="AM165" s="33" t="str">
        <f t="shared" si="22"/>
        <v>RIESGO ACEPTABLE</v>
      </c>
      <c r="AN165" s="33"/>
      <c r="AO165" s="32"/>
      <c r="AP165" s="34" t="s">
        <v>687</v>
      </c>
      <c r="AQ165" s="34" t="s">
        <v>688</v>
      </c>
      <c r="AR165" s="34"/>
      <c r="AS165" s="61" t="s">
        <v>182</v>
      </c>
    </row>
    <row r="166" spans="1:152" s="8" customFormat="1" ht="38.4" x14ac:dyDescent="0.25">
      <c r="A166" s="195"/>
      <c r="B166" s="198"/>
      <c r="C166" s="210"/>
      <c r="D166" s="211"/>
      <c r="E166" s="32" t="s">
        <v>87</v>
      </c>
      <c r="F166" s="152"/>
      <c r="G166" s="47" t="s">
        <v>681</v>
      </c>
      <c r="H166" s="34" t="s">
        <v>128</v>
      </c>
      <c r="I166" s="32" t="s">
        <v>129</v>
      </c>
      <c r="J166" s="32" t="s">
        <v>454</v>
      </c>
      <c r="K166" s="32" t="s">
        <v>104</v>
      </c>
      <c r="L166" s="68" t="s">
        <v>131</v>
      </c>
      <c r="M166" s="73" t="s">
        <v>332</v>
      </c>
      <c r="N166" s="73" t="s">
        <v>683</v>
      </c>
      <c r="O166" s="73" t="s">
        <v>132</v>
      </c>
      <c r="P166" s="70">
        <v>2</v>
      </c>
      <c r="Q166" s="41">
        <v>4</v>
      </c>
      <c r="R166" s="33">
        <f t="shared" si="23"/>
        <v>8</v>
      </c>
      <c r="S166" s="33" t="str">
        <f t="shared" si="24"/>
        <v>MEDIO</v>
      </c>
      <c r="T166" s="33">
        <v>10</v>
      </c>
      <c r="U166" s="75">
        <f t="shared" si="25"/>
        <v>80</v>
      </c>
      <c r="V166" s="33" t="str">
        <f t="shared" si="26"/>
        <v>lll</v>
      </c>
      <c r="W166" s="74" t="str">
        <f t="shared" si="27"/>
        <v>SI</v>
      </c>
      <c r="X166" s="33">
        <v>8</v>
      </c>
      <c r="Y166" s="31" t="s">
        <v>133</v>
      </c>
      <c r="Z166" s="33" t="s">
        <v>87</v>
      </c>
      <c r="AA166" s="46"/>
      <c r="AB166" s="33"/>
      <c r="AC166" s="34"/>
      <c r="AD166" s="34" t="s">
        <v>689</v>
      </c>
      <c r="AE166" s="34"/>
      <c r="AF166" s="34" t="s">
        <v>690</v>
      </c>
      <c r="AG166" s="41">
        <v>2</v>
      </c>
      <c r="AH166" s="41">
        <v>4</v>
      </c>
      <c r="AI166" s="33">
        <f t="shared" ref="AI166:AI229" si="29">AG166*AH166</f>
        <v>8</v>
      </c>
      <c r="AJ166" s="33" t="str">
        <f t="shared" ref="AJ166:AJ229" si="30">IF(AND(AI166&gt;=0,AI166&lt;=4),"BAJO",IF(AND(AI166&gt;=6,AI166&lt;=8),"MEDIO",IF(AND(AI166&gt;=10,AI166&lt;=20),"ALTO",IF(AND(AI166&gt;=24,AI166&lt;=40),"MUY ALTO"))))</f>
        <v>MEDIO</v>
      </c>
      <c r="AK166" s="33">
        <v>10</v>
      </c>
      <c r="AL166" s="33">
        <f t="shared" si="28"/>
        <v>80</v>
      </c>
      <c r="AM166" s="33" t="str">
        <f t="shared" ref="AM166:AM229" si="31">IF(AND(AL166&gt;=0,AL166&lt;=120),"RIESGO ACEPTABLE",IF(AND(AL166&gt;=150,AL166&lt;=500),"RIESGO ALTO",IF(AND(AL166&gt;=600,AL166&lt;=4000),"RIESGO NO ACEPTABLE")))</f>
        <v>RIESGO ACEPTABLE</v>
      </c>
      <c r="AN166" s="34"/>
      <c r="AO166" s="34"/>
      <c r="AP166" s="34"/>
      <c r="AQ166" s="34" t="s">
        <v>136</v>
      </c>
      <c r="AR166" s="34"/>
      <c r="AS166" s="61" t="s">
        <v>690</v>
      </c>
      <c r="EQ166" s="15"/>
      <c r="ER166" s="15"/>
      <c r="ES166" s="15"/>
      <c r="ET166" s="15"/>
      <c r="EU166" s="15"/>
      <c r="EV166" s="15"/>
    </row>
    <row r="167" spans="1:152" s="14" customFormat="1" ht="38.4" x14ac:dyDescent="0.25">
      <c r="A167" s="195"/>
      <c r="B167" s="198"/>
      <c r="C167" s="210"/>
      <c r="D167" s="211"/>
      <c r="E167" s="51" t="s">
        <v>87</v>
      </c>
      <c r="F167" s="152"/>
      <c r="G167" s="52" t="s">
        <v>681</v>
      </c>
      <c r="H167" s="34" t="s">
        <v>393</v>
      </c>
      <c r="I167" s="34" t="s">
        <v>115</v>
      </c>
      <c r="J167" s="34" t="s">
        <v>691</v>
      </c>
      <c r="K167" s="34" t="s">
        <v>104</v>
      </c>
      <c r="L167" s="68" t="s">
        <v>395</v>
      </c>
      <c r="M167" s="73" t="s">
        <v>332</v>
      </c>
      <c r="N167" s="73" t="s">
        <v>683</v>
      </c>
      <c r="O167" s="73" t="s">
        <v>396</v>
      </c>
      <c r="P167" s="71">
        <v>2</v>
      </c>
      <c r="Q167" s="44">
        <v>1</v>
      </c>
      <c r="R167" s="33">
        <f>P167*Q167</f>
        <v>2</v>
      </c>
      <c r="S167" s="33" t="str">
        <f t="shared" si="24"/>
        <v>BAJO</v>
      </c>
      <c r="T167" s="33">
        <v>10</v>
      </c>
      <c r="U167" s="75">
        <f t="shared" si="25"/>
        <v>20</v>
      </c>
      <c r="V167" s="33" t="str">
        <f t="shared" si="26"/>
        <v xml:space="preserve">IV </v>
      </c>
      <c r="W167" s="74" t="b">
        <f t="shared" si="27"/>
        <v>0</v>
      </c>
      <c r="X167" s="33">
        <v>8</v>
      </c>
      <c r="Y167" s="31" t="s">
        <v>397</v>
      </c>
      <c r="Z167" s="33" t="s">
        <v>87</v>
      </c>
      <c r="AA167" s="45"/>
      <c r="AB167" s="54" t="s">
        <v>692</v>
      </c>
      <c r="AC167" s="54" t="s">
        <v>693</v>
      </c>
      <c r="AD167" s="42"/>
      <c r="AE167" s="50" t="s">
        <v>401</v>
      </c>
      <c r="AF167" s="50" t="s">
        <v>694</v>
      </c>
      <c r="AG167" s="44">
        <v>2</v>
      </c>
      <c r="AH167" s="53">
        <v>3</v>
      </c>
      <c r="AI167" s="33">
        <f>AG167*AH167</f>
        <v>6</v>
      </c>
      <c r="AJ167" s="33" t="str">
        <f>IF(AND(AI167&gt;=0,AI167&lt;=4),"BAJO",IF(AND(AI167&gt;=6,AI167&lt;=8),"MEDIO",IF(AND(AI167&gt;=10,AI167&lt;=20),"ALTO",IF(AND(AI167&gt;=24,AI167&lt;=40),"MUY ALTO"))))</f>
        <v>MEDIO</v>
      </c>
      <c r="AK167" s="33">
        <v>25</v>
      </c>
      <c r="AL167" s="33">
        <f t="shared" si="28"/>
        <v>150</v>
      </c>
      <c r="AM167" s="33" t="str">
        <f>IF(AND(AL167&gt;=0,AL167&lt;=120),"RIESGO ACEPTABLE",IF(AND(AL167&gt;=150,AL167&lt;=500),"RIESGO ALTO",IF(AND(AL167&gt;=600,AL167&lt;=4000),"RIESGO NO ACEPTABLE")))</f>
        <v>RIESGO ALTO</v>
      </c>
      <c r="AN167" s="33"/>
      <c r="AO167" s="32"/>
      <c r="AP167" s="42" t="s">
        <v>695</v>
      </c>
      <c r="AQ167" s="42" t="s">
        <v>696</v>
      </c>
      <c r="AR167" s="34"/>
      <c r="AS167" s="61" t="s">
        <v>697</v>
      </c>
    </row>
    <row r="168" spans="1:152" s="8" customFormat="1" ht="67.2" x14ac:dyDescent="0.25">
      <c r="A168" s="195"/>
      <c r="B168" s="198"/>
      <c r="C168" s="210"/>
      <c r="D168" s="211"/>
      <c r="E168" s="32" t="s">
        <v>87</v>
      </c>
      <c r="F168" s="152"/>
      <c r="G168" s="47" t="s">
        <v>681</v>
      </c>
      <c r="H168" s="34" t="s">
        <v>191</v>
      </c>
      <c r="I168" s="32" t="s">
        <v>173</v>
      </c>
      <c r="J168" s="32" t="s">
        <v>598</v>
      </c>
      <c r="K168" s="32" t="s">
        <v>104</v>
      </c>
      <c r="L168" s="68" t="s">
        <v>193</v>
      </c>
      <c r="M168" s="73" t="s">
        <v>332</v>
      </c>
      <c r="N168" s="73" t="s">
        <v>641</v>
      </c>
      <c r="O168" s="73" t="s">
        <v>698</v>
      </c>
      <c r="P168" s="70">
        <v>2</v>
      </c>
      <c r="Q168" s="41">
        <v>3</v>
      </c>
      <c r="R168" s="33">
        <f t="shared" si="23"/>
        <v>6</v>
      </c>
      <c r="S168" s="33" t="str">
        <f t="shared" si="24"/>
        <v>MEDIO</v>
      </c>
      <c r="T168" s="33">
        <v>10</v>
      </c>
      <c r="U168" s="75">
        <f t="shared" si="25"/>
        <v>60</v>
      </c>
      <c r="V168" s="33" t="str">
        <f t="shared" si="26"/>
        <v>lll</v>
      </c>
      <c r="W168" s="74" t="str">
        <f t="shared" si="27"/>
        <v>SI</v>
      </c>
      <c r="X168" s="33">
        <v>8</v>
      </c>
      <c r="Y168" s="31" t="s">
        <v>195</v>
      </c>
      <c r="Z168" s="33" t="s">
        <v>87</v>
      </c>
      <c r="AA168" s="45"/>
      <c r="AB168" s="34"/>
      <c r="AC168" s="34"/>
      <c r="AD168" s="34" t="s">
        <v>699</v>
      </c>
      <c r="AE168" s="34"/>
      <c r="AF168" s="34" t="s">
        <v>700</v>
      </c>
      <c r="AG168" s="41">
        <v>2</v>
      </c>
      <c r="AH168" s="41">
        <v>3</v>
      </c>
      <c r="AI168" s="33">
        <f t="shared" si="29"/>
        <v>6</v>
      </c>
      <c r="AJ168" s="33" t="str">
        <f t="shared" si="30"/>
        <v>MEDIO</v>
      </c>
      <c r="AK168" s="33">
        <v>10</v>
      </c>
      <c r="AL168" s="33">
        <f t="shared" si="28"/>
        <v>60</v>
      </c>
      <c r="AM168" s="33" t="str">
        <f t="shared" si="31"/>
        <v>RIESGO ACEPTABLE</v>
      </c>
      <c r="AN168" s="33"/>
      <c r="AO168" s="34"/>
      <c r="AP168" s="34"/>
      <c r="AQ168" s="34" t="s">
        <v>701</v>
      </c>
      <c r="AR168" s="34"/>
      <c r="AS168" s="61" t="s">
        <v>700</v>
      </c>
    </row>
    <row r="169" spans="1:152" s="8" customFormat="1" ht="67.2" x14ac:dyDescent="0.25">
      <c r="A169" s="195"/>
      <c r="B169" s="198"/>
      <c r="C169" s="210"/>
      <c r="D169" s="211"/>
      <c r="E169" s="32" t="s">
        <v>87</v>
      </c>
      <c r="F169" s="152"/>
      <c r="G169" s="47" t="s">
        <v>681</v>
      </c>
      <c r="H169" s="34" t="s">
        <v>183</v>
      </c>
      <c r="I169" s="32" t="s">
        <v>173</v>
      </c>
      <c r="J169" s="32" t="s">
        <v>702</v>
      </c>
      <c r="K169" s="32" t="s">
        <v>104</v>
      </c>
      <c r="L169" s="68" t="s">
        <v>185</v>
      </c>
      <c r="M169" s="73" t="s">
        <v>332</v>
      </c>
      <c r="N169" s="73" t="s">
        <v>641</v>
      </c>
      <c r="O169" s="73" t="s">
        <v>491</v>
      </c>
      <c r="P169" s="70">
        <v>2</v>
      </c>
      <c r="Q169" s="41">
        <v>3</v>
      </c>
      <c r="R169" s="33">
        <f>P169*Q169</f>
        <v>6</v>
      </c>
      <c r="S169" s="33" t="str">
        <f t="shared" si="24"/>
        <v>MEDIO</v>
      </c>
      <c r="T169" s="33">
        <v>10</v>
      </c>
      <c r="U169" s="75">
        <f t="shared" si="25"/>
        <v>60</v>
      </c>
      <c r="V169" s="33" t="str">
        <f t="shared" si="26"/>
        <v>lll</v>
      </c>
      <c r="W169" s="74" t="str">
        <f t="shared" si="27"/>
        <v>SI</v>
      </c>
      <c r="X169" s="33">
        <v>8</v>
      </c>
      <c r="Y169" s="31" t="s">
        <v>178</v>
      </c>
      <c r="Z169" s="33" t="s">
        <v>87</v>
      </c>
      <c r="AA169" s="45"/>
      <c r="AB169" s="34"/>
      <c r="AC169" s="34" t="s">
        <v>703</v>
      </c>
      <c r="AD169" s="34" t="s">
        <v>699</v>
      </c>
      <c r="AE169" s="34"/>
      <c r="AF169" s="34" t="s">
        <v>700</v>
      </c>
      <c r="AG169" s="41">
        <v>2</v>
      </c>
      <c r="AH169" s="41">
        <v>3</v>
      </c>
      <c r="AI169" s="33">
        <f>AG169*AH169</f>
        <v>6</v>
      </c>
      <c r="AJ169" s="33" t="str">
        <f>IF(AND(AI169&gt;=0,AI169&lt;=4),"BAJO",IF(AND(AI169&gt;=6,AI169&lt;=8),"MEDIO",IF(AND(AI169&gt;=10,AI169&lt;=20),"ALTO",IF(AND(AI169&gt;=24,AI169&lt;=40),"MUY ALTO"))))</f>
        <v>MEDIO</v>
      </c>
      <c r="AK169" s="33">
        <v>10</v>
      </c>
      <c r="AL169" s="33">
        <f t="shared" si="28"/>
        <v>60</v>
      </c>
      <c r="AM169" s="33" t="str">
        <f>IF(AND(AL169&gt;=0,AL169&lt;=120),"RIESGO ACEPTABLE",IF(AND(AL169&gt;=150,AL169&lt;=500),"RIESGO ALTO",IF(AND(AL169&gt;=600,AL169&lt;=4000),"RIESGO NO ACEPTABLE")))</f>
        <v>RIESGO ACEPTABLE</v>
      </c>
      <c r="AN169" s="33"/>
      <c r="AO169" s="34"/>
      <c r="AP169" s="34" t="s">
        <v>703</v>
      </c>
      <c r="AQ169" s="34" t="s">
        <v>701</v>
      </c>
      <c r="AR169" s="34"/>
      <c r="AS169" s="61" t="s">
        <v>700</v>
      </c>
    </row>
    <row r="170" spans="1:152" s="8" customFormat="1" ht="38.4" x14ac:dyDescent="0.25">
      <c r="A170" s="195"/>
      <c r="B170" s="198"/>
      <c r="C170" s="210"/>
      <c r="D170" s="211"/>
      <c r="E170" s="32" t="s">
        <v>87</v>
      </c>
      <c r="F170" s="152"/>
      <c r="G170" s="47" t="s">
        <v>681</v>
      </c>
      <c r="H170" s="34" t="s">
        <v>246</v>
      </c>
      <c r="I170" s="32" t="s">
        <v>115</v>
      </c>
      <c r="J170" s="32" t="s">
        <v>704</v>
      </c>
      <c r="K170" s="32" t="s">
        <v>248</v>
      </c>
      <c r="L170" s="68" t="s">
        <v>249</v>
      </c>
      <c r="M170" s="73" t="s">
        <v>332</v>
      </c>
      <c r="N170" s="73" t="s">
        <v>683</v>
      </c>
      <c r="O170" s="73" t="s">
        <v>250</v>
      </c>
      <c r="P170" s="70">
        <v>2</v>
      </c>
      <c r="Q170" s="41">
        <v>2</v>
      </c>
      <c r="R170" s="33">
        <f t="shared" si="23"/>
        <v>4</v>
      </c>
      <c r="S170" s="33" t="str">
        <f t="shared" si="24"/>
        <v>BAJO</v>
      </c>
      <c r="T170" s="33">
        <v>10</v>
      </c>
      <c r="U170" s="75">
        <f t="shared" si="25"/>
        <v>40</v>
      </c>
      <c r="V170" s="33" t="str">
        <f t="shared" si="26"/>
        <v>lll</v>
      </c>
      <c r="W170" s="74" t="str">
        <f t="shared" si="27"/>
        <v>SI</v>
      </c>
      <c r="X170" s="33">
        <v>8</v>
      </c>
      <c r="Y170" s="31" t="s">
        <v>251</v>
      </c>
      <c r="Z170" s="33" t="s">
        <v>87</v>
      </c>
      <c r="AA170" s="45"/>
      <c r="AB170" s="34"/>
      <c r="AC170" s="34" t="s">
        <v>705</v>
      </c>
      <c r="AD170" s="34" t="s">
        <v>706</v>
      </c>
      <c r="AE170" s="34"/>
      <c r="AF170" s="34" t="s">
        <v>707</v>
      </c>
      <c r="AG170" s="41">
        <v>2</v>
      </c>
      <c r="AH170" s="41">
        <v>3</v>
      </c>
      <c r="AI170" s="33">
        <f t="shared" si="29"/>
        <v>6</v>
      </c>
      <c r="AJ170" s="33" t="str">
        <f t="shared" si="30"/>
        <v>MEDIO</v>
      </c>
      <c r="AK170" s="33">
        <v>10</v>
      </c>
      <c r="AL170" s="33">
        <f t="shared" si="28"/>
        <v>60</v>
      </c>
      <c r="AM170" s="33" t="str">
        <f t="shared" si="31"/>
        <v>RIESGO ACEPTABLE</v>
      </c>
      <c r="AN170" s="33"/>
      <c r="AO170" s="34"/>
      <c r="AP170" s="34" t="s">
        <v>705</v>
      </c>
      <c r="AQ170" s="34" t="s">
        <v>708</v>
      </c>
      <c r="AR170" s="34"/>
      <c r="AS170" s="61" t="s">
        <v>707</v>
      </c>
    </row>
    <row r="171" spans="1:152" s="8" customFormat="1" ht="38.4" x14ac:dyDescent="0.25">
      <c r="A171" s="195"/>
      <c r="B171" s="198"/>
      <c r="C171" s="210"/>
      <c r="D171" s="211"/>
      <c r="E171" s="32" t="s">
        <v>87</v>
      </c>
      <c r="F171" s="152"/>
      <c r="G171" s="47" t="s">
        <v>681</v>
      </c>
      <c r="H171" s="34" t="s">
        <v>214</v>
      </c>
      <c r="I171" s="32" t="s">
        <v>139</v>
      </c>
      <c r="J171" s="32" t="s">
        <v>709</v>
      </c>
      <c r="K171" s="32" t="s">
        <v>248</v>
      </c>
      <c r="L171" s="68" t="s">
        <v>216</v>
      </c>
      <c r="M171" s="73" t="s">
        <v>332</v>
      </c>
      <c r="N171" s="73" t="s">
        <v>683</v>
      </c>
      <c r="O171" s="73" t="s">
        <v>152</v>
      </c>
      <c r="P171" s="70">
        <v>2</v>
      </c>
      <c r="Q171" s="41">
        <v>3</v>
      </c>
      <c r="R171" s="33">
        <f t="shared" si="23"/>
        <v>6</v>
      </c>
      <c r="S171" s="33" t="str">
        <f t="shared" si="24"/>
        <v>MEDIO</v>
      </c>
      <c r="T171" s="33">
        <v>10</v>
      </c>
      <c r="U171" s="75">
        <f t="shared" si="25"/>
        <v>60</v>
      </c>
      <c r="V171" s="33" t="str">
        <f t="shared" si="26"/>
        <v>lll</v>
      </c>
      <c r="W171" s="74" t="str">
        <f t="shared" si="27"/>
        <v>SI</v>
      </c>
      <c r="X171" s="33">
        <v>8</v>
      </c>
      <c r="Y171" s="31" t="s">
        <v>218</v>
      </c>
      <c r="Z171" s="33" t="s">
        <v>87</v>
      </c>
      <c r="AA171" s="45"/>
      <c r="AB171" s="40"/>
      <c r="AC171" s="34" t="s">
        <v>710</v>
      </c>
      <c r="AD171" s="34" t="s">
        <v>711</v>
      </c>
      <c r="AE171" s="34"/>
      <c r="AF171" s="34" t="s">
        <v>712</v>
      </c>
      <c r="AG171" s="41">
        <v>2</v>
      </c>
      <c r="AH171" s="41">
        <v>3</v>
      </c>
      <c r="AI171" s="33">
        <f t="shared" si="29"/>
        <v>6</v>
      </c>
      <c r="AJ171" s="33" t="str">
        <f t="shared" si="30"/>
        <v>MEDIO</v>
      </c>
      <c r="AK171" s="33">
        <v>10</v>
      </c>
      <c r="AL171" s="33">
        <f t="shared" si="28"/>
        <v>60</v>
      </c>
      <c r="AM171" s="33" t="str">
        <f t="shared" si="31"/>
        <v>RIESGO ACEPTABLE</v>
      </c>
      <c r="AN171" s="33"/>
      <c r="AO171" s="40"/>
      <c r="AP171" s="34"/>
      <c r="AQ171" s="34" t="s">
        <v>713</v>
      </c>
      <c r="AR171" s="34"/>
      <c r="AS171" s="61" t="s">
        <v>714</v>
      </c>
    </row>
    <row r="172" spans="1:152" s="8" customFormat="1" ht="48" x14ac:dyDescent="0.25">
      <c r="A172" s="195"/>
      <c r="B172" s="198"/>
      <c r="C172" s="210"/>
      <c r="D172" s="211"/>
      <c r="E172" s="32" t="s">
        <v>87</v>
      </c>
      <c r="F172" s="152"/>
      <c r="G172" s="47" t="s">
        <v>681</v>
      </c>
      <c r="H172" s="34" t="s">
        <v>149</v>
      </c>
      <c r="I172" s="34" t="s">
        <v>139</v>
      </c>
      <c r="J172" s="34" t="s">
        <v>715</v>
      </c>
      <c r="K172" s="32" t="s">
        <v>104</v>
      </c>
      <c r="L172" s="68" t="s">
        <v>327</v>
      </c>
      <c r="M172" s="73" t="s">
        <v>332</v>
      </c>
      <c r="N172" s="73" t="s">
        <v>683</v>
      </c>
      <c r="O172" s="73" t="s">
        <v>152</v>
      </c>
      <c r="P172" s="70">
        <v>2</v>
      </c>
      <c r="Q172" s="41">
        <v>3</v>
      </c>
      <c r="R172" s="33">
        <f>P172*Q172</f>
        <v>6</v>
      </c>
      <c r="S172" s="33" t="str">
        <f t="shared" si="24"/>
        <v>MEDIO</v>
      </c>
      <c r="T172" s="33">
        <v>10</v>
      </c>
      <c r="U172" s="75">
        <f t="shared" si="25"/>
        <v>60</v>
      </c>
      <c r="V172" s="33" t="str">
        <f t="shared" si="26"/>
        <v>lll</v>
      </c>
      <c r="W172" s="74" t="str">
        <f t="shared" si="27"/>
        <v>SI</v>
      </c>
      <c r="X172" s="33">
        <v>8</v>
      </c>
      <c r="Y172" s="31" t="s">
        <v>143</v>
      </c>
      <c r="Z172" s="33" t="s">
        <v>87</v>
      </c>
      <c r="AA172" s="46"/>
      <c r="AB172" s="33"/>
      <c r="AC172" s="34" t="s">
        <v>710</v>
      </c>
      <c r="AD172" s="34" t="s">
        <v>716</v>
      </c>
      <c r="AE172" s="34"/>
      <c r="AF172" s="34" t="s">
        <v>717</v>
      </c>
      <c r="AG172" s="41">
        <v>2</v>
      </c>
      <c r="AH172" s="41">
        <v>3</v>
      </c>
      <c r="AI172" s="33">
        <f t="shared" si="29"/>
        <v>6</v>
      </c>
      <c r="AJ172" s="33" t="str">
        <f t="shared" si="30"/>
        <v>MEDIO</v>
      </c>
      <c r="AK172" s="33">
        <v>10</v>
      </c>
      <c r="AL172" s="33">
        <f t="shared" si="28"/>
        <v>60</v>
      </c>
      <c r="AM172" s="33" t="str">
        <f t="shared" si="31"/>
        <v>RIESGO ACEPTABLE</v>
      </c>
      <c r="AN172" s="34"/>
      <c r="AO172" s="34"/>
      <c r="AP172" s="34" t="s">
        <v>718</v>
      </c>
      <c r="AQ172" s="34" t="s">
        <v>719</v>
      </c>
      <c r="AR172" s="34"/>
      <c r="AS172" s="61" t="s">
        <v>714</v>
      </c>
    </row>
    <row r="173" spans="1:152" s="8" customFormat="1" ht="38.4" x14ac:dyDescent="0.25">
      <c r="A173" s="195"/>
      <c r="B173" s="198"/>
      <c r="C173" s="210"/>
      <c r="D173" s="211"/>
      <c r="E173" s="32" t="s">
        <v>87</v>
      </c>
      <c r="F173" s="152"/>
      <c r="G173" s="47" t="s">
        <v>681</v>
      </c>
      <c r="H173" s="34" t="s">
        <v>114</v>
      </c>
      <c r="I173" s="32" t="s">
        <v>115</v>
      </c>
      <c r="J173" s="34" t="s">
        <v>720</v>
      </c>
      <c r="K173" s="34" t="s">
        <v>104</v>
      </c>
      <c r="L173" s="68" t="s">
        <v>117</v>
      </c>
      <c r="M173" s="73" t="s">
        <v>332</v>
      </c>
      <c r="N173" s="73" t="s">
        <v>683</v>
      </c>
      <c r="O173" s="73" t="s">
        <v>264</v>
      </c>
      <c r="P173" s="70">
        <v>2</v>
      </c>
      <c r="Q173" s="44">
        <v>3</v>
      </c>
      <c r="R173" s="33">
        <f>P173*Q173</f>
        <v>6</v>
      </c>
      <c r="S173" s="33" t="str">
        <f t="shared" si="24"/>
        <v>MEDIO</v>
      </c>
      <c r="T173" s="33">
        <v>10</v>
      </c>
      <c r="U173" s="75">
        <f t="shared" si="25"/>
        <v>60</v>
      </c>
      <c r="V173" s="33" t="str">
        <f t="shared" si="26"/>
        <v>lll</v>
      </c>
      <c r="W173" s="74" t="str">
        <f t="shared" si="27"/>
        <v>SI</v>
      </c>
      <c r="X173" s="33">
        <v>8</v>
      </c>
      <c r="Y173" s="31" t="s">
        <v>119</v>
      </c>
      <c r="Z173" s="33" t="s">
        <v>87</v>
      </c>
      <c r="AA173" s="45"/>
      <c r="AB173" s="32"/>
      <c r="AC173" s="40" t="s">
        <v>721</v>
      </c>
      <c r="AD173" s="34" t="s">
        <v>722</v>
      </c>
      <c r="AE173" s="34" t="s">
        <v>723</v>
      </c>
      <c r="AF173" s="34" t="s">
        <v>724</v>
      </c>
      <c r="AG173" s="44">
        <v>2</v>
      </c>
      <c r="AH173" s="44">
        <v>3</v>
      </c>
      <c r="AI173" s="33">
        <f t="shared" si="29"/>
        <v>6</v>
      </c>
      <c r="AJ173" s="33" t="str">
        <f t="shared" si="30"/>
        <v>MEDIO</v>
      </c>
      <c r="AK173" s="33">
        <v>10</v>
      </c>
      <c r="AL173" s="33">
        <f t="shared" si="28"/>
        <v>60</v>
      </c>
      <c r="AM173" s="33" t="str">
        <f t="shared" si="31"/>
        <v>RIESGO ACEPTABLE</v>
      </c>
      <c r="AN173" s="33"/>
      <c r="AO173" s="32"/>
      <c r="AP173" s="40" t="s">
        <v>721</v>
      </c>
      <c r="AQ173" s="34" t="s">
        <v>125</v>
      </c>
      <c r="AR173" s="34" t="s">
        <v>126</v>
      </c>
      <c r="AS173" s="61" t="s">
        <v>127</v>
      </c>
      <c r="EQ173" s="15"/>
      <c r="ER173" s="15"/>
      <c r="ES173" s="15"/>
      <c r="ET173" s="15"/>
      <c r="EU173" s="15"/>
      <c r="EV173" s="15"/>
    </row>
    <row r="174" spans="1:152" s="8" customFormat="1" ht="48" x14ac:dyDescent="0.25">
      <c r="A174" s="195"/>
      <c r="B174" s="198"/>
      <c r="C174" s="210"/>
      <c r="D174" s="211"/>
      <c r="E174" s="32" t="s">
        <v>87</v>
      </c>
      <c r="F174" s="152"/>
      <c r="G174" s="47" t="s">
        <v>681</v>
      </c>
      <c r="H174" s="34" t="s">
        <v>631</v>
      </c>
      <c r="I174" s="32" t="s">
        <v>291</v>
      </c>
      <c r="J174" s="32" t="s">
        <v>725</v>
      </c>
      <c r="K174" s="32" t="s">
        <v>104</v>
      </c>
      <c r="L174" s="68" t="s">
        <v>633</v>
      </c>
      <c r="M174" s="73" t="s">
        <v>332</v>
      </c>
      <c r="N174" s="73" t="s">
        <v>683</v>
      </c>
      <c r="O174" s="73" t="s">
        <v>726</v>
      </c>
      <c r="P174" s="70">
        <v>2</v>
      </c>
      <c r="Q174" s="41">
        <v>3</v>
      </c>
      <c r="R174" s="33">
        <f>P174*Q174</f>
        <v>6</v>
      </c>
      <c r="S174" s="33" t="str">
        <f t="shared" si="24"/>
        <v>MEDIO</v>
      </c>
      <c r="T174" s="33">
        <v>10</v>
      </c>
      <c r="U174" s="75">
        <f t="shared" si="25"/>
        <v>60</v>
      </c>
      <c r="V174" s="33" t="str">
        <f t="shared" si="26"/>
        <v>lll</v>
      </c>
      <c r="W174" s="74" t="s">
        <v>87</v>
      </c>
      <c r="X174" s="33">
        <v>8</v>
      </c>
      <c r="Y174" s="31" t="s">
        <v>634</v>
      </c>
      <c r="Z174" s="33" t="s">
        <v>87</v>
      </c>
      <c r="AA174" s="45"/>
      <c r="AB174" s="34"/>
      <c r="AC174" s="34" t="s">
        <v>727</v>
      </c>
      <c r="AD174" s="34" t="s">
        <v>728</v>
      </c>
      <c r="AE174" s="34"/>
      <c r="AF174" s="34" t="s">
        <v>729</v>
      </c>
      <c r="AG174" s="41">
        <v>2</v>
      </c>
      <c r="AH174" s="41">
        <v>1</v>
      </c>
      <c r="AI174" s="33">
        <f>AG174*AH174</f>
        <v>2</v>
      </c>
      <c r="AJ174" s="33" t="str">
        <f>IF(AND(AI174&gt;=0,AI174&lt;=4),"BAJO",IF(AND(AI174&gt;=6,AI174&lt;=8),"MEDIO",IF(AND(AI174&gt;=10,AI174&lt;=20),"ALTO",IF(AND(AI174&gt;=24,AI174&lt;=40),"MUY ALTO"))))</f>
        <v>BAJO</v>
      </c>
      <c r="AK174" s="33">
        <v>25</v>
      </c>
      <c r="AL174" s="33">
        <f t="shared" si="28"/>
        <v>50</v>
      </c>
      <c r="AM174" s="33" t="str">
        <f>IF(AND(AL174&gt;=0,AL174&lt;=120),"RIESGO ACEPTABLE",IF(AND(AL174&gt;=150,AL174&lt;=500),"RIESGO ALTO",IF(AND(AL174&gt;=600,AL174&lt;=4000),"RIESGO NO ACEPTABLE")))</f>
        <v>RIESGO ACEPTABLE</v>
      </c>
      <c r="AN174" s="33"/>
      <c r="AO174" s="34"/>
      <c r="AP174" s="34" t="s">
        <v>730</v>
      </c>
      <c r="AQ174" s="34" t="s">
        <v>731</v>
      </c>
      <c r="AR174" s="34"/>
      <c r="AS174" s="61" t="s">
        <v>729</v>
      </c>
    </row>
    <row r="175" spans="1:152" s="8" customFormat="1" ht="86.4" x14ac:dyDescent="0.25">
      <c r="A175" s="195"/>
      <c r="B175" s="198"/>
      <c r="C175" s="210"/>
      <c r="D175" s="211"/>
      <c r="E175" s="32" t="s">
        <v>87</v>
      </c>
      <c r="F175" s="152"/>
      <c r="G175" s="47" t="s">
        <v>681</v>
      </c>
      <c r="H175" s="34" t="s">
        <v>79</v>
      </c>
      <c r="I175" s="32" t="s">
        <v>80</v>
      </c>
      <c r="J175" s="47" t="s">
        <v>732</v>
      </c>
      <c r="K175" s="32" t="s">
        <v>104</v>
      </c>
      <c r="L175" s="68" t="s">
        <v>448</v>
      </c>
      <c r="M175" s="73" t="s">
        <v>332</v>
      </c>
      <c r="N175" s="73" t="s">
        <v>683</v>
      </c>
      <c r="O175" s="7" t="s">
        <v>85</v>
      </c>
      <c r="P175" s="70">
        <v>2</v>
      </c>
      <c r="Q175" s="41">
        <v>3</v>
      </c>
      <c r="R175" s="33">
        <f>P175*Q175</f>
        <v>6</v>
      </c>
      <c r="S175" s="33" t="str">
        <f t="shared" si="24"/>
        <v>MEDIO</v>
      </c>
      <c r="T175" s="33">
        <v>10</v>
      </c>
      <c r="U175" s="75">
        <f t="shared" si="25"/>
        <v>60</v>
      </c>
      <c r="V175" s="33" t="str">
        <f t="shared" si="26"/>
        <v>lll</v>
      </c>
      <c r="W175" s="74" t="str">
        <f t="shared" si="27"/>
        <v>SI</v>
      </c>
      <c r="X175" s="33">
        <v>8</v>
      </c>
      <c r="Y175" s="31" t="s">
        <v>86</v>
      </c>
      <c r="Z175" s="33" t="s">
        <v>87</v>
      </c>
      <c r="AA175" s="45"/>
      <c r="AB175" s="33"/>
      <c r="AC175" s="34"/>
      <c r="AD175" s="34" t="s">
        <v>733</v>
      </c>
      <c r="AE175" s="34" t="s">
        <v>93</v>
      </c>
      <c r="AF175" s="34" t="s">
        <v>734</v>
      </c>
      <c r="AG175" s="41">
        <v>2</v>
      </c>
      <c r="AH175" s="41">
        <v>3</v>
      </c>
      <c r="AI175" s="33">
        <f>AG175*AH175</f>
        <v>6</v>
      </c>
      <c r="AJ175" s="33" t="str">
        <f>IF(AND(AI175&gt;=0,AI175&lt;=4),"BAJO",IF(AND(AI175&gt;=6,AI175&lt;=8),"MEDIO",IF(AND(AI175&gt;=10,AI175&lt;=20),"ALTO",IF(AND(AI175&gt;=24,AI175&lt;=40),"MUY ALTO"))))</f>
        <v>MEDIO</v>
      </c>
      <c r="AK175" s="33">
        <v>10</v>
      </c>
      <c r="AL175" s="33">
        <f t="shared" si="28"/>
        <v>60</v>
      </c>
      <c r="AM175" s="33" t="str">
        <f>IF(AND(AL175&gt;=0,AL175&lt;=120),"RIESGO ACEPTABLE",IF(AND(AL175&gt;=150,AL175&lt;=500),"RIESGO ALTO",IF(AND(AL175&gt;=600,AL175&lt;=4000),"RIESGO NO ACEPTABLE")))</f>
        <v>RIESGO ACEPTABLE</v>
      </c>
      <c r="AN175" s="34"/>
      <c r="AO175" s="34"/>
      <c r="AP175" s="34"/>
      <c r="AQ175" s="34" t="s">
        <v>735</v>
      </c>
      <c r="AR175" s="34" t="s">
        <v>93</v>
      </c>
      <c r="AS175" s="61" t="s">
        <v>734</v>
      </c>
      <c r="EQ175" s="15"/>
      <c r="ER175" s="15"/>
      <c r="ES175" s="15"/>
      <c r="ET175" s="15"/>
      <c r="EU175" s="15"/>
      <c r="EV175" s="15"/>
    </row>
    <row r="176" spans="1:152" s="8" customFormat="1" ht="57.6" x14ac:dyDescent="0.25">
      <c r="A176" s="195"/>
      <c r="B176" s="198"/>
      <c r="C176" s="210"/>
      <c r="D176" s="211"/>
      <c r="E176" s="32" t="s">
        <v>87</v>
      </c>
      <c r="F176" s="152"/>
      <c r="G176" s="47" t="s">
        <v>681</v>
      </c>
      <c r="H176" s="34" t="s">
        <v>227</v>
      </c>
      <c r="I176" s="32" t="s">
        <v>158</v>
      </c>
      <c r="J176" s="32" t="s">
        <v>736</v>
      </c>
      <c r="K176" s="32" t="s">
        <v>104</v>
      </c>
      <c r="L176" s="68" t="s">
        <v>229</v>
      </c>
      <c r="M176" s="73" t="s">
        <v>332</v>
      </c>
      <c r="N176" s="73" t="s">
        <v>683</v>
      </c>
      <c r="O176" s="73" t="s">
        <v>343</v>
      </c>
      <c r="P176" s="70">
        <v>2</v>
      </c>
      <c r="Q176" s="41">
        <v>1</v>
      </c>
      <c r="R176" s="33">
        <f t="shared" si="23"/>
        <v>2</v>
      </c>
      <c r="S176" s="33" t="str">
        <f t="shared" si="24"/>
        <v>BAJO</v>
      </c>
      <c r="T176" s="33">
        <v>10</v>
      </c>
      <c r="U176" s="75">
        <f t="shared" si="25"/>
        <v>20</v>
      </c>
      <c r="V176" s="33" t="str">
        <f t="shared" si="26"/>
        <v xml:space="preserve">IV </v>
      </c>
      <c r="W176" s="74" t="s">
        <v>87</v>
      </c>
      <c r="X176" s="33">
        <v>8</v>
      </c>
      <c r="Y176" s="31" t="s">
        <v>163</v>
      </c>
      <c r="Z176" s="33" t="s">
        <v>87</v>
      </c>
      <c r="AA176" s="45"/>
      <c r="AB176" s="34"/>
      <c r="AC176" s="34" t="s">
        <v>737</v>
      </c>
      <c r="AD176" s="34" t="s">
        <v>738</v>
      </c>
      <c r="AE176" s="34"/>
      <c r="AF176" s="42" t="s">
        <v>182</v>
      </c>
      <c r="AG176" s="41">
        <v>2</v>
      </c>
      <c r="AH176" s="41">
        <v>1</v>
      </c>
      <c r="AI176" s="33">
        <f>AG176*AH176</f>
        <v>2</v>
      </c>
      <c r="AJ176" s="33" t="str">
        <f>IF(AND(AI176&gt;=0,AI176&lt;=4),"BAJO",IF(AND(AI176&gt;=6,AI176&lt;=8),"MEDIO",IF(AND(AI176&gt;=10,AI176&lt;=20),"ALTO",IF(AND(AI176&gt;=24,AI176&lt;=40),"MUY ALTO"))))</f>
        <v>BAJO</v>
      </c>
      <c r="AK176" s="33">
        <v>10</v>
      </c>
      <c r="AL176" s="33">
        <f t="shared" si="28"/>
        <v>20</v>
      </c>
      <c r="AM176" s="33" t="str">
        <f>IF(AND(AL176&gt;=0,AL176&lt;=120),"RIESGO ACEPTABLE",IF(AND(AL176&gt;=150,AL176&lt;=500),"RIESGO ALTO",IF(AND(AL176&gt;=600,AL176&lt;=4000),"RIESGO NO ACEPTABLE")))</f>
        <v>RIESGO ACEPTABLE</v>
      </c>
      <c r="AN176" s="33"/>
      <c r="AO176" s="34"/>
      <c r="AP176" s="34" t="s">
        <v>737</v>
      </c>
      <c r="AQ176" s="34" t="s">
        <v>738</v>
      </c>
      <c r="AR176" s="34"/>
      <c r="AS176" s="61" t="s">
        <v>739</v>
      </c>
    </row>
    <row r="177" spans="1:45" s="14" customFormat="1" ht="67.2" x14ac:dyDescent="0.25">
      <c r="A177" s="195"/>
      <c r="B177" s="198"/>
      <c r="C177" s="166" t="s">
        <v>740</v>
      </c>
      <c r="D177" s="196" t="s">
        <v>741</v>
      </c>
      <c r="E177" s="32" t="s">
        <v>496</v>
      </c>
      <c r="F177" s="152" t="s">
        <v>457</v>
      </c>
      <c r="G177" s="47" t="s">
        <v>742</v>
      </c>
      <c r="H177" s="34" t="s">
        <v>743</v>
      </c>
      <c r="I177" s="32" t="s">
        <v>744</v>
      </c>
      <c r="J177" s="47" t="s">
        <v>745</v>
      </c>
      <c r="K177" s="40" t="s">
        <v>248</v>
      </c>
      <c r="L177" s="68" t="s">
        <v>746</v>
      </c>
      <c r="M177" s="73" t="s">
        <v>332</v>
      </c>
      <c r="N177" s="73" t="s">
        <v>747</v>
      </c>
      <c r="O177" s="73" t="s">
        <v>748</v>
      </c>
      <c r="P177" s="70">
        <v>2</v>
      </c>
      <c r="Q177" s="41">
        <v>1</v>
      </c>
      <c r="R177" s="33">
        <f t="shared" si="23"/>
        <v>2</v>
      </c>
      <c r="S177" s="33" t="str">
        <f t="shared" si="24"/>
        <v>BAJO</v>
      </c>
      <c r="T177" s="33">
        <v>10</v>
      </c>
      <c r="U177" s="75">
        <f t="shared" si="25"/>
        <v>20</v>
      </c>
      <c r="V177" s="33" t="str">
        <f t="shared" si="26"/>
        <v xml:space="preserve">IV </v>
      </c>
      <c r="W177" s="74" t="s">
        <v>87</v>
      </c>
      <c r="X177" s="33">
        <v>8</v>
      </c>
      <c r="Y177" s="31" t="s">
        <v>749</v>
      </c>
      <c r="Z177" s="33" t="s">
        <v>87</v>
      </c>
      <c r="AA177" s="46"/>
      <c r="AB177" s="33"/>
      <c r="AC177" s="34"/>
      <c r="AD177" s="34" t="s">
        <v>750</v>
      </c>
      <c r="AE177" s="34"/>
      <c r="AF177" s="34" t="s">
        <v>729</v>
      </c>
      <c r="AG177" s="41">
        <v>2</v>
      </c>
      <c r="AH177" s="41">
        <v>1</v>
      </c>
      <c r="AI177" s="33">
        <f t="shared" si="29"/>
        <v>2</v>
      </c>
      <c r="AJ177" s="33" t="str">
        <f t="shared" si="30"/>
        <v>BAJO</v>
      </c>
      <c r="AK177" s="33">
        <v>60</v>
      </c>
      <c r="AL177" s="33">
        <f t="shared" si="28"/>
        <v>120</v>
      </c>
      <c r="AM177" s="33" t="str">
        <f t="shared" si="31"/>
        <v>RIESGO ACEPTABLE</v>
      </c>
      <c r="AN177" s="33"/>
      <c r="AO177" s="32"/>
      <c r="AP177" s="40"/>
      <c r="AQ177" s="34" t="s">
        <v>751</v>
      </c>
      <c r="AR177" s="34" t="s">
        <v>93</v>
      </c>
      <c r="AS177" s="61" t="s">
        <v>752</v>
      </c>
    </row>
    <row r="178" spans="1:45" s="14" customFormat="1" ht="38.4" x14ac:dyDescent="0.25">
      <c r="A178" s="195"/>
      <c r="B178" s="198"/>
      <c r="C178" s="166"/>
      <c r="D178" s="196"/>
      <c r="E178" s="32" t="s">
        <v>496</v>
      </c>
      <c r="F178" s="152"/>
      <c r="G178" s="47" t="s">
        <v>753</v>
      </c>
      <c r="H178" s="34" t="s">
        <v>191</v>
      </c>
      <c r="I178" s="34" t="s">
        <v>173</v>
      </c>
      <c r="J178" s="34" t="s">
        <v>754</v>
      </c>
      <c r="K178" s="34" t="s">
        <v>104</v>
      </c>
      <c r="L178" s="68" t="s">
        <v>193</v>
      </c>
      <c r="M178" s="78" t="s">
        <v>332</v>
      </c>
      <c r="N178" s="73" t="s">
        <v>747</v>
      </c>
      <c r="O178" s="78" t="s">
        <v>755</v>
      </c>
      <c r="P178" s="70">
        <v>2</v>
      </c>
      <c r="Q178" s="44">
        <v>1</v>
      </c>
      <c r="R178" s="33">
        <f t="shared" si="23"/>
        <v>2</v>
      </c>
      <c r="S178" s="33" t="str">
        <f t="shared" si="24"/>
        <v>BAJO</v>
      </c>
      <c r="T178" s="33">
        <v>10</v>
      </c>
      <c r="U178" s="75">
        <f t="shared" si="25"/>
        <v>20</v>
      </c>
      <c r="V178" s="33" t="str">
        <f t="shared" si="26"/>
        <v xml:space="preserve">IV </v>
      </c>
      <c r="W178" s="74" t="s">
        <v>87</v>
      </c>
      <c r="X178" s="33">
        <v>8</v>
      </c>
      <c r="Y178" s="31" t="s">
        <v>195</v>
      </c>
      <c r="Z178" s="33" t="s">
        <v>87</v>
      </c>
      <c r="AA178" s="45"/>
      <c r="AB178" s="32"/>
      <c r="AC178" s="42"/>
      <c r="AD178" s="34" t="s">
        <v>750</v>
      </c>
      <c r="AE178" s="42"/>
      <c r="AF178" s="34" t="s">
        <v>729</v>
      </c>
      <c r="AG178" s="44">
        <v>2</v>
      </c>
      <c r="AH178" s="44">
        <v>1</v>
      </c>
      <c r="AI178" s="33">
        <f t="shared" si="29"/>
        <v>2</v>
      </c>
      <c r="AJ178" s="33" t="str">
        <f t="shared" si="30"/>
        <v>BAJO</v>
      </c>
      <c r="AK178" s="33">
        <v>25</v>
      </c>
      <c r="AL178" s="33">
        <f t="shared" si="28"/>
        <v>50</v>
      </c>
      <c r="AM178" s="33" t="str">
        <f t="shared" si="31"/>
        <v>RIESGO ACEPTABLE</v>
      </c>
      <c r="AN178" s="33"/>
      <c r="AO178" s="32"/>
      <c r="AP178" s="42"/>
      <c r="AQ178" s="43" t="s">
        <v>756</v>
      </c>
      <c r="AR178" s="34" t="s">
        <v>93</v>
      </c>
      <c r="AS178" s="61" t="s">
        <v>752</v>
      </c>
    </row>
    <row r="179" spans="1:45" s="14" customFormat="1" ht="57.6" x14ac:dyDescent="0.25">
      <c r="A179" s="195"/>
      <c r="B179" s="198"/>
      <c r="C179" s="166"/>
      <c r="D179" s="196"/>
      <c r="E179" s="32" t="s">
        <v>496</v>
      </c>
      <c r="F179" s="152"/>
      <c r="G179" s="47" t="s">
        <v>742</v>
      </c>
      <c r="H179" s="34" t="s">
        <v>172</v>
      </c>
      <c r="I179" s="34" t="s">
        <v>173</v>
      </c>
      <c r="J179" s="34" t="s">
        <v>757</v>
      </c>
      <c r="K179" s="34" t="s">
        <v>104</v>
      </c>
      <c r="L179" s="68" t="s">
        <v>175</v>
      </c>
      <c r="M179" s="73" t="s">
        <v>332</v>
      </c>
      <c r="N179" s="73" t="s">
        <v>747</v>
      </c>
      <c r="O179" s="73" t="s">
        <v>177</v>
      </c>
      <c r="P179" s="70">
        <v>2</v>
      </c>
      <c r="Q179" s="44">
        <v>1</v>
      </c>
      <c r="R179" s="33">
        <f t="shared" si="23"/>
        <v>2</v>
      </c>
      <c r="S179" s="33" t="str">
        <f t="shared" si="24"/>
        <v>BAJO</v>
      </c>
      <c r="T179" s="33">
        <v>10</v>
      </c>
      <c r="U179" s="75">
        <f t="shared" si="25"/>
        <v>20</v>
      </c>
      <c r="V179" s="33" t="str">
        <f t="shared" si="26"/>
        <v xml:space="preserve">IV </v>
      </c>
      <c r="W179" s="74" t="s">
        <v>87</v>
      </c>
      <c r="X179" s="33">
        <v>8</v>
      </c>
      <c r="Y179" s="31" t="s">
        <v>178</v>
      </c>
      <c r="Z179" s="33" t="s">
        <v>87</v>
      </c>
      <c r="AA179" s="45"/>
      <c r="AB179" s="32"/>
      <c r="AC179" s="42"/>
      <c r="AD179" s="42" t="s">
        <v>758</v>
      </c>
      <c r="AE179" s="42" t="s">
        <v>759</v>
      </c>
      <c r="AF179" s="34" t="s">
        <v>729</v>
      </c>
      <c r="AG179" s="44">
        <v>6</v>
      </c>
      <c r="AH179" s="44">
        <v>1</v>
      </c>
      <c r="AI179" s="33">
        <f t="shared" si="29"/>
        <v>6</v>
      </c>
      <c r="AJ179" s="33" t="str">
        <f t="shared" si="30"/>
        <v>MEDIO</v>
      </c>
      <c r="AK179" s="33">
        <v>60</v>
      </c>
      <c r="AL179" s="33">
        <f t="shared" si="28"/>
        <v>360</v>
      </c>
      <c r="AM179" s="33" t="str">
        <f t="shared" si="31"/>
        <v>RIESGO ALTO</v>
      </c>
      <c r="AN179" s="33"/>
      <c r="AO179" s="32"/>
      <c r="AP179" s="42"/>
      <c r="AQ179" s="42" t="s">
        <v>758</v>
      </c>
      <c r="AR179" s="42" t="s">
        <v>759</v>
      </c>
      <c r="AS179" s="61" t="s">
        <v>752</v>
      </c>
    </row>
    <row r="180" spans="1:45" s="14" customFormat="1" ht="57.6" x14ac:dyDescent="0.25">
      <c r="A180" s="195"/>
      <c r="B180" s="198"/>
      <c r="C180" s="166"/>
      <c r="D180" s="196"/>
      <c r="E180" s="32" t="s">
        <v>496</v>
      </c>
      <c r="F180" s="152"/>
      <c r="G180" s="47" t="s">
        <v>742</v>
      </c>
      <c r="H180" s="34" t="s">
        <v>183</v>
      </c>
      <c r="I180" s="34" t="s">
        <v>173</v>
      </c>
      <c r="J180" s="34" t="s">
        <v>760</v>
      </c>
      <c r="K180" s="34" t="s">
        <v>104</v>
      </c>
      <c r="L180" s="68" t="s">
        <v>175</v>
      </c>
      <c r="M180" s="73" t="s">
        <v>332</v>
      </c>
      <c r="N180" s="73" t="s">
        <v>747</v>
      </c>
      <c r="O180" s="73" t="s">
        <v>761</v>
      </c>
      <c r="P180" s="70">
        <v>2</v>
      </c>
      <c r="Q180" s="41">
        <v>3</v>
      </c>
      <c r="R180" s="33">
        <f t="shared" si="23"/>
        <v>6</v>
      </c>
      <c r="S180" s="33" t="str">
        <f t="shared" si="24"/>
        <v>MEDIO</v>
      </c>
      <c r="T180" s="33">
        <v>10</v>
      </c>
      <c r="U180" s="75">
        <f t="shared" si="25"/>
        <v>60</v>
      </c>
      <c r="V180" s="33" t="str">
        <f t="shared" si="26"/>
        <v>lll</v>
      </c>
      <c r="W180" s="74" t="s">
        <v>87</v>
      </c>
      <c r="X180" s="33">
        <v>8</v>
      </c>
      <c r="Y180" s="31" t="s">
        <v>178</v>
      </c>
      <c r="Z180" s="33" t="s">
        <v>87</v>
      </c>
      <c r="AA180" s="45"/>
      <c r="AB180" s="32"/>
      <c r="AC180" s="42"/>
      <c r="AD180" s="42" t="s">
        <v>758</v>
      </c>
      <c r="AE180" s="42" t="s">
        <v>759</v>
      </c>
      <c r="AF180" s="34" t="s">
        <v>729</v>
      </c>
      <c r="AG180" s="44">
        <v>2</v>
      </c>
      <c r="AH180" s="44">
        <v>1</v>
      </c>
      <c r="AI180" s="33">
        <f t="shared" si="29"/>
        <v>2</v>
      </c>
      <c r="AJ180" s="33" t="str">
        <f t="shared" si="30"/>
        <v>BAJO</v>
      </c>
      <c r="AK180" s="33">
        <v>60</v>
      </c>
      <c r="AL180" s="33">
        <f t="shared" si="28"/>
        <v>120</v>
      </c>
      <c r="AM180" s="33" t="str">
        <f t="shared" si="31"/>
        <v>RIESGO ACEPTABLE</v>
      </c>
      <c r="AN180" s="33"/>
      <c r="AO180" s="32"/>
      <c r="AP180" s="42"/>
      <c r="AQ180" s="42" t="s">
        <v>758</v>
      </c>
      <c r="AR180" s="42" t="s">
        <v>759</v>
      </c>
      <c r="AS180" s="61" t="s">
        <v>752</v>
      </c>
    </row>
    <row r="181" spans="1:45" s="14" customFormat="1" ht="28.8" x14ac:dyDescent="0.25">
      <c r="A181" s="195"/>
      <c r="B181" s="198"/>
      <c r="C181" s="166"/>
      <c r="D181" s="196"/>
      <c r="E181" s="32" t="s">
        <v>496</v>
      </c>
      <c r="F181" s="152"/>
      <c r="G181" s="47" t="s">
        <v>742</v>
      </c>
      <c r="H181" s="34" t="s">
        <v>114</v>
      </c>
      <c r="I181" s="34" t="s">
        <v>115</v>
      </c>
      <c r="J181" s="34" t="s">
        <v>762</v>
      </c>
      <c r="K181" s="34" t="s">
        <v>104</v>
      </c>
      <c r="L181" s="68" t="s">
        <v>117</v>
      </c>
      <c r="M181" s="73" t="s">
        <v>332</v>
      </c>
      <c r="N181" s="73" t="s">
        <v>747</v>
      </c>
      <c r="O181" s="73" t="s">
        <v>264</v>
      </c>
      <c r="P181" s="70">
        <v>2</v>
      </c>
      <c r="Q181" s="44">
        <v>1</v>
      </c>
      <c r="R181" s="33">
        <f t="shared" si="23"/>
        <v>2</v>
      </c>
      <c r="S181" s="33" t="str">
        <f t="shared" si="24"/>
        <v>BAJO</v>
      </c>
      <c r="T181" s="33">
        <v>10</v>
      </c>
      <c r="U181" s="75">
        <f t="shared" si="25"/>
        <v>20</v>
      </c>
      <c r="V181" s="33" t="str">
        <f t="shared" si="26"/>
        <v xml:space="preserve">IV </v>
      </c>
      <c r="W181" s="74" t="s">
        <v>87</v>
      </c>
      <c r="X181" s="33">
        <v>8</v>
      </c>
      <c r="Y181" s="31" t="s">
        <v>119</v>
      </c>
      <c r="Z181" s="33" t="s">
        <v>87</v>
      </c>
      <c r="AA181" s="45"/>
      <c r="AB181" s="32"/>
      <c r="AC181" s="42"/>
      <c r="AD181" s="42" t="s">
        <v>763</v>
      </c>
      <c r="AE181" s="42"/>
      <c r="AF181" s="34" t="s">
        <v>764</v>
      </c>
      <c r="AG181" s="44">
        <v>6</v>
      </c>
      <c r="AH181" s="44">
        <v>1</v>
      </c>
      <c r="AI181" s="33">
        <f t="shared" si="29"/>
        <v>6</v>
      </c>
      <c r="AJ181" s="33" t="str">
        <f t="shared" si="30"/>
        <v>MEDIO</v>
      </c>
      <c r="AK181" s="33">
        <v>25</v>
      </c>
      <c r="AL181" s="33">
        <f t="shared" si="28"/>
        <v>150</v>
      </c>
      <c r="AM181" s="33" t="str">
        <f t="shared" si="31"/>
        <v>RIESGO ALTO</v>
      </c>
      <c r="AN181" s="33"/>
      <c r="AO181" s="32"/>
      <c r="AP181" s="42"/>
      <c r="AQ181" s="42" t="s">
        <v>765</v>
      </c>
      <c r="AR181" s="42"/>
      <c r="AS181" s="61" t="s">
        <v>764</v>
      </c>
    </row>
    <row r="182" spans="1:45" s="14" customFormat="1" ht="48" x14ac:dyDescent="0.25">
      <c r="A182" s="195"/>
      <c r="B182" s="198"/>
      <c r="C182" s="166"/>
      <c r="D182" s="196"/>
      <c r="E182" s="32" t="s">
        <v>496</v>
      </c>
      <c r="F182" s="152"/>
      <c r="G182" s="47" t="s">
        <v>742</v>
      </c>
      <c r="H182" s="34" t="s">
        <v>409</v>
      </c>
      <c r="I182" s="34" t="s">
        <v>115</v>
      </c>
      <c r="J182" s="34" t="s">
        <v>766</v>
      </c>
      <c r="K182" s="34" t="s">
        <v>104</v>
      </c>
      <c r="L182" s="68" t="s">
        <v>411</v>
      </c>
      <c r="M182" s="73" t="s">
        <v>332</v>
      </c>
      <c r="N182" s="73" t="s">
        <v>747</v>
      </c>
      <c r="O182" s="73" t="s">
        <v>443</v>
      </c>
      <c r="P182" s="70">
        <v>2</v>
      </c>
      <c r="Q182" s="44">
        <v>1</v>
      </c>
      <c r="R182" s="33">
        <f t="shared" si="23"/>
        <v>2</v>
      </c>
      <c r="S182" s="33" t="str">
        <f t="shared" si="24"/>
        <v>BAJO</v>
      </c>
      <c r="T182" s="33">
        <v>10</v>
      </c>
      <c r="U182" s="75">
        <f t="shared" si="25"/>
        <v>20</v>
      </c>
      <c r="V182" s="33" t="str">
        <f t="shared" si="26"/>
        <v xml:space="preserve">IV </v>
      </c>
      <c r="W182" s="74" t="s">
        <v>87</v>
      </c>
      <c r="X182" s="33">
        <v>8</v>
      </c>
      <c r="Y182" s="31" t="s">
        <v>413</v>
      </c>
      <c r="Z182" s="33" t="s">
        <v>87</v>
      </c>
      <c r="AA182" s="45"/>
      <c r="AB182" s="32"/>
      <c r="AC182" s="42" t="s">
        <v>767</v>
      </c>
      <c r="AD182" s="42" t="s">
        <v>768</v>
      </c>
      <c r="AE182" s="42" t="s">
        <v>769</v>
      </c>
      <c r="AF182" s="34" t="s">
        <v>729</v>
      </c>
      <c r="AG182" s="44">
        <v>6</v>
      </c>
      <c r="AH182" s="44">
        <v>1</v>
      </c>
      <c r="AI182" s="33">
        <f t="shared" si="29"/>
        <v>6</v>
      </c>
      <c r="AJ182" s="33" t="str">
        <f t="shared" si="30"/>
        <v>MEDIO</v>
      </c>
      <c r="AK182" s="33">
        <v>10</v>
      </c>
      <c r="AL182" s="33">
        <f t="shared" si="28"/>
        <v>60</v>
      </c>
      <c r="AM182" s="33" t="str">
        <f t="shared" si="31"/>
        <v>RIESGO ACEPTABLE</v>
      </c>
      <c r="AN182" s="33"/>
      <c r="AO182" s="32"/>
      <c r="AP182" s="42" t="s">
        <v>767</v>
      </c>
      <c r="AQ182" s="42" t="s">
        <v>768</v>
      </c>
      <c r="AR182" s="42" t="s">
        <v>769</v>
      </c>
      <c r="AS182" s="61" t="s">
        <v>752</v>
      </c>
    </row>
    <row r="183" spans="1:45" s="14" customFormat="1" ht="28.8" x14ac:dyDescent="0.25">
      <c r="A183" s="195"/>
      <c r="B183" s="198"/>
      <c r="C183" s="166"/>
      <c r="D183" s="196"/>
      <c r="E183" s="32" t="s">
        <v>496</v>
      </c>
      <c r="F183" s="152"/>
      <c r="G183" s="47" t="s">
        <v>742</v>
      </c>
      <c r="H183" s="34" t="s">
        <v>393</v>
      </c>
      <c r="I183" s="34" t="s">
        <v>115</v>
      </c>
      <c r="J183" s="34" t="s">
        <v>770</v>
      </c>
      <c r="K183" s="34" t="s">
        <v>104</v>
      </c>
      <c r="L183" s="68" t="s">
        <v>395</v>
      </c>
      <c r="M183" s="73" t="s">
        <v>332</v>
      </c>
      <c r="N183" s="73" t="s">
        <v>84</v>
      </c>
      <c r="O183" s="73" t="s">
        <v>396</v>
      </c>
      <c r="P183" s="71">
        <v>2</v>
      </c>
      <c r="Q183" s="44">
        <v>1</v>
      </c>
      <c r="R183" s="33">
        <f t="shared" si="23"/>
        <v>2</v>
      </c>
      <c r="S183" s="33" t="str">
        <f t="shared" si="24"/>
        <v>BAJO</v>
      </c>
      <c r="T183" s="33">
        <v>10</v>
      </c>
      <c r="U183" s="75">
        <f t="shared" si="25"/>
        <v>20</v>
      </c>
      <c r="V183" s="33" t="str">
        <f t="shared" si="26"/>
        <v xml:space="preserve">IV </v>
      </c>
      <c r="W183" s="74" t="s">
        <v>87</v>
      </c>
      <c r="X183" s="33">
        <v>8</v>
      </c>
      <c r="Y183" s="31" t="s">
        <v>397</v>
      </c>
      <c r="Z183" s="33" t="s">
        <v>87</v>
      </c>
      <c r="AA183" s="45"/>
      <c r="AB183" s="32"/>
      <c r="AC183" s="42"/>
      <c r="AD183" s="42" t="s">
        <v>771</v>
      </c>
      <c r="AE183" s="42"/>
      <c r="AF183" s="34" t="s">
        <v>729</v>
      </c>
      <c r="AG183" s="44">
        <v>2</v>
      </c>
      <c r="AH183" s="44">
        <v>1</v>
      </c>
      <c r="AI183" s="33">
        <f t="shared" si="29"/>
        <v>2</v>
      </c>
      <c r="AJ183" s="33" t="str">
        <f t="shared" si="30"/>
        <v>BAJO</v>
      </c>
      <c r="AK183" s="33">
        <v>25</v>
      </c>
      <c r="AL183" s="33">
        <f t="shared" si="28"/>
        <v>50</v>
      </c>
      <c r="AM183" s="33" t="str">
        <f t="shared" si="31"/>
        <v>RIESGO ACEPTABLE</v>
      </c>
      <c r="AN183" s="33"/>
      <c r="AO183" s="32"/>
      <c r="AP183" s="42"/>
      <c r="AQ183" s="42" t="s">
        <v>772</v>
      </c>
      <c r="AR183" s="42"/>
      <c r="AS183" s="61" t="s">
        <v>752</v>
      </c>
    </row>
    <row r="184" spans="1:45" s="14" customFormat="1" ht="67.2" x14ac:dyDescent="0.25">
      <c r="A184" s="195"/>
      <c r="B184" s="198"/>
      <c r="C184" s="166"/>
      <c r="D184" s="196"/>
      <c r="E184" s="32" t="s">
        <v>496</v>
      </c>
      <c r="F184" s="152"/>
      <c r="G184" s="47" t="s">
        <v>742</v>
      </c>
      <c r="H184" s="34" t="s">
        <v>205</v>
      </c>
      <c r="I184" s="34" t="s">
        <v>102</v>
      </c>
      <c r="J184" s="34" t="s">
        <v>773</v>
      </c>
      <c r="K184" s="34" t="s">
        <v>104</v>
      </c>
      <c r="L184" s="68" t="s">
        <v>207</v>
      </c>
      <c r="M184" s="73" t="s">
        <v>332</v>
      </c>
      <c r="N184" s="73" t="s">
        <v>106</v>
      </c>
      <c r="O184" s="73" t="s">
        <v>522</v>
      </c>
      <c r="P184" s="70">
        <v>2</v>
      </c>
      <c r="Q184" s="41">
        <v>3</v>
      </c>
      <c r="R184" s="33">
        <f t="shared" si="23"/>
        <v>6</v>
      </c>
      <c r="S184" s="33" t="str">
        <f t="shared" si="24"/>
        <v>MEDIO</v>
      </c>
      <c r="T184" s="33">
        <v>10</v>
      </c>
      <c r="U184" s="75">
        <f t="shared" si="25"/>
        <v>60</v>
      </c>
      <c r="V184" s="33" t="str">
        <f t="shared" si="26"/>
        <v>lll</v>
      </c>
      <c r="W184" s="74" t="s">
        <v>87</v>
      </c>
      <c r="X184" s="33">
        <v>8</v>
      </c>
      <c r="Y184" s="31" t="s">
        <v>209</v>
      </c>
      <c r="Z184" s="33" t="s">
        <v>87</v>
      </c>
      <c r="AA184" s="32" t="s">
        <v>774</v>
      </c>
      <c r="AB184" s="32"/>
      <c r="AC184" s="42"/>
      <c r="AD184" s="42" t="s">
        <v>775</v>
      </c>
      <c r="AE184" s="42" t="s">
        <v>776</v>
      </c>
      <c r="AF184" s="34" t="s">
        <v>729</v>
      </c>
      <c r="AG184" s="44">
        <v>6</v>
      </c>
      <c r="AH184" s="44">
        <v>1</v>
      </c>
      <c r="AI184" s="33">
        <f t="shared" si="29"/>
        <v>6</v>
      </c>
      <c r="AJ184" s="33" t="str">
        <f t="shared" si="30"/>
        <v>MEDIO</v>
      </c>
      <c r="AK184" s="33">
        <v>25</v>
      </c>
      <c r="AL184" s="33">
        <f t="shared" si="28"/>
        <v>150</v>
      </c>
      <c r="AM184" s="33" t="str">
        <f t="shared" si="31"/>
        <v>RIESGO ALTO</v>
      </c>
      <c r="AN184" s="33"/>
      <c r="AO184" s="32"/>
      <c r="AP184" s="42"/>
      <c r="AQ184" s="42" t="s">
        <v>775</v>
      </c>
      <c r="AR184" s="42" t="s">
        <v>776</v>
      </c>
      <c r="AS184" s="61" t="s">
        <v>752</v>
      </c>
    </row>
    <row r="185" spans="1:45" s="14" customFormat="1" ht="67.2" x14ac:dyDescent="0.25">
      <c r="A185" s="195"/>
      <c r="B185" s="198"/>
      <c r="C185" s="166"/>
      <c r="D185" s="196"/>
      <c r="E185" s="32" t="s">
        <v>496</v>
      </c>
      <c r="F185" s="152"/>
      <c r="G185" s="47" t="s">
        <v>742</v>
      </c>
      <c r="H185" s="34" t="s">
        <v>101</v>
      </c>
      <c r="I185" s="34" t="s">
        <v>102</v>
      </c>
      <c r="J185" s="34" t="s">
        <v>773</v>
      </c>
      <c r="K185" s="34" t="s">
        <v>104</v>
      </c>
      <c r="L185" s="68" t="s">
        <v>105</v>
      </c>
      <c r="M185" s="73" t="s">
        <v>332</v>
      </c>
      <c r="N185" s="73" t="s">
        <v>106</v>
      </c>
      <c r="O185" s="73" t="s">
        <v>522</v>
      </c>
      <c r="P185" s="70">
        <v>2</v>
      </c>
      <c r="Q185" s="84">
        <v>3</v>
      </c>
      <c r="R185" s="33">
        <f t="shared" si="23"/>
        <v>6</v>
      </c>
      <c r="S185" s="33" t="str">
        <f t="shared" si="24"/>
        <v>MEDIO</v>
      </c>
      <c r="T185" s="33">
        <v>10</v>
      </c>
      <c r="U185" s="75">
        <f t="shared" si="25"/>
        <v>60</v>
      </c>
      <c r="V185" s="33" t="str">
        <f t="shared" si="26"/>
        <v>lll</v>
      </c>
      <c r="W185" s="74" t="s">
        <v>87</v>
      </c>
      <c r="X185" s="33">
        <v>8</v>
      </c>
      <c r="Y185" s="31" t="s">
        <v>108</v>
      </c>
      <c r="Z185" s="33" t="s">
        <v>87</v>
      </c>
      <c r="AA185" s="45"/>
      <c r="AB185" s="32"/>
      <c r="AC185" s="42"/>
      <c r="AD185" s="42" t="s">
        <v>777</v>
      </c>
      <c r="AE185" s="42" t="s">
        <v>776</v>
      </c>
      <c r="AF185" s="34" t="s">
        <v>729</v>
      </c>
      <c r="AG185" s="44">
        <v>6</v>
      </c>
      <c r="AH185" s="44">
        <v>1</v>
      </c>
      <c r="AI185" s="33">
        <f t="shared" si="29"/>
        <v>6</v>
      </c>
      <c r="AJ185" s="33" t="str">
        <f t="shared" si="30"/>
        <v>MEDIO</v>
      </c>
      <c r="AK185" s="33">
        <v>60</v>
      </c>
      <c r="AL185" s="33">
        <f t="shared" si="28"/>
        <v>360</v>
      </c>
      <c r="AM185" s="33" t="str">
        <f t="shared" si="31"/>
        <v>RIESGO ALTO</v>
      </c>
      <c r="AN185" s="33"/>
      <c r="AO185" s="32"/>
      <c r="AP185" s="34"/>
      <c r="AQ185" s="42" t="s">
        <v>777</v>
      </c>
      <c r="AR185" s="42" t="s">
        <v>776</v>
      </c>
      <c r="AS185" s="61" t="s">
        <v>752</v>
      </c>
    </row>
    <row r="186" spans="1:45" s="14" customFormat="1" ht="48" x14ac:dyDescent="0.25">
      <c r="A186" s="195"/>
      <c r="B186" s="198"/>
      <c r="C186" s="166"/>
      <c r="D186" s="196"/>
      <c r="E186" s="32" t="s">
        <v>496</v>
      </c>
      <c r="F186" s="152"/>
      <c r="G186" s="47" t="s">
        <v>753</v>
      </c>
      <c r="H186" s="34" t="s">
        <v>778</v>
      </c>
      <c r="I186" s="34" t="s">
        <v>139</v>
      </c>
      <c r="J186" s="34" t="s">
        <v>779</v>
      </c>
      <c r="K186" s="34" t="s">
        <v>104</v>
      </c>
      <c r="L186" s="68" t="s">
        <v>151</v>
      </c>
      <c r="M186" s="73" t="s">
        <v>332</v>
      </c>
      <c r="N186" s="73" t="s">
        <v>747</v>
      </c>
      <c r="O186" s="73" t="s">
        <v>780</v>
      </c>
      <c r="P186" s="82">
        <v>2</v>
      </c>
      <c r="Q186" s="86">
        <v>3</v>
      </c>
      <c r="R186" s="83">
        <f t="shared" si="23"/>
        <v>6</v>
      </c>
      <c r="S186" s="33" t="str">
        <f t="shared" si="24"/>
        <v>MEDIO</v>
      </c>
      <c r="T186" s="33">
        <v>10</v>
      </c>
      <c r="U186" s="75">
        <f t="shared" si="25"/>
        <v>60</v>
      </c>
      <c r="V186" s="33" t="str">
        <f t="shared" si="26"/>
        <v>lll</v>
      </c>
      <c r="W186" s="74" t="s">
        <v>87</v>
      </c>
      <c r="X186" s="33">
        <v>8</v>
      </c>
      <c r="Y186" s="31" t="s">
        <v>781</v>
      </c>
      <c r="Z186" s="33" t="s">
        <v>87</v>
      </c>
      <c r="AA186" s="45"/>
      <c r="AB186" s="32"/>
      <c r="AC186" s="42"/>
      <c r="AD186" s="42" t="s">
        <v>782</v>
      </c>
      <c r="AE186" s="34"/>
      <c r="AF186" s="34" t="s">
        <v>729</v>
      </c>
      <c r="AG186" s="44">
        <v>2</v>
      </c>
      <c r="AH186" s="44">
        <v>1</v>
      </c>
      <c r="AI186" s="33">
        <f t="shared" si="29"/>
        <v>2</v>
      </c>
      <c r="AJ186" s="33" t="str">
        <f t="shared" si="30"/>
        <v>BAJO</v>
      </c>
      <c r="AK186" s="33">
        <v>25</v>
      </c>
      <c r="AL186" s="33">
        <f t="shared" si="28"/>
        <v>50</v>
      </c>
      <c r="AM186" s="33" t="str">
        <f t="shared" si="31"/>
        <v>RIESGO ACEPTABLE</v>
      </c>
      <c r="AN186" s="33"/>
      <c r="AO186" s="32"/>
      <c r="AP186" s="42"/>
      <c r="AQ186" s="42" t="s">
        <v>782</v>
      </c>
      <c r="AR186" s="34"/>
      <c r="AS186" s="61" t="s">
        <v>752</v>
      </c>
    </row>
    <row r="187" spans="1:45" s="14" customFormat="1" ht="76.8" x14ac:dyDescent="0.25">
      <c r="A187" s="195"/>
      <c r="B187" s="198"/>
      <c r="C187" s="166"/>
      <c r="D187" s="196"/>
      <c r="E187" s="32" t="s">
        <v>496</v>
      </c>
      <c r="F187" s="152"/>
      <c r="G187" s="47" t="s">
        <v>753</v>
      </c>
      <c r="H187" s="34" t="s">
        <v>227</v>
      </c>
      <c r="I187" s="32" t="s">
        <v>158</v>
      </c>
      <c r="J187" s="32" t="s">
        <v>615</v>
      </c>
      <c r="K187" s="32" t="s">
        <v>104</v>
      </c>
      <c r="L187" s="68" t="s">
        <v>229</v>
      </c>
      <c r="M187" s="73" t="s">
        <v>332</v>
      </c>
      <c r="N187" s="73" t="s">
        <v>747</v>
      </c>
      <c r="O187" s="73" t="s">
        <v>503</v>
      </c>
      <c r="P187" s="70">
        <v>2</v>
      </c>
      <c r="Q187" s="85">
        <v>1</v>
      </c>
      <c r="R187" s="33">
        <f t="shared" si="23"/>
        <v>2</v>
      </c>
      <c r="S187" s="33" t="str">
        <f t="shared" si="24"/>
        <v>BAJO</v>
      </c>
      <c r="T187" s="33">
        <v>10</v>
      </c>
      <c r="U187" s="75">
        <f t="shared" si="25"/>
        <v>20</v>
      </c>
      <c r="V187" s="33" t="str">
        <f t="shared" si="26"/>
        <v xml:space="preserve">IV </v>
      </c>
      <c r="W187" s="74" t="s">
        <v>87</v>
      </c>
      <c r="X187" s="33">
        <v>8</v>
      </c>
      <c r="Y187" s="31" t="s">
        <v>163</v>
      </c>
      <c r="Z187" s="33" t="s">
        <v>87</v>
      </c>
      <c r="AA187" s="45"/>
      <c r="AB187" s="32"/>
      <c r="AC187" s="40"/>
      <c r="AD187" s="34" t="s">
        <v>783</v>
      </c>
      <c r="AE187" s="34"/>
      <c r="AF187" s="34" t="s">
        <v>729</v>
      </c>
      <c r="AG187" s="44">
        <v>2</v>
      </c>
      <c r="AH187" s="44">
        <v>1</v>
      </c>
      <c r="AI187" s="33">
        <f t="shared" si="29"/>
        <v>2</v>
      </c>
      <c r="AJ187" s="33" t="str">
        <f t="shared" si="30"/>
        <v>BAJO</v>
      </c>
      <c r="AK187" s="33">
        <v>25</v>
      </c>
      <c r="AL187" s="33">
        <f t="shared" si="28"/>
        <v>50</v>
      </c>
      <c r="AM187" s="33" t="str">
        <f t="shared" si="31"/>
        <v>RIESGO ACEPTABLE</v>
      </c>
      <c r="AN187" s="33"/>
      <c r="AO187" s="32"/>
      <c r="AP187" s="40"/>
      <c r="AQ187" s="34" t="s">
        <v>783</v>
      </c>
      <c r="AR187" s="34"/>
      <c r="AS187" s="61" t="s">
        <v>752</v>
      </c>
    </row>
    <row r="188" spans="1:45" s="14" customFormat="1" ht="76.8" x14ac:dyDescent="0.25">
      <c r="A188" s="195"/>
      <c r="B188" s="198"/>
      <c r="C188" s="166"/>
      <c r="D188" s="196"/>
      <c r="E188" s="32" t="s">
        <v>496</v>
      </c>
      <c r="F188" s="152"/>
      <c r="G188" s="47" t="s">
        <v>753</v>
      </c>
      <c r="H188" s="34" t="s">
        <v>157</v>
      </c>
      <c r="I188" s="32" t="s">
        <v>158</v>
      </c>
      <c r="J188" s="34" t="s">
        <v>677</v>
      </c>
      <c r="K188" s="32" t="s">
        <v>104</v>
      </c>
      <c r="L188" s="68" t="s">
        <v>160</v>
      </c>
      <c r="M188" s="73" t="s">
        <v>332</v>
      </c>
      <c r="N188" s="73" t="s">
        <v>747</v>
      </c>
      <c r="O188" s="73" t="s">
        <v>503</v>
      </c>
      <c r="P188" s="70">
        <v>2</v>
      </c>
      <c r="Q188" s="41">
        <v>3</v>
      </c>
      <c r="R188" s="33">
        <f t="shared" si="23"/>
        <v>6</v>
      </c>
      <c r="S188" s="33" t="str">
        <f t="shared" si="24"/>
        <v>MEDIO</v>
      </c>
      <c r="T188" s="33">
        <v>10</v>
      </c>
      <c r="U188" s="75">
        <f t="shared" si="25"/>
        <v>60</v>
      </c>
      <c r="V188" s="33" t="str">
        <f t="shared" si="26"/>
        <v>lll</v>
      </c>
      <c r="W188" s="74" t="s">
        <v>87</v>
      </c>
      <c r="X188" s="33">
        <v>8</v>
      </c>
      <c r="Y188" s="31" t="s">
        <v>163</v>
      </c>
      <c r="Z188" s="33" t="s">
        <v>87</v>
      </c>
      <c r="AA188" s="45"/>
      <c r="AB188" s="32"/>
      <c r="AC188" s="34"/>
      <c r="AD188" s="34" t="s">
        <v>783</v>
      </c>
      <c r="AE188" s="34"/>
      <c r="AF188" s="34" t="s">
        <v>729</v>
      </c>
      <c r="AG188" s="44">
        <v>6</v>
      </c>
      <c r="AH188" s="44">
        <v>1</v>
      </c>
      <c r="AI188" s="33">
        <f t="shared" si="29"/>
        <v>6</v>
      </c>
      <c r="AJ188" s="33" t="str">
        <f t="shared" si="30"/>
        <v>MEDIO</v>
      </c>
      <c r="AK188" s="33">
        <v>25</v>
      </c>
      <c r="AL188" s="33">
        <f t="shared" si="28"/>
        <v>150</v>
      </c>
      <c r="AM188" s="33" t="str">
        <f t="shared" si="31"/>
        <v>RIESGO ALTO</v>
      </c>
      <c r="AN188" s="33"/>
      <c r="AO188" s="32"/>
      <c r="AP188" s="34"/>
      <c r="AQ188" s="34" t="s">
        <v>783</v>
      </c>
      <c r="AR188" s="34"/>
      <c r="AS188" s="61" t="s">
        <v>752</v>
      </c>
    </row>
    <row r="189" spans="1:45" s="14" customFormat="1" ht="48" x14ac:dyDescent="0.25">
      <c r="A189" s="195"/>
      <c r="B189" s="198"/>
      <c r="C189" s="166"/>
      <c r="D189" s="196"/>
      <c r="E189" s="32" t="s">
        <v>496</v>
      </c>
      <c r="F189" s="152"/>
      <c r="G189" s="47" t="s">
        <v>742</v>
      </c>
      <c r="H189" s="34" t="s">
        <v>290</v>
      </c>
      <c r="I189" s="34" t="s">
        <v>291</v>
      </c>
      <c r="J189" s="34" t="s">
        <v>784</v>
      </c>
      <c r="K189" s="32" t="s">
        <v>104</v>
      </c>
      <c r="L189" s="68" t="s">
        <v>293</v>
      </c>
      <c r="M189" s="73" t="s">
        <v>332</v>
      </c>
      <c r="N189" s="73" t="s">
        <v>747</v>
      </c>
      <c r="O189" s="73" t="s">
        <v>294</v>
      </c>
      <c r="P189" s="70">
        <v>2</v>
      </c>
      <c r="Q189" s="44">
        <v>1</v>
      </c>
      <c r="R189" s="33">
        <f t="shared" si="23"/>
        <v>2</v>
      </c>
      <c r="S189" s="33" t="str">
        <f t="shared" si="24"/>
        <v>BAJO</v>
      </c>
      <c r="T189" s="33">
        <v>10</v>
      </c>
      <c r="U189" s="75">
        <f t="shared" si="25"/>
        <v>20</v>
      </c>
      <c r="V189" s="33" t="str">
        <f t="shared" si="26"/>
        <v xml:space="preserve">IV </v>
      </c>
      <c r="W189" s="74" t="s">
        <v>87</v>
      </c>
      <c r="X189" s="33">
        <v>8</v>
      </c>
      <c r="Y189" s="31" t="s">
        <v>295</v>
      </c>
      <c r="Z189" s="33" t="s">
        <v>87</v>
      </c>
      <c r="AA189" s="45"/>
      <c r="AB189" s="32"/>
      <c r="AC189" s="34" t="s">
        <v>785</v>
      </c>
      <c r="AD189" s="42" t="s">
        <v>786</v>
      </c>
      <c r="AE189" s="34"/>
      <c r="AF189" s="34"/>
      <c r="AG189" s="44">
        <v>2</v>
      </c>
      <c r="AH189" s="44">
        <v>1</v>
      </c>
      <c r="AI189" s="33">
        <f t="shared" si="29"/>
        <v>2</v>
      </c>
      <c r="AJ189" s="33" t="str">
        <f t="shared" si="30"/>
        <v>BAJO</v>
      </c>
      <c r="AK189" s="33">
        <v>60</v>
      </c>
      <c r="AL189" s="33">
        <f t="shared" si="28"/>
        <v>120</v>
      </c>
      <c r="AM189" s="33" t="str">
        <f t="shared" si="31"/>
        <v>RIESGO ACEPTABLE</v>
      </c>
      <c r="AN189" s="33"/>
      <c r="AO189" s="32"/>
      <c r="AP189" s="34" t="s">
        <v>785</v>
      </c>
      <c r="AQ189" s="42" t="s">
        <v>786</v>
      </c>
      <c r="AR189" s="42"/>
      <c r="AS189" s="61" t="s">
        <v>752</v>
      </c>
    </row>
    <row r="190" spans="1:45" s="14" customFormat="1" ht="38.4" x14ac:dyDescent="0.25">
      <c r="A190" s="195"/>
      <c r="B190" s="198"/>
      <c r="C190" s="166" t="s">
        <v>787</v>
      </c>
      <c r="D190" s="188" t="s">
        <v>788</v>
      </c>
      <c r="E190" s="32" t="s">
        <v>496</v>
      </c>
      <c r="F190" s="152" t="s">
        <v>789</v>
      </c>
      <c r="G190" s="47" t="s">
        <v>790</v>
      </c>
      <c r="H190" s="34" t="s">
        <v>227</v>
      </c>
      <c r="I190" s="32" t="s">
        <v>158</v>
      </c>
      <c r="J190" s="32" t="s">
        <v>615</v>
      </c>
      <c r="K190" s="32" t="s">
        <v>104</v>
      </c>
      <c r="L190" s="68" t="s">
        <v>229</v>
      </c>
      <c r="M190" s="73" t="s">
        <v>332</v>
      </c>
      <c r="N190" s="73" t="s">
        <v>84</v>
      </c>
      <c r="O190" s="73" t="s">
        <v>503</v>
      </c>
      <c r="P190" s="70">
        <v>2</v>
      </c>
      <c r="Q190" s="44">
        <v>2</v>
      </c>
      <c r="R190" s="33">
        <f t="shared" si="23"/>
        <v>4</v>
      </c>
      <c r="S190" s="33" t="str">
        <f t="shared" si="24"/>
        <v>BAJO</v>
      </c>
      <c r="T190" s="33">
        <v>10</v>
      </c>
      <c r="U190" s="75">
        <f t="shared" si="25"/>
        <v>40</v>
      </c>
      <c r="V190" s="33" t="str">
        <f t="shared" si="26"/>
        <v>lll</v>
      </c>
      <c r="W190" s="74" t="s">
        <v>87</v>
      </c>
      <c r="X190" s="33">
        <v>8</v>
      </c>
      <c r="Y190" s="31" t="s">
        <v>163</v>
      </c>
      <c r="Z190" s="33" t="s">
        <v>87</v>
      </c>
      <c r="AA190" s="45"/>
      <c r="AB190" s="32"/>
      <c r="AC190" s="42"/>
      <c r="AD190" s="34" t="s">
        <v>791</v>
      </c>
      <c r="AE190" s="34" t="s">
        <v>792</v>
      </c>
      <c r="AF190" s="34" t="s">
        <v>793</v>
      </c>
      <c r="AG190" s="44">
        <v>2</v>
      </c>
      <c r="AH190" s="44">
        <v>2</v>
      </c>
      <c r="AI190" s="33">
        <f t="shared" si="29"/>
        <v>4</v>
      </c>
      <c r="AJ190" s="33" t="str">
        <f t="shared" si="30"/>
        <v>BAJO</v>
      </c>
      <c r="AK190" s="33">
        <v>25</v>
      </c>
      <c r="AL190" s="33">
        <f t="shared" si="28"/>
        <v>100</v>
      </c>
      <c r="AM190" s="33" t="str">
        <f t="shared" si="31"/>
        <v>RIESGO ACEPTABLE</v>
      </c>
      <c r="AN190" s="33"/>
      <c r="AO190" s="32"/>
      <c r="AP190" s="40" t="s">
        <v>232</v>
      </c>
      <c r="AQ190" s="34" t="s">
        <v>233</v>
      </c>
      <c r="AR190" s="34" t="s">
        <v>234</v>
      </c>
      <c r="AS190" s="61" t="s">
        <v>235</v>
      </c>
    </row>
    <row r="191" spans="1:45" s="14" customFormat="1" ht="48" x14ac:dyDescent="0.25">
      <c r="A191" s="195"/>
      <c r="B191" s="198"/>
      <c r="C191" s="166"/>
      <c r="D191" s="188"/>
      <c r="E191" s="32" t="s">
        <v>496</v>
      </c>
      <c r="F191" s="152"/>
      <c r="G191" s="47" t="s">
        <v>790</v>
      </c>
      <c r="H191" s="34" t="s">
        <v>138</v>
      </c>
      <c r="I191" s="34" t="s">
        <v>139</v>
      </c>
      <c r="J191" s="34" t="s">
        <v>794</v>
      </c>
      <c r="K191" s="34" t="s">
        <v>104</v>
      </c>
      <c r="L191" s="68" t="s">
        <v>151</v>
      </c>
      <c r="M191" s="73" t="s">
        <v>332</v>
      </c>
      <c r="N191" s="73" t="s">
        <v>84</v>
      </c>
      <c r="O191" s="73" t="s">
        <v>142</v>
      </c>
      <c r="P191" s="70">
        <v>2</v>
      </c>
      <c r="Q191" s="41">
        <v>2</v>
      </c>
      <c r="R191" s="33">
        <f t="shared" si="23"/>
        <v>4</v>
      </c>
      <c r="S191" s="33" t="str">
        <f t="shared" si="24"/>
        <v>BAJO</v>
      </c>
      <c r="T191" s="33">
        <v>10</v>
      </c>
      <c r="U191" s="75">
        <f t="shared" si="25"/>
        <v>40</v>
      </c>
      <c r="V191" s="33" t="str">
        <f t="shared" si="26"/>
        <v>lll</v>
      </c>
      <c r="W191" s="74" t="str">
        <f t="shared" si="27"/>
        <v>SI</v>
      </c>
      <c r="X191" s="33">
        <v>8</v>
      </c>
      <c r="Y191" s="31" t="s">
        <v>143</v>
      </c>
      <c r="Z191" s="33" t="s">
        <v>87</v>
      </c>
      <c r="AA191" s="45"/>
      <c r="AB191" s="32"/>
      <c r="AC191" s="34"/>
      <c r="AD191" s="34" t="s">
        <v>795</v>
      </c>
      <c r="AE191" s="34" t="s">
        <v>495</v>
      </c>
      <c r="AF191" s="34" t="s">
        <v>146</v>
      </c>
      <c r="AG191" s="44">
        <v>2</v>
      </c>
      <c r="AH191" s="44">
        <v>2</v>
      </c>
      <c r="AI191" s="33">
        <f t="shared" si="29"/>
        <v>4</v>
      </c>
      <c r="AJ191" s="33" t="str">
        <f t="shared" si="30"/>
        <v>BAJO</v>
      </c>
      <c r="AK191" s="33">
        <v>10</v>
      </c>
      <c r="AL191" s="33">
        <f t="shared" si="28"/>
        <v>40</v>
      </c>
      <c r="AM191" s="33" t="str">
        <f t="shared" si="31"/>
        <v>RIESGO ACEPTABLE</v>
      </c>
      <c r="AN191" s="33"/>
      <c r="AO191" s="32"/>
      <c r="AP191" s="34"/>
      <c r="AQ191" s="34" t="s">
        <v>796</v>
      </c>
      <c r="AR191" s="34"/>
      <c r="AS191" s="61" t="s">
        <v>797</v>
      </c>
    </row>
    <row r="192" spans="1:45" s="14" customFormat="1" ht="38.4" x14ac:dyDescent="0.25">
      <c r="A192" s="195"/>
      <c r="B192" s="198"/>
      <c r="C192" s="166"/>
      <c r="D192" s="188"/>
      <c r="E192" s="32" t="s">
        <v>496</v>
      </c>
      <c r="F192" s="152"/>
      <c r="G192" s="47" t="s">
        <v>790</v>
      </c>
      <c r="H192" s="34" t="s">
        <v>393</v>
      </c>
      <c r="I192" s="32" t="s">
        <v>115</v>
      </c>
      <c r="J192" s="34" t="s">
        <v>798</v>
      </c>
      <c r="K192" s="34" t="s">
        <v>104</v>
      </c>
      <c r="L192" s="68" t="s">
        <v>395</v>
      </c>
      <c r="M192" s="73" t="s">
        <v>332</v>
      </c>
      <c r="N192" s="73" t="s">
        <v>332</v>
      </c>
      <c r="O192" s="73" t="s">
        <v>396</v>
      </c>
      <c r="P192" s="71">
        <v>2</v>
      </c>
      <c r="Q192" s="44">
        <v>1</v>
      </c>
      <c r="R192" s="33">
        <f t="shared" si="23"/>
        <v>2</v>
      </c>
      <c r="S192" s="33" t="str">
        <f t="shared" si="24"/>
        <v>BAJO</v>
      </c>
      <c r="T192" s="33">
        <v>10</v>
      </c>
      <c r="U192" s="75">
        <f t="shared" si="25"/>
        <v>20</v>
      </c>
      <c r="V192" s="33" t="str">
        <f t="shared" si="26"/>
        <v xml:space="preserve">IV </v>
      </c>
      <c r="W192" s="74" t="b">
        <f t="shared" si="27"/>
        <v>0</v>
      </c>
      <c r="X192" s="33">
        <v>8</v>
      </c>
      <c r="Y192" s="31" t="s">
        <v>397</v>
      </c>
      <c r="Z192" s="33" t="s">
        <v>87</v>
      </c>
      <c r="AA192" s="45"/>
      <c r="AB192" s="32"/>
      <c r="AC192" s="42" t="s">
        <v>799</v>
      </c>
      <c r="AD192" s="34" t="s">
        <v>800</v>
      </c>
      <c r="AE192" s="34"/>
      <c r="AF192" s="34" t="s">
        <v>434</v>
      </c>
      <c r="AG192" s="44">
        <v>2</v>
      </c>
      <c r="AH192" s="44">
        <v>2</v>
      </c>
      <c r="AI192" s="33">
        <f t="shared" si="29"/>
        <v>4</v>
      </c>
      <c r="AJ192" s="33" t="str">
        <f t="shared" si="30"/>
        <v>BAJO</v>
      </c>
      <c r="AK192" s="33">
        <v>25</v>
      </c>
      <c r="AL192" s="33">
        <f t="shared" si="28"/>
        <v>100</v>
      </c>
      <c r="AM192" s="33" t="str">
        <f t="shared" si="31"/>
        <v>RIESGO ACEPTABLE</v>
      </c>
      <c r="AN192" s="33"/>
      <c r="AO192" s="32"/>
      <c r="AP192" s="42" t="s">
        <v>695</v>
      </c>
      <c r="AQ192" s="42" t="s">
        <v>696</v>
      </c>
      <c r="AR192" s="34"/>
      <c r="AS192" s="61" t="s">
        <v>697</v>
      </c>
    </row>
    <row r="193" spans="1:152" s="14" customFormat="1" ht="38.4" x14ac:dyDescent="0.25">
      <c r="A193" s="195"/>
      <c r="B193" s="198"/>
      <c r="C193" s="166"/>
      <c r="D193" s="188"/>
      <c r="E193" s="32" t="s">
        <v>496</v>
      </c>
      <c r="F193" s="152"/>
      <c r="G193" s="47" t="s">
        <v>790</v>
      </c>
      <c r="H193" s="34" t="s">
        <v>409</v>
      </c>
      <c r="I193" s="32" t="s">
        <v>115</v>
      </c>
      <c r="J193" s="34" t="s">
        <v>801</v>
      </c>
      <c r="K193" s="34" t="s">
        <v>104</v>
      </c>
      <c r="L193" s="68" t="s">
        <v>411</v>
      </c>
      <c r="M193" s="73" t="s">
        <v>332</v>
      </c>
      <c r="N193" s="73" t="s">
        <v>802</v>
      </c>
      <c r="O193" s="73" t="s">
        <v>443</v>
      </c>
      <c r="P193" s="70">
        <v>2</v>
      </c>
      <c r="Q193" s="44">
        <v>2</v>
      </c>
      <c r="R193" s="33">
        <f t="shared" si="23"/>
        <v>4</v>
      </c>
      <c r="S193" s="33" t="str">
        <f t="shared" si="24"/>
        <v>BAJO</v>
      </c>
      <c r="T193" s="33">
        <v>10</v>
      </c>
      <c r="U193" s="75">
        <f t="shared" si="25"/>
        <v>40</v>
      </c>
      <c r="V193" s="33" t="str">
        <f t="shared" si="26"/>
        <v>lll</v>
      </c>
      <c r="W193" s="74" t="str">
        <f t="shared" si="27"/>
        <v>SI</v>
      </c>
      <c r="X193" s="33">
        <v>8</v>
      </c>
      <c r="Y193" s="31" t="s">
        <v>413</v>
      </c>
      <c r="Z193" s="33" t="s">
        <v>87</v>
      </c>
      <c r="AA193" s="45"/>
      <c r="AB193" s="32"/>
      <c r="AC193" s="40" t="s">
        <v>803</v>
      </c>
      <c r="AD193" s="34" t="s">
        <v>804</v>
      </c>
      <c r="AE193" s="34"/>
      <c r="AF193" s="34"/>
      <c r="AG193" s="44">
        <v>2</v>
      </c>
      <c r="AH193" s="44">
        <v>2</v>
      </c>
      <c r="AI193" s="33">
        <f t="shared" si="29"/>
        <v>4</v>
      </c>
      <c r="AJ193" s="33" t="str">
        <f t="shared" si="30"/>
        <v>BAJO</v>
      </c>
      <c r="AK193" s="33">
        <v>10</v>
      </c>
      <c r="AL193" s="33">
        <f t="shared" si="28"/>
        <v>40</v>
      </c>
      <c r="AM193" s="33" t="str">
        <f t="shared" si="31"/>
        <v>RIESGO ACEPTABLE</v>
      </c>
      <c r="AN193" s="33"/>
      <c r="AO193" s="32"/>
      <c r="AP193" s="40" t="s">
        <v>803</v>
      </c>
      <c r="AQ193" s="34" t="s">
        <v>804</v>
      </c>
      <c r="AR193" s="34"/>
      <c r="AS193" s="61"/>
    </row>
    <row r="194" spans="1:152" s="14" customFormat="1" ht="48" x14ac:dyDescent="0.25">
      <c r="A194" s="195"/>
      <c r="B194" s="198"/>
      <c r="C194" s="166"/>
      <c r="D194" s="188"/>
      <c r="E194" s="32" t="s">
        <v>496</v>
      </c>
      <c r="F194" s="152"/>
      <c r="G194" s="47" t="s">
        <v>790</v>
      </c>
      <c r="H194" s="34" t="s">
        <v>290</v>
      </c>
      <c r="I194" s="34" t="s">
        <v>291</v>
      </c>
      <c r="J194" s="34" t="s">
        <v>784</v>
      </c>
      <c r="K194" s="32" t="s">
        <v>104</v>
      </c>
      <c r="L194" s="68" t="s">
        <v>293</v>
      </c>
      <c r="M194" s="73" t="s">
        <v>332</v>
      </c>
      <c r="N194" s="73" t="s">
        <v>747</v>
      </c>
      <c r="O194" s="73" t="s">
        <v>748</v>
      </c>
      <c r="P194" s="70">
        <v>2</v>
      </c>
      <c r="Q194" s="44">
        <v>2</v>
      </c>
      <c r="R194" s="33">
        <f t="shared" si="23"/>
        <v>4</v>
      </c>
      <c r="S194" s="33" t="str">
        <f t="shared" si="24"/>
        <v>BAJO</v>
      </c>
      <c r="T194" s="33">
        <v>10</v>
      </c>
      <c r="U194" s="75">
        <f t="shared" si="25"/>
        <v>40</v>
      </c>
      <c r="V194" s="33" t="str">
        <f t="shared" si="26"/>
        <v>lll</v>
      </c>
      <c r="W194" s="74" t="str">
        <f t="shared" si="27"/>
        <v>SI</v>
      </c>
      <c r="X194" s="33">
        <v>8</v>
      </c>
      <c r="Y194" s="31" t="s">
        <v>295</v>
      </c>
      <c r="Z194" s="33" t="s">
        <v>87</v>
      </c>
      <c r="AA194" s="45"/>
      <c r="AB194" s="32"/>
      <c r="AC194" s="34" t="s">
        <v>785</v>
      </c>
      <c r="AD194" s="42" t="s">
        <v>786</v>
      </c>
      <c r="AE194" s="34"/>
      <c r="AF194" s="34"/>
      <c r="AG194" s="44">
        <v>2</v>
      </c>
      <c r="AH194" s="44">
        <v>2</v>
      </c>
      <c r="AI194" s="33">
        <f t="shared" si="29"/>
        <v>4</v>
      </c>
      <c r="AJ194" s="33" t="str">
        <f t="shared" si="30"/>
        <v>BAJO</v>
      </c>
      <c r="AK194" s="33">
        <v>10</v>
      </c>
      <c r="AL194" s="33">
        <f t="shared" si="28"/>
        <v>40</v>
      </c>
      <c r="AM194" s="33" t="str">
        <f t="shared" si="31"/>
        <v>RIESGO ACEPTABLE</v>
      </c>
      <c r="AN194" s="33"/>
      <c r="AO194" s="32"/>
      <c r="AP194" s="34" t="s">
        <v>785</v>
      </c>
      <c r="AQ194" s="42" t="s">
        <v>786</v>
      </c>
      <c r="AR194" s="34"/>
      <c r="AS194" s="61"/>
    </row>
    <row r="195" spans="1:152" s="14" customFormat="1" ht="76.8" x14ac:dyDescent="0.25">
      <c r="A195" s="195"/>
      <c r="B195" s="198"/>
      <c r="C195" s="166"/>
      <c r="D195" s="188"/>
      <c r="E195" s="32" t="s">
        <v>496</v>
      </c>
      <c r="F195" s="152"/>
      <c r="G195" s="47" t="s">
        <v>790</v>
      </c>
      <c r="H195" s="34" t="s">
        <v>79</v>
      </c>
      <c r="I195" s="32" t="s">
        <v>80</v>
      </c>
      <c r="J195" s="47" t="s">
        <v>447</v>
      </c>
      <c r="K195" s="32" t="s">
        <v>104</v>
      </c>
      <c r="L195" s="68" t="s">
        <v>448</v>
      </c>
      <c r="M195" s="73" t="s">
        <v>332</v>
      </c>
      <c r="N195" s="73" t="s">
        <v>802</v>
      </c>
      <c r="O195" s="7" t="s">
        <v>85</v>
      </c>
      <c r="P195" s="70">
        <v>2</v>
      </c>
      <c r="Q195" s="41">
        <v>2</v>
      </c>
      <c r="R195" s="33">
        <f t="shared" si="23"/>
        <v>4</v>
      </c>
      <c r="S195" s="33" t="str">
        <f t="shared" si="24"/>
        <v>BAJO</v>
      </c>
      <c r="T195" s="33">
        <v>10</v>
      </c>
      <c r="U195" s="75">
        <f t="shared" si="25"/>
        <v>40</v>
      </c>
      <c r="V195" s="33" t="str">
        <f t="shared" si="26"/>
        <v>lll</v>
      </c>
      <c r="W195" s="74" t="str">
        <f t="shared" si="27"/>
        <v>SI</v>
      </c>
      <c r="X195" s="33">
        <v>8</v>
      </c>
      <c r="Y195" s="31" t="s">
        <v>86</v>
      </c>
      <c r="Z195" s="33" t="s">
        <v>87</v>
      </c>
      <c r="AA195" s="46"/>
      <c r="AB195" s="34"/>
      <c r="AC195" s="34"/>
      <c r="AD195" s="34" t="s">
        <v>805</v>
      </c>
      <c r="AE195" s="34" t="s">
        <v>93</v>
      </c>
      <c r="AF195" s="34" t="s">
        <v>451</v>
      </c>
      <c r="AG195" s="41">
        <v>2</v>
      </c>
      <c r="AH195" s="41">
        <v>2</v>
      </c>
      <c r="AI195" s="33">
        <f t="shared" si="29"/>
        <v>4</v>
      </c>
      <c r="AJ195" s="33" t="str">
        <f t="shared" si="30"/>
        <v>BAJO</v>
      </c>
      <c r="AK195" s="33">
        <v>10</v>
      </c>
      <c r="AL195" s="33">
        <f t="shared" si="28"/>
        <v>40</v>
      </c>
      <c r="AM195" s="33" t="str">
        <f t="shared" si="31"/>
        <v>RIESGO ACEPTABLE</v>
      </c>
      <c r="AN195" s="33"/>
      <c r="AO195" s="34"/>
      <c r="AP195" s="34"/>
      <c r="AQ195" s="34" t="s">
        <v>806</v>
      </c>
      <c r="AR195" s="34"/>
      <c r="AS195" s="61" t="s">
        <v>453</v>
      </c>
    </row>
    <row r="196" spans="1:152" s="14" customFormat="1" ht="38.4" x14ac:dyDescent="0.25">
      <c r="A196" s="195"/>
      <c r="B196" s="198"/>
      <c r="C196" s="166"/>
      <c r="D196" s="196" t="s">
        <v>807</v>
      </c>
      <c r="E196" s="32" t="s">
        <v>496</v>
      </c>
      <c r="F196" s="152" t="s">
        <v>457</v>
      </c>
      <c r="G196" s="47" t="s">
        <v>790</v>
      </c>
      <c r="H196" s="34" t="s">
        <v>227</v>
      </c>
      <c r="I196" s="32" t="s">
        <v>158</v>
      </c>
      <c r="J196" s="32" t="s">
        <v>615</v>
      </c>
      <c r="K196" s="32" t="s">
        <v>104</v>
      </c>
      <c r="L196" s="68" t="s">
        <v>229</v>
      </c>
      <c r="M196" s="73" t="s">
        <v>332</v>
      </c>
      <c r="N196" s="73" t="s">
        <v>84</v>
      </c>
      <c r="O196" s="73" t="s">
        <v>503</v>
      </c>
      <c r="P196" s="70">
        <v>2</v>
      </c>
      <c r="Q196" s="44">
        <v>2</v>
      </c>
      <c r="R196" s="33">
        <f t="shared" si="23"/>
        <v>4</v>
      </c>
      <c r="S196" s="33" t="str">
        <f t="shared" si="24"/>
        <v>BAJO</v>
      </c>
      <c r="T196" s="33">
        <v>10</v>
      </c>
      <c r="U196" s="75">
        <f t="shared" si="25"/>
        <v>40</v>
      </c>
      <c r="V196" s="33" t="str">
        <f t="shared" si="26"/>
        <v>lll</v>
      </c>
      <c r="W196" s="74" t="str">
        <f t="shared" si="27"/>
        <v>SI</v>
      </c>
      <c r="X196" s="33">
        <v>8</v>
      </c>
      <c r="Y196" s="31" t="s">
        <v>163</v>
      </c>
      <c r="Z196" s="33" t="s">
        <v>87</v>
      </c>
      <c r="AA196" s="45"/>
      <c r="AB196" s="32"/>
      <c r="AC196" s="40"/>
      <c r="AD196" s="34" t="s">
        <v>791</v>
      </c>
      <c r="AE196" s="34" t="s">
        <v>792</v>
      </c>
      <c r="AF196" s="34" t="s">
        <v>793</v>
      </c>
      <c r="AG196" s="44">
        <v>2</v>
      </c>
      <c r="AH196" s="44">
        <v>2</v>
      </c>
      <c r="AI196" s="33">
        <f t="shared" si="29"/>
        <v>4</v>
      </c>
      <c r="AJ196" s="33" t="str">
        <f t="shared" si="30"/>
        <v>BAJO</v>
      </c>
      <c r="AK196" s="33">
        <v>10</v>
      </c>
      <c r="AL196" s="33">
        <f t="shared" si="28"/>
        <v>40</v>
      </c>
      <c r="AM196" s="33" t="str">
        <f t="shared" si="31"/>
        <v>RIESGO ACEPTABLE</v>
      </c>
      <c r="AN196" s="33"/>
      <c r="AO196" s="32"/>
      <c r="AP196" s="40" t="s">
        <v>232</v>
      </c>
      <c r="AQ196" s="34" t="s">
        <v>233</v>
      </c>
      <c r="AR196" s="34" t="s">
        <v>234</v>
      </c>
      <c r="AS196" s="61" t="s">
        <v>235</v>
      </c>
    </row>
    <row r="197" spans="1:152" s="14" customFormat="1" ht="48" x14ac:dyDescent="0.25">
      <c r="A197" s="195"/>
      <c r="B197" s="198"/>
      <c r="C197" s="166"/>
      <c r="D197" s="196"/>
      <c r="E197" s="32" t="s">
        <v>496</v>
      </c>
      <c r="F197" s="152"/>
      <c r="G197" s="47" t="s">
        <v>790</v>
      </c>
      <c r="H197" s="34" t="s">
        <v>138</v>
      </c>
      <c r="I197" s="34" t="s">
        <v>139</v>
      </c>
      <c r="J197" s="34" t="s">
        <v>794</v>
      </c>
      <c r="K197" s="34" t="s">
        <v>104</v>
      </c>
      <c r="L197" s="68" t="s">
        <v>151</v>
      </c>
      <c r="M197" s="73" t="s">
        <v>332</v>
      </c>
      <c r="N197" s="73" t="s">
        <v>84</v>
      </c>
      <c r="O197" s="73" t="s">
        <v>142</v>
      </c>
      <c r="P197" s="70">
        <v>2</v>
      </c>
      <c r="Q197" s="41">
        <v>2</v>
      </c>
      <c r="R197" s="33">
        <f t="shared" si="23"/>
        <v>4</v>
      </c>
      <c r="S197" s="33" t="str">
        <f t="shared" si="24"/>
        <v>BAJO</v>
      </c>
      <c r="T197" s="33">
        <v>10</v>
      </c>
      <c r="U197" s="75">
        <f t="shared" si="25"/>
        <v>40</v>
      </c>
      <c r="V197" s="33" t="str">
        <f t="shared" si="26"/>
        <v>lll</v>
      </c>
      <c r="W197" s="74" t="str">
        <f t="shared" si="27"/>
        <v>SI</v>
      </c>
      <c r="X197" s="33">
        <v>8</v>
      </c>
      <c r="Y197" s="31" t="s">
        <v>143</v>
      </c>
      <c r="Z197" s="33" t="s">
        <v>87</v>
      </c>
      <c r="AA197" s="45"/>
      <c r="AB197" s="32"/>
      <c r="AC197" s="34"/>
      <c r="AD197" s="34" t="s">
        <v>795</v>
      </c>
      <c r="AE197" s="34" t="s">
        <v>495</v>
      </c>
      <c r="AF197" s="34" t="s">
        <v>146</v>
      </c>
      <c r="AG197" s="44">
        <v>2</v>
      </c>
      <c r="AH197" s="44">
        <v>2</v>
      </c>
      <c r="AI197" s="33">
        <f t="shared" si="29"/>
        <v>4</v>
      </c>
      <c r="AJ197" s="33" t="str">
        <f t="shared" si="30"/>
        <v>BAJO</v>
      </c>
      <c r="AK197" s="33">
        <v>10</v>
      </c>
      <c r="AL197" s="33">
        <f t="shared" si="28"/>
        <v>40</v>
      </c>
      <c r="AM197" s="33" t="str">
        <f t="shared" si="31"/>
        <v>RIESGO ACEPTABLE</v>
      </c>
      <c r="AN197" s="33"/>
      <c r="AO197" s="32"/>
      <c r="AP197" s="34"/>
      <c r="AQ197" s="34" t="s">
        <v>796</v>
      </c>
      <c r="AR197" s="34"/>
      <c r="AS197" s="61" t="s">
        <v>797</v>
      </c>
    </row>
    <row r="198" spans="1:152" s="14" customFormat="1" ht="38.4" x14ac:dyDescent="0.25">
      <c r="A198" s="195"/>
      <c r="B198" s="198"/>
      <c r="C198" s="166"/>
      <c r="D198" s="196" t="s">
        <v>808</v>
      </c>
      <c r="E198" s="32" t="s">
        <v>496</v>
      </c>
      <c r="F198" s="152" t="s">
        <v>809</v>
      </c>
      <c r="G198" s="47" t="s">
        <v>790</v>
      </c>
      <c r="H198" s="34" t="s">
        <v>227</v>
      </c>
      <c r="I198" s="32" t="s">
        <v>158</v>
      </c>
      <c r="J198" s="32" t="s">
        <v>615</v>
      </c>
      <c r="K198" s="32" t="s">
        <v>104</v>
      </c>
      <c r="L198" s="68" t="s">
        <v>229</v>
      </c>
      <c r="M198" s="73" t="s">
        <v>332</v>
      </c>
      <c r="N198" s="73" t="s">
        <v>84</v>
      </c>
      <c r="O198" s="73" t="s">
        <v>503</v>
      </c>
      <c r="P198" s="70">
        <v>2</v>
      </c>
      <c r="Q198" s="44">
        <v>2</v>
      </c>
      <c r="R198" s="33">
        <f t="shared" si="23"/>
        <v>4</v>
      </c>
      <c r="S198" s="33" t="str">
        <f t="shared" si="24"/>
        <v>BAJO</v>
      </c>
      <c r="T198" s="33">
        <v>10</v>
      </c>
      <c r="U198" s="75">
        <f t="shared" si="25"/>
        <v>40</v>
      </c>
      <c r="V198" s="33" t="str">
        <f t="shared" si="26"/>
        <v>lll</v>
      </c>
      <c r="W198" s="74" t="str">
        <f t="shared" si="27"/>
        <v>SI</v>
      </c>
      <c r="X198" s="33">
        <v>8</v>
      </c>
      <c r="Y198" s="31" t="s">
        <v>163</v>
      </c>
      <c r="Z198" s="33" t="s">
        <v>87</v>
      </c>
      <c r="AA198" s="45"/>
      <c r="AB198" s="32"/>
      <c r="AC198" s="40"/>
      <c r="AD198" s="34" t="s">
        <v>791</v>
      </c>
      <c r="AE198" s="34" t="s">
        <v>792</v>
      </c>
      <c r="AF198" s="34" t="s">
        <v>793</v>
      </c>
      <c r="AG198" s="44">
        <v>2</v>
      </c>
      <c r="AH198" s="44">
        <v>2</v>
      </c>
      <c r="AI198" s="33">
        <f t="shared" si="29"/>
        <v>4</v>
      </c>
      <c r="AJ198" s="33" t="str">
        <f t="shared" si="30"/>
        <v>BAJO</v>
      </c>
      <c r="AK198" s="33">
        <v>10</v>
      </c>
      <c r="AL198" s="33">
        <f t="shared" si="28"/>
        <v>40</v>
      </c>
      <c r="AM198" s="33" t="str">
        <f t="shared" si="31"/>
        <v>RIESGO ACEPTABLE</v>
      </c>
      <c r="AN198" s="33"/>
      <c r="AO198" s="32"/>
      <c r="AP198" s="40" t="s">
        <v>232</v>
      </c>
      <c r="AQ198" s="34" t="s">
        <v>233</v>
      </c>
      <c r="AR198" s="34" t="s">
        <v>234</v>
      </c>
      <c r="AS198" s="61" t="s">
        <v>235</v>
      </c>
    </row>
    <row r="199" spans="1:152" s="14" customFormat="1" ht="76.8" x14ac:dyDescent="0.25">
      <c r="A199" s="195"/>
      <c r="B199" s="198"/>
      <c r="C199" s="166"/>
      <c r="D199" s="196"/>
      <c r="E199" s="32" t="s">
        <v>496</v>
      </c>
      <c r="F199" s="152"/>
      <c r="G199" s="48" t="s">
        <v>810</v>
      </c>
      <c r="H199" s="34" t="s">
        <v>183</v>
      </c>
      <c r="I199" s="32" t="s">
        <v>173</v>
      </c>
      <c r="J199" s="47" t="s">
        <v>811</v>
      </c>
      <c r="K199" s="32" t="s">
        <v>104</v>
      </c>
      <c r="L199" s="68" t="s">
        <v>185</v>
      </c>
      <c r="M199" s="73" t="s">
        <v>332</v>
      </c>
      <c r="N199" s="73" t="s">
        <v>84</v>
      </c>
      <c r="O199" s="73" t="s">
        <v>491</v>
      </c>
      <c r="P199" s="70">
        <v>2</v>
      </c>
      <c r="Q199" s="41">
        <v>3</v>
      </c>
      <c r="R199" s="33">
        <f t="shared" si="23"/>
        <v>6</v>
      </c>
      <c r="S199" s="33" t="str">
        <f t="shared" si="24"/>
        <v>MEDIO</v>
      </c>
      <c r="T199" s="33">
        <v>10</v>
      </c>
      <c r="U199" s="75">
        <f t="shared" si="25"/>
        <v>60</v>
      </c>
      <c r="V199" s="33" t="str">
        <f t="shared" si="26"/>
        <v>lll</v>
      </c>
      <c r="W199" s="74" t="str">
        <f t="shared" si="27"/>
        <v>SI</v>
      </c>
      <c r="X199" s="33">
        <v>8</v>
      </c>
      <c r="Y199" s="31" t="s">
        <v>178</v>
      </c>
      <c r="Z199" s="33" t="s">
        <v>87</v>
      </c>
      <c r="AA199" s="46"/>
      <c r="AB199" s="33"/>
      <c r="AC199" s="34" t="s">
        <v>812</v>
      </c>
      <c r="AD199" s="34" t="s">
        <v>813</v>
      </c>
      <c r="AE199" s="34" t="s">
        <v>814</v>
      </c>
      <c r="AF199" s="34" t="s">
        <v>815</v>
      </c>
      <c r="AG199" s="41">
        <v>2</v>
      </c>
      <c r="AH199" s="41">
        <v>2</v>
      </c>
      <c r="AI199" s="33">
        <f t="shared" si="29"/>
        <v>4</v>
      </c>
      <c r="AJ199" s="33" t="str">
        <f t="shared" si="30"/>
        <v>BAJO</v>
      </c>
      <c r="AK199" s="33">
        <v>25</v>
      </c>
      <c r="AL199" s="33">
        <f t="shared" si="28"/>
        <v>100</v>
      </c>
      <c r="AM199" s="33" t="str">
        <f t="shared" si="31"/>
        <v>RIESGO ACEPTABLE</v>
      </c>
      <c r="AN199" s="34"/>
      <c r="AO199" s="34"/>
      <c r="AP199" s="34" t="s">
        <v>812</v>
      </c>
      <c r="AQ199" s="42" t="s">
        <v>816</v>
      </c>
      <c r="AR199" s="34" t="s">
        <v>817</v>
      </c>
      <c r="AS199" s="61" t="s">
        <v>818</v>
      </c>
    </row>
    <row r="200" spans="1:152" s="14" customFormat="1" ht="48" x14ac:dyDescent="0.25">
      <c r="A200" s="195"/>
      <c r="B200" s="198"/>
      <c r="C200" s="166"/>
      <c r="D200" s="188" t="s">
        <v>819</v>
      </c>
      <c r="E200" s="32" t="s">
        <v>496</v>
      </c>
      <c r="F200" s="152" t="s">
        <v>457</v>
      </c>
      <c r="G200" s="47" t="s">
        <v>790</v>
      </c>
      <c r="H200" s="34" t="s">
        <v>172</v>
      </c>
      <c r="I200" s="32" t="s">
        <v>173</v>
      </c>
      <c r="J200" s="47" t="s">
        <v>820</v>
      </c>
      <c r="K200" s="32" t="s">
        <v>104</v>
      </c>
      <c r="L200" s="68" t="s">
        <v>175</v>
      </c>
      <c r="M200" s="73" t="s">
        <v>332</v>
      </c>
      <c r="N200" s="73" t="s">
        <v>333</v>
      </c>
      <c r="O200" s="73" t="s">
        <v>177</v>
      </c>
      <c r="P200" s="70">
        <v>2</v>
      </c>
      <c r="Q200" s="41">
        <v>2</v>
      </c>
      <c r="R200" s="33">
        <f t="shared" si="23"/>
        <v>4</v>
      </c>
      <c r="S200" s="33" t="str">
        <f t="shared" si="24"/>
        <v>BAJO</v>
      </c>
      <c r="T200" s="33">
        <v>10</v>
      </c>
      <c r="U200" s="75">
        <f t="shared" si="25"/>
        <v>40</v>
      </c>
      <c r="V200" s="33" t="str">
        <f t="shared" si="26"/>
        <v>lll</v>
      </c>
      <c r="W200" s="74" t="str">
        <f t="shared" si="27"/>
        <v>SI</v>
      </c>
      <c r="X200" s="33">
        <v>8</v>
      </c>
      <c r="Y200" s="31" t="s">
        <v>178</v>
      </c>
      <c r="Z200" s="33" t="s">
        <v>87</v>
      </c>
      <c r="AA200" s="45"/>
      <c r="AB200" s="33"/>
      <c r="AC200" s="34" t="s">
        <v>821</v>
      </c>
      <c r="AD200" s="34" t="s">
        <v>822</v>
      </c>
      <c r="AE200" s="34" t="s">
        <v>823</v>
      </c>
      <c r="AF200" s="34"/>
      <c r="AG200" s="41">
        <v>2</v>
      </c>
      <c r="AH200" s="41">
        <v>2</v>
      </c>
      <c r="AI200" s="33">
        <f t="shared" si="29"/>
        <v>4</v>
      </c>
      <c r="AJ200" s="33" t="str">
        <f t="shared" si="30"/>
        <v>BAJO</v>
      </c>
      <c r="AK200" s="33">
        <v>25</v>
      </c>
      <c r="AL200" s="33">
        <f t="shared" si="28"/>
        <v>100</v>
      </c>
      <c r="AM200" s="33" t="str">
        <f t="shared" si="31"/>
        <v>RIESGO ACEPTABLE</v>
      </c>
      <c r="AN200" s="34"/>
      <c r="AO200" s="34"/>
      <c r="AP200" s="34" t="s">
        <v>821</v>
      </c>
      <c r="AQ200" s="34" t="s">
        <v>822</v>
      </c>
      <c r="AR200" s="34" t="s">
        <v>823</v>
      </c>
      <c r="AS200" s="61" t="s">
        <v>824</v>
      </c>
    </row>
    <row r="201" spans="1:152" s="14" customFormat="1" ht="28.8" x14ac:dyDescent="0.25">
      <c r="A201" s="195"/>
      <c r="B201" s="198"/>
      <c r="C201" s="166"/>
      <c r="D201" s="188"/>
      <c r="E201" s="32" t="s">
        <v>496</v>
      </c>
      <c r="F201" s="152"/>
      <c r="G201" s="47" t="s">
        <v>790</v>
      </c>
      <c r="H201" s="34" t="s">
        <v>393</v>
      </c>
      <c r="I201" s="32" t="s">
        <v>115</v>
      </c>
      <c r="J201" s="32" t="s">
        <v>798</v>
      </c>
      <c r="K201" s="40" t="s">
        <v>104</v>
      </c>
      <c r="L201" s="68" t="s">
        <v>395</v>
      </c>
      <c r="M201" s="73" t="s">
        <v>332</v>
      </c>
      <c r="N201" s="73" t="s">
        <v>333</v>
      </c>
      <c r="O201" s="73" t="s">
        <v>396</v>
      </c>
      <c r="P201" s="71">
        <v>2</v>
      </c>
      <c r="Q201" s="44">
        <v>1</v>
      </c>
      <c r="R201" s="33">
        <f t="shared" si="23"/>
        <v>2</v>
      </c>
      <c r="S201" s="33" t="str">
        <f t="shared" si="24"/>
        <v>BAJO</v>
      </c>
      <c r="T201" s="33">
        <v>10</v>
      </c>
      <c r="U201" s="75">
        <f t="shared" si="25"/>
        <v>20</v>
      </c>
      <c r="V201" s="33" t="str">
        <f t="shared" si="26"/>
        <v xml:space="preserve">IV </v>
      </c>
      <c r="W201" s="74" t="b">
        <f t="shared" si="27"/>
        <v>0</v>
      </c>
      <c r="X201" s="33">
        <v>8</v>
      </c>
      <c r="Y201" s="31" t="s">
        <v>397</v>
      </c>
      <c r="Z201" s="33" t="s">
        <v>87</v>
      </c>
      <c r="AA201" s="34"/>
      <c r="AB201" s="34"/>
      <c r="AC201" s="42" t="s">
        <v>799</v>
      </c>
      <c r="AD201" s="34" t="s">
        <v>800</v>
      </c>
      <c r="AE201" s="34"/>
      <c r="AF201" s="34" t="s">
        <v>434</v>
      </c>
      <c r="AG201" s="41">
        <v>2</v>
      </c>
      <c r="AH201" s="41">
        <v>2</v>
      </c>
      <c r="AI201" s="33">
        <f t="shared" si="29"/>
        <v>4</v>
      </c>
      <c r="AJ201" s="33" t="str">
        <f t="shared" si="30"/>
        <v>BAJO</v>
      </c>
      <c r="AK201" s="33">
        <v>10</v>
      </c>
      <c r="AL201" s="33">
        <f t="shared" si="28"/>
        <v>40</v>
      </c>
      <c r="AM201" s="33" t="str">
        <f t="shared" si="31"/>
        <v>RIESGO ACEPTABLE</v>
      </c>
      <c r="AN201" s="34"/>
      <c r="AO201" s="34"/>
      <c r="AP201" s="42" t="s">
        <v>695</v>
      </c>
      <c r="AQ201" s="42" t="s">
        <v>825</v>
      </c>
      <c r="AR201" s="34"/>
      <c r="AS201" s="61"/>
    </row>
    <row r="202" spans="1:152" s="14" customFormat="1" ht="38.4" x14ac:dyDescent="0.25">
      <c r="A202" s="195"/>
      <c r="B202" s="198"/>
      <c r="C202" s="166"/>
      <c r="D202" s="55" t="s">
        <v>826</v>
      </c>
      <c r="E202" s="47" t="s">
        <v>496</v>
      </c>
      <c r="F202" s="87" t="s">
        <v>827</v>
      </c>
      <c r="G202" s="47" t="s">
        <v>790</v>
      </c>
      <c r="H202" s="34" t="s">
        <v>354</v>
      </c>
      <c r="I202" s="32" t="s">
        <v>291</v>
      </c>
      <c r="J202" s="47" t="s">
        <v>828</v>
      </c>
      <c r="K202" s="32" t="s">
        <v>248</v>
      </c>
      <c r="L202" s="68" t="s">
        <v>633</v>
      </c>
      <c r="M202" s="73" t="s">
        <v>332</v>
      </c>
      <c r="N202" s="73" t="s">
        <v>829</v>
      </c>
      <c r="O202" s="73" t="s">
        <v>357</v>
      </c>
      <c r="P202" s="70">
        <v>2</v>
      </c>
      <c r="Q202" s="41">
        <v>2</v>
      </c>
      <c r="R202" s="33">
        <f t="shared" si="23"/>
        <v>4</v>
      </c>
      <c r="S202" s="33" t="str">
        <f t="shared" si="24"/>
        <v>BAJO</v>
      </c>
      <c r="T202" s="33">
        <v>10</v>
      </c>
      <c r="U202" s="75">
        <f t="shared" si="25"/>
        <v>40</v>
      </c>
      <c r="V202" s="33" t="str">
        <f t="shared" si="26"/>
        <v>lll</v>
      </c>
      <c r="W202" s="74" t="str">
        <f t="shared" si="27"/>
        <v>SI</v>
      </c>
      <c r="X202" s="33">
        <v>8</v>
      </c>
      <c r="Y202" s="31" t="s">
        <v>358</v>
      </c>
      <c r="Z202" s="33" t="s">
        <v>87</v>
      </c>
      <c r="AA202" s="46"/>
      <c r="AB202" s="33"/>
      <c r="AC202" s="34" t="s">
        <v>830</v>
      </c>
      <c r="AD202" s="34" t="s">
        <v>831</v>
      </c>
      <c r="AE202" s="34" t="s">
        <v>832</v>
      </c>
      <c r="AF202" s="34" t="s">
        <v>833</v>
      </c>
      <c r="AG202" s="41">
        <v>2</v>
      </c>
      <c r="AH202" s="41">
        <v>3</v>
      </c>
      <c r="AI202" s="33">
        <f t="shared" si="29"/>
        <v>6</v>
      </c>
      <c r="AJ202" s="33" t="str">
        <f t="shared" si="30"/>
        <v>MEDIO</v>
      </c>
      <c r="AK202" s="33">
        <v>25</v>
      </c>
      <c r="AL202" s="33">
        <f t="shared" si="28"/>
        <v>150</v>
      </c>
      <c r="AM202" s="33" t="str">
        <f t="shared" si="31"/>
        <v>RIESGO ALTO</v>
      </c>
      <c r="AN202" s="33"/>
      <c r="AO202" s="32"/>
      <c r="AP202" s="34" t="s">
        <v>830</v>
      </c>
      <c r="AQ202" s="34" t="s">
        <v>831</v>
      </c>
      <c r="AR202" s="34" t="s">
        <v>832</v>
      </c>
      <c r="AS202" s="61" t="s">
        <v>833</v>
      </c>
    </row>
    <row r="203" spans="1:152" s="8" customFormat="1" ht="38.4" x14ac:dyDescent="0.25">
      <c r="A203" s="212" t="s">
        <v>834</v>
      </c>
      <c r="B203" s="197" t="s">
        <v>835</v>
      </c>
      <c r="C203" s="166" t="s">
        <v>836</v>
      </c>
      <c r="D203" s="204" t="s">
        <v>836</v>
      </c>
      <c r="E203" s="32" t="s">
        <v>87</v>
      </c>
      <c r="F203" s="152" t="s">
        <v>457</v>
      </c>
      <c r="G203" s="32" t="s">
        <v>837</v>
      </c>
      <c r="H203" s="34" t="s">
        <v>253</v>
      </c>
      <c r="I203" s="32" t="s">
        <v>115</v>
      </c>
      <c r="J203" s="32" t="s">
        <v>838</v>
      </c>
      <c r="K203" s="34" t="s">
        <v>104</v>
      </c>
      <c r="L203" s="68" t="s">
        <v>255</v>
      </c>
      <c r="M203" s="73" t="s">
        <v>332</v>
      </c>
      <c r="N203" s="73" t="s">
        <v>490</v>
      </c>
      <c r="O203" s="73" t="s">
        <v>256</v>
      </c>
      <c r="P203" s="70">
        <v>6</v>
      </c>
      <c r="Q203" s="70">
        <v>2</v>
      </c>
      <c r="R203" s="33">
        <f t="shared" si="23"/>
        <v>12</v>
      </c>
      <c r="S203" s="33" t="str">
        <f t="shared" si="24"/>
        <v>ALTO</v>
      </c>
      <c r="T203" s="33">
        <v>10</v>
      </c>
      <c r="U203" s="75">
        <f t="shared" si="25"/>
        <v>120</v>
      </c>
      <c r="V203" s="33" t="str">
        <f t="shared" si="26"/>
        <v>lll</v>
      </c>
      <c r="W203" s="74" t="str">
        <f t="shared" si="27"/>
        <v>SI</v>
      </c>
      <c r="X203" s="33">
        <v>45</v>
      </c>
      <c r="Y203" s="31" t="s">
        <v>257</v>
      </c>
      <c r="Z203" s="33" t="s">
        <v>87</v>
      </c>
      <c r="AA203" s="34"/>
      <c r="AB203" s="40"/>
      <c r="AC203" s="40" t="s">
        <v>839</v>
      </c>
      <c r="AD203" s="34" t="s">
        <v>840</v>
      </c>
      <c r="AE203" s="34" t="s">
        <v>190</v>
      </c>
      <c r="AF203" s="34"/>
      <c r="AG203" s="41">
        <v>2</v>
      </c>
      <c r="AH203" s="41">
        <v>3</v>
      </c>
      <c r="AI203" s="33">
        <f t="shared" si="29"/>
        <v>6</v>
      </c>
      <c r="AJ203" s="33" t="str">
        <f t="shared" si="30"/>
        <v>MEDIO</v>
      </c>
      <c r="AK203" s="33">
        <v>25</v>
      </c>
      <c r="AL203" s="33">
        <f t="shared" si="28"/>
        <v>150</v>
      </c>
      <c r="AM203" s="33" t="str">
        <f t="shared" si="31"/>
        <v>RIESGO ALTO</v>
      </c>
      <c r="AN203" s="34"/>
      <c r="AO203" s="40"/>
      <c r="AP203" s="40"/>
      <c r="AQ203" s="34" t="s">
        <v>841</v>
      </c>
      <c r="AR203" s="34" t="s">
        <v>93</v>
      </c>
      <c r="AS203" s="61" t="s">
        <v>842</v>
      </c>
      <c r="EQ203" s="15"/>
      <c r="ER203" s="15"/>
      <c r="ES203" s="15"/>
      <c r="ET203" s="15"/>
      <c r="EU203" s="15"/>
      <c r="EV203" s="15"/>
    </row>
    <row r="204" spans="1:152" s="8" customFormat="1" ht="38.4" x14ac:dyDescent="0.25">
      <c r="A204" s="213"/>
      <c r="B204" s="197"/>
      <c r="C204" s="166"/>
      <c r="D204" s="204"/>
      <c r="E204" s="32" t="s">
        <v>87</v>
      </c>
      <c r="F204" s="152"/>
      <c r="G204" s="32" t="s">
        <v>837</v>
      </c>
      <c r="H204" s="34" t="s">
        <v>114</v>
      </c>
      <c r="I204" s="32" t="s">
        <v>115</v>
      </c>
      <c r="J204" s="47" t="s">
        <v>843</v>
      </c>
      <c r="K204" s="32" t="s">
        <v>104</v>
      </c>
      <c r="L204" s="68" t="s">
        <v>117</v>
      </c>
      <c r="M204" s="73" t="s">
        <v>332</v>
      </c>
      <c r="N204" s="73" t="s">
        <v>490</v>
      </c>
      <c r="O204" s="73" t="s">
        <v>264</v>
      </c>
      <c r="P204" s="70">
        <v>2</v>
      </c>
      <c r="Q204" s="41">
        <v>3</v>
      </c>
      <c r="R204" s="33">
        <f t="shared" si="23"/>
        <v>6</v>
      </c>
      <c r="S204" s="33" t="str">
        <f t="shared" si="24"/>
        <v>MEDIO</v>
      </c>
      <c r="T204" s="33">
        <v>10</v>
      </c>
      <c r="U204" s="75">
        <f t="shared" si="25"/>
        <v>60</v>
      </c>
      <c r="V204" s="33" t="str">
        <f t="shared" si="26"/>
        <v>lll</v>
      </c>
      <c r="W204" s="74" t="str">
        <f t="shared" si="27"/>
        <v>SI</v>
      </c>
      <c r="X204" s="33">
        <v>45</v>
      </c>
      <c r="Y204" s="31" t="s">
        <v>119</v>
      </c>
      <c r="Z204" s="33" t="s">
        <v>87</v>
      </c>
      <c r="AA204" s="34"/>
      <c r="AB204" s="40"/>
      <c r="AC204" s="40" t="s">
        <v>120</v>
      </c>
      <c r="AD204" s="34" t="s">
        <v>121</v>
      </c>
      <c r="AE204" s="34" t="s">
        <v>844</v>
      </c>
      <c r="AF204" s="34" t="s">
        <v>845</v>
      </c>
      <c r="AG204" s="41">
        <v>2</v>
      </c>
      <c r="AH204" s="41">
        <v>3</v>
      </c>
      <c r="AI204" s="33">
        <f t="shared" si="29"/>
        <v>6</v>
      </c>
      <c r="AJ204" s="33" t="str">
        <f t="shared" si="30"/>
        <v>MEDIO</v>
      </c>
      <c r="AK204" s="33">
        <v>25</v>
      </c>
      <c r="AL204" s="33">
        <f t="shared" si="28"/>
        <v>150</v>
      </c>
      <c r="AM204" s="33" t="str">
        <f t="shared" si="31"/>
        <v>RIESGO ALTO</v>
      </c>
      <c r="AN204" s="34"/>
      <c r="AO204" s="40"/>
      <c r="AP204" s="40"/>
      <c r="AQ204" s="34" t="s">
        <v>846</v>
      </c>
      <c r="AR204" s="34" t="s">
        <v>847</v>
      </c>
      <c r="AS204" s="61" t="s">
        <v>845</v>
      </c>
      <c r="EQ204" s="15"/>
      <c r="ER204" s="15"/>
      <c r="ES204" s="15"/>
      <c r="ET204" s="15"/>
      <c r="EU204" s="15"/>
      <c r="EV204" s="15"/>
    </row>
    <row r="205" spans="1:152" s="8" customFormat="1" ht="67.2" x14ac:dyDescent="0.25">
      <c r="A205" s="213"/>
      <c r="B205" s="197"/>
      <c r="C205" s="166"/>
      <c r="D205" s="204"/>
      <c r="E205" s="32" t="s">
        <v>87</v>
      </c>
      <c r="F205" s="152"/>
      <c r="G205" s="32" t="s">
        <v>837</v>
      </c>
      <c r="H205" s="34" t="s">
        <v>101</v>
      </c>
      <c r="I205" s="32" t="s">
        <v>102</v>
      </c>
      <c r="J205" s="32" t="s">
        <v>848</v>
      </c>
      <c r="K205" s="32" t="s">
        <v>104</v>
      </c>
      <c r="L205" s="68" t="s">
        <v>105</v>
      </c>
      <c r="M205" s="73" t="s">
        <v>332</v>
      </c>
      <c r="N205" s="73" t="s">
        <v>106</v>
      </c>
      <c r="O205" s="73" t="s">
        <v>107</v>
      </c>
      <c r="P205" s="70">
        <v>2</v>
      </c>
      <c r="Q205" s="41">
        <v>3</v>
      </c>
      <c r="R205" s="33">
        <f t="shared" ref="R205:R285" si="32">P205*Q205</f>
        <v>6</v>
      </c>
      <c r="S205" s="33" t="str">
        <f t="shared" si="24"/>
        <v>MEDIO</v>
      </c>
      <c r="T205" s="33">
        <v>10</v>
      </c>
      <c r="U205" s="75">
        <f t="shared" si="25"/>
        <v>60</v>
      </c>
      <c r="V205" s="33" t="str">
        <f t="shared" si="26"/>
        <v>lll</v>
      </c>
      <c r="W205" s="74" t="str">
        <f t="shared" si="27"/>
        <v>SI</v>
      </c>
      <c r="X205" s="33">
        <v>45</v>
      </c>
      <c r="Y205" s="31" t="s">
        <v>108</v>
      </c>
      <c r="Z205" s="33" t="s">
        <v>87</v>
      </c>
      <c r="AA205" s="34"/>
      <c r="AB205" s="40"/>
      <c r="AC205" s="40" t="s">
        <v>849</v>
      </c>
      <c r="AD205" s="34" t="s">
        <v>850</v>
      </c>
      <c r="AE205" s="34" t="s">
        <v>274</v>
      </c>
      <c r="AF205" s="34" t="s">
        <v>110</v>
      </c>
      <c r="AG205" s="41">
        <v>2</v>
      </c>
      <c r="AH205" s="41">
        <v>3</v>
      </c>
      <c r="AI205" s="33">
        <f t="shared" si="29"/>
        <v>6</v>
      </c>
      <c r="AJ205" s="33" t="str">
        <f t="shared" si="30"/>
        <v>MEDIO</v>
      </c>
      <c r="AK205" s="33">
        <v>25</v>
      </c>
      <c r="AL205" s="33">
        <f t="shared" si="28"/>
        <v>150</v>
      </c>
      <c r="AM205" s="33" t="str">
        <f t="shared" si="31"/>
        <v>RIESGO ALTO</v>
      </c>
      <c r="AN205" s="34"/>
      <c r="AO205" s="40"/>
      <c r="AP205" s="40"/>
      <c r="AQ205" s="34" t="s">
        <v>851</v>
      </c>
      <c r="AR205" s="34" t="s">
        <v>274</v>
      </c>
      <c r="AS205" s="61" t="s">
        <v>110</v>
      </c>
      <c r="EQ205" s="15"/>
      <c r="ER205" s="15"/>
      <c r="ES205" s="15"/>
      <c r="ET205" s="15"/>
      <c r="EU205" s="15"/>
      <c r="EV205" s="15"/>
    </row>
    <row r="206" spans="1:152" s="8" customFormat="1" ht="38.4" x14ac:dyDescent="0.25">
      <c r="A206" s="213"/>
      <c r="B206" s="197"/>
      <c r="C206" s="166"/>
      <c r="D206" s="204"/>
      <c r="E206" s="32" t="s">
        <v>87</v>
      </c>
      <c r="F206" s="152"/>
      <c r="G206" s="32" t="s">
        <v>852</v>
      </c>
      <c r="H206" s="34" t="s">
        <v>246</v>
      </c>
      <c r="I206" s="32" t="s">
        <v>115</v>
      </c>
      <c r="J206" s="32" t="s">
        <v>435</v>
      </c>
      <c r="K206" s="32" t="s">
        <v>248</v>
      </c>
      <c r="L206" s="68" t="s">
        <v>249</v>
      </c>
      <c r="M206" s="73" t="s">
        <v>332</v>
      </c>
      <c r="N206" s="73" t="s">
        <v>490</v>
      </c>
      <c r="O206" s="73" t="s">
        <v>250</v>
      </c>
      <c r="P206" s="70">
        <v>2</v>
      </c>
      <c r="Q206" s="41">
        <v>2</v>
      </c>
      <c r="R206" s="33">
        <f t="shared" si="32"/>
        <v>4</v>
      </c>
      <c r="S206" s="33" t="str">
        <f t="shared" si="24"/>
        <v>BAJO</v>
      </c>
      <c r="T206" s="33">
        <v>10</v>
      </c>
      <c r="U206" s="75">
        <f t="shared" si="25"/>
        <v>40</v>
      </c>
      <c r="V206" s="33" t="str">
        <f t="shared" si="26"/>
        <v>lll</v>
      </c>
      <c r="W206" s="74" t="str">
        <f t="shared" si="27"/>
        <v>SI</v>
      </c>
      <c r="X206" s="33">
        <v>45</v>
      </c>
      <c r="Y206" s="31" t="s">
        <v>251</v>
      </c>
      <c r="Z206" s="33" t="s">
        <v>87</v>
      </c>
      <c r="AA206" s="34"/>
      <c r="AB206" s="40"/>
      <c r="AC206" s="40"/>
      <c r="AD206" s="34" t="s">
        <v>853</v>
      </c>
      <c r="AE206" s="34" t="s">
        <v>854</v>
      </c>
      <c r="AF206" s="34" t="s">
        <v>855</v>
      </c>
      <c r="AG206" s="41">
        <v>2</v>
      </c>
      <c r="AH206" s="41">
        <v>2</v>
      </c>
      <c r="AI206" s="33">
        <f t="shared" si="29"/>
        <v>4</v>
      </c>
      <c r="AJ206" s="33" t="str">
        <f t="shared" si="30"/>
        <v>BAJO</v>
      </c>
      <c r="AK206" s="33">
        <v>10</v>
      </c>
      <c r="AL206" s="33">
        <f t="shared" si="28"/>
        <v>40</v>
      </c>
      <c r="AM206" s="33" t="str">
        <f t="shared" si="31"/>
        <v>RIESGO ACEPTABLE</v>
      </c>
      <c r="AN206" s="34"/>
      <c r="AO206" s="40"/>
      <c r="AP206" s="40"/>
      <c r="AQ206" s="34" t="s">
        <v>856</v>
      </c>
      <c r="AR206" s="34" t="s">
        <v>854</v>
      </c>
      <c r="AS206" s="61" t="s">
        <v>857</v>
      </c>
      <c r="EQ206" s="15"/>
      <c r="ER206" s="15"/>
      <c r="ES206" s="15"/>
      <c r="ET206" s="15"/>
      <c r="EU206" s="15"/>
      <c r="EV206" s="15"/>
    </row>
    <row r="207" spans="1:152" s="8" customFormat="1" ht="38.4" x14ac:dyDescent="0.25">
      <c r="A207" s="213"/>
      <c r="B207" s="197"/>
      <c r="C207" s="166"/>
      <c r="D207" s="204"/>
      <c r="E207" s="32" t="s">
        <v>87</v>
      </c>
      <c r="F207" s="152"/>
      <c r="G207" s="32" t="s">
        <v>852</v>
      </c>
      <c r="H207" s="34" t="s">
        <v>138</v>
      </c>
      <c r="I207" s="32" t="s">
        <v>139</v>
      </c>
      <c r="J207" s="32" t="s">
        <v>858</v>
      </c>
      <c r="K207" s="32" t="s">
        <v>104</v>
      </c>
      <c r="L207" s="68" t="s">
        <v>475</v>
      </c>
      <c r="M207" s="73" t="s">
        <v>332</v>
      </c>
      <c r="N207" s="73" t="s">
        <v>490</v>
      </c>
      <c r="O207" s="73" t="s">
        <v>556</v>
      </c>
      <c r="P207" s="70">
        <v>2</v>
      </c>
      <c r="Q207" s="41">
        <v>2</v>
      </c>
      <c r="R207" s="33">
        <f t="shared" si="32"/>
        <v>4</v>
      </c>
      <c r="S207" s="33" t="str">
        <f t="shared" si="24"/>
        <v>BAJO</v>
      </c>
      <c r="T207" s="33">
        <v>10</v>
      </c>
      <c r="U207" s="75">
        <f t="shared" si="25"/>
        <v>40</v>
      </c>
      <c r="V207" s="33" t="str">
        <f t="shared" si="26"/>
        <v>lll</v>
      </c>
      <c r="W207" s="74" t="str">
        <f t="shared" si="27"/>
        <v>SI</v>
      </c>
      <c r="X207" s="33">
        <v>45</v>
      </c>
      <c r="Y207" s="31" t="s">
        <v>143</v>
      </c>
      <c r="Z207" s="33" t="s">
        <v>87</v>
      </c>
      <c r="AA207" s="34"/>
      <c r="AB207" s="40"/>
      <c r="AC207" s="40" t="s">
        <v>144</v>
      </c>
      <c r="AD207" s="34" t="s">
        <v>859</v>
      </c>
      <c r="AE207" s="34"/>
      <c r="AF207" s="34" t="s">
        <v>860</v>
      </c>
      <c r="AG207" s="41">
        <v>2</v>
      </c>
      <c r="AH207" s="41">
        <v>3</v>
      </c>
      <c r="AI207" s="33">
        <f t="shared" si="29"/>
        <v>6</v>
      </c>
      <c r="AJ207" s="33" t="str">
        <f t="shared" si="30"/>
        <v>MEDIO</v>
      </c>
      <c r="AK207" s="33">
        <v>10</v>
      </c>
      <c r="AL207" s="33">
        <f t="shared" si="28"/>
        <v>60</v>
      </c>
      <c r="AM207" s="33" t="str">
        <f t="shared" si="31"/>
        <v>RIESGO ACEPTABLE</v>
      </c>
      <c r="AN207" s="34"/>
      <c r="AO207" s="40"/>
      <c r="AP207" s="40" t="s">
        <v>861</v>
      </c>
      <c r="AQ207" s="34" t="s">
        <v>862</v>
      </c>
      <c r="AR207" s="34"/>
      <c r="AS207" s="61" t="s">
        <v>860</v>
      </c>
      <c r="EQ207" s="15"/>
      <c r="ER207" s="15"/>
      <c r="ES207" s="15"/>
      <c r="ET207" s="15"/>
      <c r="EU207" s="15"/>
      <c r="EV207" s="15"/>
    </row>
    <row r="208" spans="1:152" s="8" customFormat="1" ht="38.4" x14ac:dyDescent="0.25">
      <c r="A208" s="213"/>
      <c r="B208" s="197"/>
      <c r="C208" s="166"/>
      <c r="D208" s="204"/>
      <c r="E208" s="32" t="s">
        <v>87</v>
      </c>
      <c r="F208" s="152"/>
      <c r="G208" s="32" t="s">
        <v>852</v>
      </c>
      <c r="H208" s="34" t="s">
        <v>863</v>
      </c>
      <c r="I208" s="32" t="s">
        <v>139</v>
      </c>
      <c r="J208" s="47" t="s">
        <v>864</v>
      </c>
      <c r="K208" s="32" t="s">
        <v>104</v>
      </c>
      <c r="L208" s="68" t="s">
        <v>141</v>
      </c>
      <c r="M208" s="73" t="s">
        <v>332</v>
      </c>
      <c r="N208" s="73" t="s">
        <v>490</v>
      </c>
      <c r="O208" s="73" t="s">
        <v>556</v>
      </c>
      <c r="P208" s="70">
        <v>2</v>
      </c>
      <c r="Q208" s="41">
        <v>3</v>
      </c>
      <c r="R208" s="33">
        <f t="shared" si="32"/>
        <v>6</v>
      </c>
      <c r="S208" s="33" t="str">
        <f t="shared" si="24"/>
        <v>MEDIO</v>
      </c>
      <c r="T208" s="33">
        <v>10</v>
      </c>
      <c r="U208" s="75">
        <f t="shared" si="25"/>
        <v>60</v>
      </c>
      <c r="V208" s="33" t="str">
        <f t="shared" si="26"/>
        <v>lll</v>
      </c>
      <c r="W208" s="74" t="str">
        <f t="shared" si="27"/>
        <v>SI</v>
      </c>
      <c r="X208" s="33">
        <v>45</v>
      </c>
      <c r="Y208" s="31" t="s">
        <v>218</v>
      </c>
      <c r="Z208" s="33" t="s">
        <v>87</v>
      </c>
      <c r="AA208" s="34"/>
      <c r="AB208" s="40"/>
      <c r="AC208" s="40"/>
      <c r="AD208" s="34" t="s">
        <v>859</v>
      </c>
      <c r="AE208" s="34"/>
      <c r="AF208" s="34" t="s">
        <v>860</v>
      </c>
      <c r="AG208" s="41">
        <v>2</v>
      </c>
      <c r="AH208" s="41">
        <v>3</v>
      </c>
      <c r="AI208" s="33">
        <f t="shared" si="29"/>
        <v>6</v>
      </c>
      <c r="AJ208" s="33" t="str">
        <f t="shared" si="30"/>
        <v>MEDIO</v>
      </c>
      <c r="AK208" s="33">
        <v>10</v>
      </c>
      <c r="AL208" s="33">
        <f t="shared" si="28"/>
        <v>60</v>
      </c>
      <c r="AM208" s="33" t="str">
        <f t="shared" si="31"/>
        <v>RIESGO ACEPTABLE</v>
      </c>
      <c r="AN208" s="34"/>
      <c r="AO208" s="40"/>
      <c r="AP208" s="40"/>
      <c r="AQ208" s="34" t="s">
        <v>862</v>
      </c>
      <c r="AR208" s="34"/>
      <c r="AS208" s="61" t="s">
        <v>860</v>
      </c>
      <c r="EQ208" s="15"/>
      <c r="ER208" s="15"/>
      <c r="ES208" s="15"/>
      <c r="ET208" s="15"/>
      <c r="EU208" s="15"/>
      <c r="EV208" s="15"/>
    </row>
    <row r="209" spans="1:152" s="8" customFormat="1" ht="38.4" x14ac:dyDescent="0.25">
      <c r="A209" s="213"/>
      <c r="B209" s="197"/>
      <c r="C209" s="166"/>
      <c r="D209" s="204"/>
      <c r="E209" s="32" t="s">
        <v>87</v>
      </c>
      <c r="F209" s="152"/>
      <c r="G209" s="32" t="s">
        <v>852</v>
      </c>
      <c r="H209" s="34" t="s">
        <v>157</v>
      </c>
      <c r="I209" s="32" t="s">
        <v>158</v>
      </c>
      <c r="J209" s="47" t="s">
        <v>865</v>
      </c>
      <c r="K209" s="32" t="s">
        <v>104</v>
      </c>
      <c r="L209" s="68" t="s">
        <v>160</v>
      </c>
      <c r="M209" s="73" t="s">
        <v>332</v>
      </c>
      <c r="N209" s="73" t="s">
        <v>490</v>
      </c>
      <c r="O209" s="73" t="s">
        <v>665</v>
      </c>
      <c r="P209" s="70">
        <v>2</v>
      </c>
      <c r="Q209" s="41">
        <v>3</v>
      </c>
      <c r="R209" s="33">
        <f t="shared" si="32"/>
        <v>6</v>
      </c>
      <c r="S209" s="33" t="str">
        <f t="shared" si="24"/>
        <v>MEDIO</v>
      </c>
      <c r="T209" s="33">
        <v>10</v>
      </c>
      <c r="U209" s="75">
        <f t="shared" si="25"/>
        <v>60</v>
      </c>
      <c r="V209" s="33" t="str">
        <f t="shared" si="26"/>
        <v>lll</v>
      </c>
      <c r="W209" s="74" t="str">
        <f t="shared" si="27"/>
        <v>SI</v>
      </c>
      <c r="X209" s="33">
        <v>45</v>
      </c>
      <c r="Y209" s="31" t="s">
        <v>163</v>
      </c>
      <c r="Z209" s="33" t="s">
        <v>87</v>
      </c>
      <c r="AA209" s="34"/>
      <c r="AB209" s="40"/>
      <c r="AC209" s="40"/>
      <c r="AD209" s="34" t="s">
        <v>866</v>
      </c>
      <c r="AE209" s="34" t="s">
        <v>867</v>
      </c>
      <c r="AF209" s="34" t="s">
        <v>868</v>
      </c>
      <c r="AG209" s="41">
        <v>2</v>
      </c>
      <c r="AH209" s="41">
        <v>3</v>
      </c>
      <c r="AI209" s="33">
        <f t="shared" si="29"/>
        <v>6</v>
      </c>
      <c r="AJ209" s="33" t="str">
        <f t="shared" si="30"/>
        <v>MEDIO</v>
      </c>
      <c r="AK209" s="33">
        <v>10</v>
      </c>
      <c r="AL209" s="33">
        <f t="shared" si="28"/>
        <v>60</v>
      </c>
      <c r="AM209" s="33" t="str">
        <f t="shared" si="31"/>
        <v>RIESGO ACEPTABLE</v>
      </c>
      <c r="AN209" s="34"/>
      <c r="AO209" s="40"/>
      <c r="AP209" s="40"/>
      <c r="AQ209" s="34" t="s">
        <v>869</v>
      </c>
      <c r="AR209" s="34"/>
      <c r="AS209" s="61" t="s">
        <v>235</v>
      </c>
      <c r="EQ209" s="15"/>
      <c r="ER209" s="15"/>
      <c r="ES209" s="15"/>
      <c r="ET209" s="15"/>
      <c r="EU209" s="15"/>
      <c r="EV209" s="15"/>
    </row>
    <row r="210" spans="1:152" s="8" customFormat="1" ht="38.4" x14ac:dyDescent="0.25">
      <c r="A210" s="213"/>
      <c r="B210" s="197"/>
      <c r="C210" s="166"/>
      <c r="D210" s="204"/>
      <c r="E210" s="32" t="s">
        <v>87</v>
      </c>
      <c r="F210" s="152"/>
      <c r="G210" s="32" t="s">
        <v>852</v>
      </c>
      <c r="H210" s="34" t="s">
        <v>227</v>
      </c>
      <c r="I210" s="32" t="s">
        <v>158</v>
      </c>
      <c r="J210" s="47" t="s">
        <v>870</v>
      </c>
      <c r="K210" s="32" t="s">
        <v>104</v>
      </c>
      <c r="L210" s="68" t="s">
        <v>229</v>
      </c>
      <c r="M210" s="73" t="s">
        <v>332</v>
      </c>
      <c r="N210" s="73" t="s">
        <v>490</v>
      </c>
      <c r="O210" s="73" t="s">
        <v>665</v>
      </c>
      <c r="P210" s="70">
        <v>2</v>
      </c>
      <c r="Q210" s="41">
        <v>3</v>
      </c>
      <c r="R210" s="33">
        <f t="shared" si="32"/>
        <v>6</v>
      </c>
      <c r="S210" s="33" t="str">
        <f t="shared" si="24"/>
        <v>MEDIO</v>
      </c>
      <c r="T210" s="33">
        <v>10</v>
      </c>
      <c r="U210" s="75">
        <f t="shared" si="25"/>
        <v>60</v>
      </c>
      <c r="V210" s="33" t="str">
        <f t="shared" si="26"/>
        <v>lll</v>
      </c>
      <c r="W210" s="74" t="str">
        <f t="shared" si="27"/>
        <v>SI</v>
      </c>
      <c r="X210" s="33">
        <v>45</v>
      </c>
      <c r="Y210" s="31" t="s">
        <v>163</v>
      </c>
      <c r="Z210" s="33" t="s">
        <v>87</v>
      </c>
      <c r="AA210" s="34"/>
      <c r="AB210" s="40"/>
      <c r="AC210" s="40"/>
      <c r="AD210" s="34" t="s">
        <v>871</v>
      </c>
      <c r="AE210" s="34" t="s">
        <v>867</v>
      </c>
      <c r="AF210" s="34" t="s">
        <v>868</v>
      </c>
      <c r="AG210" s="41">
        <v>2</v>
      </c>
      <c r="AH210" s="41">
        <v>3</v>
      </c>
      <c r="AI210" s="33">
        <f t="shared" si="29"/>
        <v>6</v>
      </c>
      <c r="AJ210" s="33" t="str">
        <f t="shared" si="30"/>
        <v>MEDIO</v>
      </c>
      <c r="AK210" s="33">
        <v>10</v>
      </c>
      <c r="AL210" s="33">
        <f t="shared" si="28"/>
        <v>60</v>
      </c>
      <c r="AM210" s="33" t="str">
        <f t="shared" si="31"/>
        <v>RIESGO ACEPTABLE</v>
      </c>
      <c r="AN210" s="34"/>
      <c r="AO210" s="40"/>
      <c r="AP210" s="40"/>
      <c r="AQ210" s="34" t="s">
        <v>872</v>
      </c>
      <c r="AR210" s="34" t="s">
        <v>873</v>
      </c>
      <c r="AS210" s="61" t="s">
        <v>235</v>
      </c>
      <c r="EQ210" s="15"/>
      <c r="ER210" s="15"/>
      <c r="ES210" s="15"/>
      <c r="ET210" s="15"/>
      <c r="EU210" s="15"/>
      <c r="EV210" s="15"/>
    </row>
    <row r="211" spans="1:152" s="8" customFormat="1" ht="38.4" x14ac:dyDescent="0.25">
      <c r="A211" s="213"/>
      <c r="B211" s="197"/>
      <c r="C211" s="166"/>
      <c r="D211" s="204"/>
      <c r="E211" s="32" t="s">
        <v>87</v>
      </c>
      <c r="F211" s="152"/>
      <c r="G211" s="32" t="s">
        <v>852</v>
      </c>
      <c r="H211" s="34" t="s">
        <v>246</v>
      </c>
      <c r="I211" s="32" t="s">
        <v>115</v>
      </c>
      <c r="J211" s="32" t="s">
        <v>247</v>
      </c>
      <c r="K211" s="32" t="s">
        <v>248</v>
      </c>
      <c r="L211" s="68" t="s">
        <v>249</v>
      </c>
      <c r="M211" s="73" t="s">
        <v>332</v>
      </c>
      <c r="N211" s="73" t="s">
        <v>490</v>
      </c>
      <c r="O211" s="73" t="s">
        <v>250</v>
      </c>
      <c r="P211" s="70">
        <v>2</v>
      </c>
      <c r="Q211" s="41">
        <v>2</v>
      </c>
      <c r="R211" s="33">
        <f t="shared" si="32"/>
        <v>4</v>
      </c>
      <c r="S211" s="33" t="str">
        <f t="shared" si="24"/>
        <v>BAJO</v>
      </c>
      <c r="T211" s="33">
        <v>10</v>
      </c>
      <c r="U211" s="75">
        <f t="shared" si="25"/>
        <v>40</v>
      </c>
      <c r="V211" s="33" t="str">
        <f t="shared" si="26"/>
        <v>lll</v>
      </c>
      <c r="W211" s="74" t="str">
        <f t="shared" si="27"/>
        <v>SI</v>
      </c>
      <c r="X211" s="33">
        <v>45</v>
      </c>
      <c r="Y211" s="31" t="s">
        <v>251</v>
      </c>
      <c r="Z211" s="33" t="s">
        <v>87</v>
      </c>
      <c r="AA211" s="34"/>
      <c r="AB211" s="40"/>
      <c r="AC211" s="40"/>
      <c r="AD211" s="34" t="s">
        <v>252</v>
      </c>
      <c r="AE211" s="34"/>
      <c r="AF211" s="34"/>
      <c r="AG211" s="41">
        <v>2</v>
      </c>
      <c r="AH211" s="41">
        <v>2</v>
      </c>
      <c r="AI211" s="33">
        <f t="shared" si="29"/>
        <v>4</v>
      </c>
      <c r="AJ211" s="33" t="str">
        <f t="shared" si="30"/>
        <v>BAJO</v>
      </c>
      <c r="AK211" s="33">
        <v>10</v>
      </c>
      <c r="AL211" s="33">
        <f t="shared" si="28"/>
        <v>40</v>
      </c>
      <c r="AM211" s="33" t="str">
        <f t="shared" si="31"/>
        <v>RIESGO ACEPTABLE</v>
      </c>
      <c r="AN211" s="34"/>
      <c r="AO211" s="40"/>
      <c r="AP211" s="40"/>
      <c r="AQ211" s="34" t="s">
        <v>252</v>
      </c>
      <c r="AR211" s="34"/>
      <c r="AS211" s="61"/>
      <c r="EQ211" s="15"/>
      <c r="ER211" s="15"/>
      <c r="ES211" s="15"/>
      <c r="ET211" s="15"/>
      <c r="EU211" s="15"/>
      <c r="EV211" s="15"/>
    </row>
    <row r="212" spans="1:152" s="8" customFormat="1" ht="76.8" x14ac:dyDescent="0.25">
      <c r="A212" s="213"/>
      <c r="B212" s="197"/>
      <c r="C212" s="166"/>
      <c r="D212" s="204"/>
      <c r="E212" s="32" t="s">
        <v>87</v>
      </c>
      <c r="F212" s="152"/>
      <c r="G212" s="32" t="s">
        <v>852</v>
      </c>
      <c r="H212" s="34" t="s">
        <v>393</v>
      </c>
      <c r="I212" s="32" t="s">
        <v>115</v>
      </c>
      <c r="J212" s="32" t="s">
        <v>874</v>
      </c>
      <c r="K212" s="40" t="s">
        <v>104</v>
      </c>
      <c r="L212" s="68" t="s">
        <v>395</v>
      </c>
      <c r="M212" s="73" t="s">
        <v>332</v>
      </c>
      <c r="N212" s="73" t="s">
        <v>875</v>
      </c>
      <c r="O212" s="73" t="s">
        <v>396</v>
      </c>
      <c r="P212" s="71">
        <v>2</v>
      </c>
      <c r="Q212" s="44">
        <v>1</v>
      </c>
      <c r="R212" s="33">
        <f t="shared" si="32"/>
        <v>2</v>
      </c>
      <c r="S212" s="33" t="str">
        <f t="shared" ref="S212:S275" si="33">IF(AND(R212&gt;=0,R212&lt;=4),"BAJO",IF(AND(R212&gt;=6,R212&lt;=8),"MEDIO",IF(AND(R212&gt;=10,R212&lt;=20),"ALTO",IF(AND(R212&gt;=24,R212&lt;=40),"MUY ALTO"))))</f>
        <v>BAJO</v>
      </c>
      <c r="T212" s="33">
        <v>10</v>
      </c>
      <c r="U212" s="75">
        <f t="shared" si="25"/>
        <v>20</v>
      </c>
      <c r="V212" s="33" t="str">
        <f t="shared" si="26"/>
        <v xml:space="preserve">IV </v>
      </c>
      <c r="W212" s="74" t="b">
        <f t="shared" si="27"/>
        <v>0</v>
      </c>
      <c r="X212" s="33">
        <v>45</v>
      </c>
      <c r="Y212" s="31" t="s">
        <v>397</v>
      </c>
      <c r="Z212" s="33" t="s">
        <v>87</v>
      </c>
      <c r="AA212" s="34"/>
      <c r="AB212" s="40"/>
      <c r="AC212" s="40" t="s">
        <v>876</v>
      </c>
      <c r="AD212" s="34" t="s">
        <v>877</v>
      </c>
      <c r="AE212" s="34"/>
      <c r="AF212" s="34" t="s">
        <v>878</v>
      </c>
      <c r="AG212" s="41">
        <v>2</v>
      </c>
      <c r="AH212" s="41">
        <v>3</v>
      </c>
      <c r="AI212" s="33">
        <f t="shared" si="29"/>
        <v>6</v>
      </c>
      <c r="AJ212" s="33" t="str">
        <f t="shared" si="30"/>
        <v>MEDIO</v>
      </c>
      <c r="AK212" s="33">
        <v>10</v>
      </c>
      <c r="AL212" s="33">
        <f t="shared" si="28"/>
        <v>60</v>
      </c>
      <c r="AM212" s="33" t="str">
        <f t="shared" si="31"/>
        <v>RIESGO ACEPTABLE</v>
      </c>
      <c r="AN212" s="34"/>
      <c r="AO212" s="40"/>
      <c r="AP212" s="40"/>
      <c r="AQ212" s="34" t="s">
        <v>879</v>
      </c>
      <c r="AR212" s="34"/>
      <c r="AS212" s="61" t="s">
        <v>878</v>
      </c>
      <c r="EQ212" s="15"/>
      <c r="ER212" s="15"/>
      <c r="ES212" s="15"/>
      <c r="ET212" s="15"/>
      <c r="EU212" s="15"/>
      <c r="EV212" s="15"/>
    </row>
    <row r="213" spans="1:152" s="8" customFormat="1" ht="38.4" x14ac:dyDescent="0.25">
      <c r="A213" s="213"/>
      <c r="B213" s="197"/>
      <c r="C213" s="166"/>
      <c r="D213" s="204"/>
      <c r="E213" s="32" t="s">
        <v>87</v>
      </c>
      <c r="F213" s="152"/>
      <c r="G213" s="32" t="s">
        <v>852</v>
      </c>
      <c r="H213" s="34" t="s">
        <v>128</v>
      </c>
      <c r="I213" s="32" t="s">
        <v>129</v>
      </c>
      <c r="J213" s="32" t="s">
        <v>454</v>
      </c>
      <c r="K213" s="32" t="s">
        <v>104</v>
      </c>
      <c r="L213" s="68" t="s">
        <v>131</v>
      </c>
      <c r="M213" s="73" t="s">
        <v>84</v>
      </c>
      <c r="N213" s="73" t="s">
        <v>490</v>
      </c>
      <c r="O213" s="73" t="s">
        <v>132</v>
      </c>
      <c r="P213" s="70">
        <v>2</v>
      </c>
      <c r="Q213" s="41">
        <v>3</v>
      </c>
      <c r="R213" s="33">
        <f t="shared" si="32"/>
        <v>6</v>
      </c>
      <c r="S213" s="33" t="str">
        <f t="shared" si="33"/>
        <v>MEDIO</v>
      </c>
      <c r="T213" s="33">
        <v>10</v>
      </c>
      <c r="U213" s="75">
        <f t="shared" ref="U213:U276" si="34">R213*T213</f>
        <v>60</v>
      </c>
      <c r="V213" s="33" t="str">
        <f t="shared" ref="V213:V276" si="35">IF(AND(U213&gt;=0,U213&lt;=20),"IV ",IF(AND(U213&gt;=40,U213&lt;=120),"lll",IF(AND(U213&gt;=150,U213&lt;=500),"ll",IF(AND(U213&gt;=600,U213&lt;=4000),"l"))))</f>
        <v>lll</v>
      </c>
      <c r="W213" s="74" t="str">
        <f t="shared" ref="W213:W276" si="36">IF(AND(V213="lV"),"SI",IF(AND(V213="lll"),"SI",IF(AND(V213="ll"),"NO",IF(AND(V213="l"),"NO"))))</f>
        <v>SI</v>
      </c>
      <c r="X213" s="33">
        <v>45</v>
      </c>
      <c r="Y213" s="31" t="s">
        <v>133</v>
      </c>
      <c r="Z213" s="33" t="s">
        <v>87</v>
      </c>
      <c r="AA213" s="34"/>
      <c r="AB213" s="40"/>
      <c r="AC213" s="40"/>
      <c r="AD213" s="34" t="s">
        <v>689</v>
      </c>
      <c r="AE213" s="34"/>
      <c r="AF213" s="34" t="s">
        <v>880</v>
      </c>
      <c r="AG213" s="41">
        <v>2</v>
      </c>
      <c r="AH213" s="41">
        <v>3</v>
      </c>
      <c r="AI213" s="33">
        <f t="shared" si="29"/>
        <v>6</v>
      </c>
      <c r="AJ213" s="33" t="str">
        <f t="shared" si="30"/>
        <v>MEDIO</v>
      </c>
      <c r="AK213" s="33">
        <v>10</v>
      </c>
      <c r="AL213" s="33">
        <f t="shared" ref="AL213:AL293" si="37">AI213*AK213</f>
        <v>60</v>
      </c>
      <c r="AM213" s="33" t="str">
        <f t="shared" si="31"/>
        <v>RIESGO ACEPTABLE</v>
      </c>
      <c r="AN213" s="34"/>
      <c r="AO213" s="40"/>
      <c r="AP213" s="40"/>
      <c r="AQ213" s="34" t="s">
        <v>136</v>
      </c>
      <c r="AR213" s="34"/>
      <c r="AS213" s="61" t="s">
        <v>880</v>
      </c>
      <c r="EQ213" s="15"/>
      <c r="ER213" s="15"/>
      <c r="ES213" s="15"/>
      <c r="ET213" s="15"/>
      <c r="EU213" s="15"/>
      <c r="EV213" s="15"/>
    </row>
    <row r="214" spans="1:152" s="8" customFormat="1" ht="76.8" x14ac:dyDescent="0.25">
      <c r="A214" s="213"/>
      <c r="B214" s="197"/>
      <c r="C214" s="166"/>
      <c r="D214" s="204"/>
      <c r="E214" s="32" t="s">
        <v>87</v>
      </c>
      <c r="F214" s="152"/>
      <c r="G214" s="32" t="s">
        <v>852</v>
      </c>
      <c r="H214" s="34" t="s">
        <v>79</v>
      </c>
      <c r="I214" s="32" t="s">
        <v>80</v>
      </c>
      <c r="J214" s="47" t="s">
        <v>447</v>
      </c>
      <c r="K214" s="32" t="s">
        <v>104</v>
      </c>
      <c r="L214" s="68" t="s">
        <v>448</v>
      </c>
      <c r="M214" s="73" t="s">
        <v>332</v>
      </c>
      <c r="N214" s="73" t="s">
        <v>490</v>
      </c>
      <c r="O214" s="7" t="s">
        <v>85</v>
      </c>
      <c r="P214" s="70">
        <v>2</v>
      </c>
      <c r="Q214" s="41">
        <v>3</v>
      </c>
      <c r="R214" s="33">
        <f t="shared" si="32"/>
        <v>6</v>
      </c>
      <c r="S214" s="33" t="str">
        <f t="shared" si="33"/>
        <v>MEDIO</v>
      </c>
      <c r="T214" s="33">
        <v>10</v>
      </c>
      <c r="U214" s="75">
        <f t="shared" si="34"/>
        <v>60</v>
      </c>
      <c r="V214" s="33" t="str">
        <f t="shared" si="35"/>
        <v>lll</v>
      </c>
      <c r="W214" s="74" t="str">
        <f t="shared" si="36"/>
        <v>SI</v>
      </c>
      <c r="X214" s="33">
        <v>45</v>
      </c>
      <c r="Y214" s="31" t="s">
        <v>86</v>
      </c>
      <c r="Z214" s="33" t="s">
        <v>87</v>
      </c>
      <c r="AA214" s="34"/>
      <c r="AB214" s="40"/>
      <c r="AC214" s="40"/>
      <c r="AD214" s="34" t="s">
        <v>881</v>
      </c>
      <c r="AE214" s="34" t="s">
        <v>882</v>
      </c>
      <c r="AF214" s="34" t="s">
        <v>883</v>
      </c>
      <c r="AG214" s="41">
        <v>2</v>
      </c>
      <c r="AH214" s="41">
        <v>3</v>
      </c>
      <c r="AI214" s="33">
        <f t="shared" si="29"/>
        <v>6</v>
      </c>
      <c r="AJ214" s="33" t="str">
        <f t="shared" si="30"/>
        <v>MEDIO</v>
      </c>
      <c r="AK214" s="33">
        <v>10</v>
      </c>
      <c r="AL214" s="33">
        <f t="shared" si="37"/>
        <v>60</v>
      </c>
      <c r="AM214" s="33" t="str">
        <f t="shared" si="31"/>
        <v>RIESGO ACEPTABLE</v>
      </c>
      <c r="AN214" s="34"/>
      <c r="AO214" s="40"/>
      <c r="AP214" s="40"/>
      <c r="AQ214" s="34" t="s">
        <v>884</v>
      </c>
      <c r="AR214" s="34"/>
      <c r="AS214" s="61" t="s">
        <v>883</v>
      </c>
      <c r="EQ214" s="15"/>
      <c r="ER214" s="15"/>
      <c r="ES214" s="15"/>
      <c r="ET214" s="15"/>
      <c r="EU214" s="15"/>
      <c r="EV214" s="15"/>
    </row>
    <row r="215" spans="1:152" s="8" customFormat="1" ht="76.8" x14ac:dyDescent="0.25">
      <c r="A215" s="213"/>
      <c r="B215" s="197"/>
      <c r="C215" s="166" t="s">
        <v>885</v>
      </c>
      <c r="D215" s="204" t="s">
        <v>886</v>
      </c>
      <c r="E215" s="32" t="s">
        <v>87</v>
      </c>
      <c r="F215" s="152" t="s">
        <v>887</v>
      </c>
      <c r="G215" s="32" t="s">
        <v>888</v>
      </c>
      <c r="H215" s="34" t="s">
        <v>114</v>
      </c>
      <c r="I215" s="32" t="s">
        <v>115</v>
      </c>
      <c r="J215" s="47" t="s">
        <v>889</v>
      </c>
      <c r="K215" s="32" t="s">
        <v>104</v>
      </c>
      <c r="L215" s="68" t="s">
        <v>117</v>
      </c>
      <c r="M215" s="73" t="s">
        <v>332</v>
      </c>
      <c r="N215" s="73" t="s">
        <v>875</v>
      </c>
      <c r="O215" s="73" t="s">
        <v>264</v>
      </c>
      <c r="P215" s="70">
        <v>2</v>
      </c>
      <c r="Q215" s="41">
        <v>4</v>
      </c>
      <c r="R215" s="33">
        <f t="shared" si="32"/>
        <v>8</v>
      </c>
      <c r="S215" s="33" t="str">
        <f t="shared" si="33"/>
        <v>MEDIO</v>
      </c>
      <c r="T215" s="33">
        <v>10</v>
      </c>
      <c r="U215" s="75">
        <f t="shared" si="34"/>
        <v>80</v>
      </c>
      <c r="V215" s="33" t="str">
        <f t="shared" si="35"/>
        <v>lll</v>
      </c>
      <c r="W215" s="74" t="str">
        <f t="shared" si="36"/>
        <v>SI</v>
      </c>
      <c r="X215" s="33">
        <v>45</v>
      </c>
      <c r="Y215" s="31" t="s">
        <v>119</v>
      </c>
      <c r="Z215" s="33" t="s">
        <v>87</v>
      </c>
      <c r="AA215" s="34"/>
      <c r="AB215" s="40"/>
      <c r="AC215" s="40" t="s">
        <v>120</v>
      </c>
      <c r="AD215" s="34" t="s">
        <v>121</v>
      </c>
      <c r="AE215" s="34" t="s">
        <v>844</v>
      </c>
      <c r="AF215" s="34" t="s">
        <v>845</v>
      </c>
      <c r="AG215" s="41">
        <v>2</v>
      </c>
      <c r="AH215" s="41">
        <v>4</v>
      </c>
      <c r="AI215" s="33">
        <f t="shared" si="29"/>
        <v>8</v>
      </c>
      <c r="AJ215" s="33" t="str">
        <f t="shared" si="30"/>
        <v>MEDIO</v>
      </c>
      <c r="AK215" s="33">
        <v>10</v>
      </c>
      <c r="AL215" s="33">
        <f t="shared" si="37"/>
        <v>80</v>
      </c>
      <c r="AM215" s="33" t="str">
        <f t="shared" si="31"/>
        <v>RIESGO ACEPTABLE</v>
      </c>
      <c r="AN215" s="34"/>
      <c r="AO215" s="40"/>
      <c r="AP215" s="40" t="s">
        <v>890</v>
      </c>
      <c r="AQ215" s="34" t="s">
        <v>846</v>
      </c>
      <c r="AR215" s="34" t="s">
        <v>847</v>
      </c>
      <c r="AS215" s="61" t="s">
        <v>845</v>
      </c>
      <c r="EQ215" s="15"/>
      <c r="ER215" s="15"/>
      <c r="ES215" s="15"/>
      <c r="ET215" s="15"/>
      <c r="EU215" s="15"/>
      <c r="EV215" s="15"/>
    </row>
    <row r="216" spans="1:152" s="8" customFormat="1" ht="67.2" x14ac:dyDescent="0.25">
      <c r="A216" s="213"/>
      <c r="B216" s="197"/>
      <c r="C216" s="166"/>
      <c r="D216" s="204"/>
      <c r="E216" s="32" t="s">
        <v>87</v>
      </c>
      <c r="F216" s="152"/>
      <c r="G216" s="32" t="s">
        <v>888</v>
      </c>
      <c r="H216" s="34" t="s">
        <v>101</v>
      </c>
      <c r="I216" s="32" t="s">
        <v>102</v>
      </c>
      <c r="J216" s="32" t="s">
        <v>891</v>
      </c>
      <c r="K216" s="32" t="s">
        <v>104</v>
      </c>
      <c r="L216" s="68" t="s">
        <v>105</v>
      </c>
      <c r="M216" s="73" t="s">
        <v>332</v>
      </c>
      <c r="N216" s="73" t="s">
        <v>106</v>
      </c>
      <c r="O216" s="73" t="s">
        <v>522</v>
      </c>
      <c r="P216" s="70">
        <v>2</v>
      </c>
      <c r="Q216" s="41">
        <v>3</v>
      </c>
      <c r="R216" s="33">
        <f t="shared" si="32"/>
        <v>6</v>
      </c>
      <c r="S216" s="33" t="str">
        <f t="shared" si="33"/>
        <v>MEDIO</v>
      </c>
      <c r="T216" s="33">
        <v>10</v>
      </c>
      <c r="U216" s="75">
        <f t="shared" si="34"/>
        <v>60</v>
      </c>
      <c r="V216" s="33" t="str">
        <f t="shared" si="35"/>
        <v>lll</v>
      </c>
      <c r="W216" s="74" t="str">
        <f t="shared" si="36"/>
        <v>SI</v>
      </c>
      <c r="X216" s="33">
        <v>45</v>
      </c>
      <c r="Y216" s="31" t="s">
        <v>108</v>
      </c>
      <c r="Z216" s="33" t="s">
        <v>87</v>
      </c>
      <c r="AA216" s="34"/>
      <c r="AB216" s="40"/>
      <c r="AC216" s="40" t="s">
        <v>849</v>
      </c>
      <c r="AD216" s="34" t="s">
        <v>850</v>
      </c>
      <c r="AE216" s="34" t="s">
        <v>274</v>
      </c>
      <c r="AF216" s="34" t="s">
        <v>110</v>
      </c>
      <c r="AG216" s="41">
        <v>2</v>
      </c>
      <c r="AH216" s="41">
        <v>3</v>
      </c>
      <c r="AI216" s="33">
        <f t="shared" si="29"/>
        <v>6</v>
      </c>
      <c r="AJ216" s="33" t="str">
        <f t="shared" si="30"/>
        <v>MEDIO</v>
      </c>
      <c r="AK216" s="33">
        <v>10</v>
      </c>
      <c r="AL216" s="33">
        <f t="shared" si="37"/>
        <v>60</v>
      </c>
      <c r="AM216" s="33" t="str">
        <f t="shared" si="31"/>
        <v>RIESGO ACEPTABLE</v>
      </c>
      <c r="AN216" s="34"/>
      <c r="AO216" s="40" t="s">
        <v>892</v>
      </c>
      <c r="AP216" s="40" t="s">
        <v>893</v>
      </c>
      <c r="AQ216" s="34" t="s">
        <v>894</v>
      </c>
      <c r="AR216" s="34" t="s">
        <v>274</v>
      </c>
      <c r="AS216" s="61" t="s">
        <v>110</v>
      </c>
      <c r="EQ216" s="15"/>
      <c r="ER216" s="15"/>
      <c r="ES216" s="15"/>
      <c r="ET216" s="15"/>
      <c r="EU216" s="15"/>
      <c r="EV216" s="15"/>
    </row>
    <row r="217" spans="1:152" s="8" customFormat="1" ht="76.8" x14ac:dyDescent="0.25">
      <c r="A217" s="213"/>
      <c r="B217" s="197"/>
      <c r="C217" s="166"/>
      <c r="D217" s="204"/>
      <c r="E217" s="32" t="s">
        <v>87</v>
      </c>
      <c r="F217" s="152"/>
      <c r="G217" s="32" t="s">
        <v>888</v>
      </c>
      <c r="H217" s="34" t="s">
        <v>863</v>
      </c>
      <c r="I217" s="32" t="s">
        <v>139</v>
      </c>
      <c r="J217" s="47" t="s">
        <v>864</v>
      </c>
      <c r="K217" s="32" t="s">
        <v>104</v>
      </c>
      <c r="L217" s="68" t="s">
        <v>141</v>
      </c>
      <c r="M217" s="73" t="s">
        <v>332</v>
      </c>
      <c r="N217" s="73" t="s">
        <v>875</v>
      </c>
      <c r="O217" s="73" t="s">
        <v>152</v>
      </c>
      <c r="P217" s="70">
        <v>2</v>
      </c>
      <c r="Q217" s="41">
        <v>3</v>
      </c>
      <c r="R217" s="33">
        <f t="shared" si="32"/>
        <v>6</v>
      </c>
      <c r="S217" s="33" t="str">
        <f t="shared" si="33"/>
        <v>MEDIO</v>
      </c>
      <c r="T217" s="33">
        <v>10</v>
      </c>
      <c r="U217" s="75">
        <f t="shared" si="34"/>
        <v>60</v>
      </c>
      <c r="V217" s="33" t="str">
        <f t="shared" si="35"/>
        <v>lll</v>
      </c>
      <c r="W217" s="74" t="str">
        <f t="shared" si="36"/>
        <v>SI</v>
      </c>
      <c r="X217" s="33">
        <v>45</v>
      </c>
      <c r="Y217" s="31" t="s">
        <v>218</v>
      </c>
      <c r="Z217" s="33" t="s">
        <v>87</v>
      </c>
      <c r="AA217" s="34"/>
      <c r="AB217" s="40"/>
      <c r="AC217" s="34" t="s">
        <v>144</v>
      </c>
      <c r="AD217" s="34" t="s">
        <v>859</v>
      </c>
      <c r="AE217" s="34"/>
      <c r="AF217" s="34" t="s">
        <v>860</v>
      </c>
      <c r="AG217" s="41">
        <v>2</v>
      </c>
      <c r="AH217" s="41">
        <v>3</v>
      </c>
      <c r="AI217" s="33">
        <f t="shared" si="29"/>
        <v>6</v>
      </c>
      <c r="AJ217" s="33" t="str">
        <f t="shared" si="30"/>
        <v>MEDIO</v>
      </c>
      <c r="AK217" s="33">
        <v>10</v>
      </c>
      <c r="AL217" s="33">
        <f t="shared" si="37"/>
        <v>60</v>
      </c>
      <c r="AM217" s="33" t="str">
        <f t="shared" si="31"/>
        <v>RIESGO ACEPTABLE</v>
      </c>
      <c r="AN217" s="34"/>
      <c r="AO217" s="40"/>
      <c r="AP217" s="34" t="s">
        <v>895</v>
      </c>
      <c r="AQ217" s="34" t="s">
        <v>896</v>
      </c>
      <c r="AR217" s="34"/>
      <c r="AS217" s="61" t="s">
        <v>860</v>
      </c>
      <c r="EQ217" s="15"/>
      <c r="ER217" s="15"/>
      <c r="ES217" s="15"/>
      <c r="ET217" s="15"/>
      <c r="EU217" s="15"/>
      <c r="EV217" s="15"/>
    </row>
    <row r="218" spans="1:152" s="8" customFormat="1" ht="76.8" x14ac:dyDescent="0.25">
      <c r="A218" s="213"/>
      <c r="B218" s="197"/>
      <c r="C218" s="166"/>
      <c r="D218" s="204"/>
      <c r="E218" s="32" t="s">
        <v>87</v>
      </c>
      <c r="F218" s="152"/>
      <c r="G218" s="32" t="s">
        <v>888</v>
      </c>
      <c r="H218" s="34" t="s">
        <v>138</v>
      </c>
      <c r="I218" s="32" t="s">
        <v>139</v>
      </c>
      <c r="J218" s="32" t="s">
        <v>858</v>
      </c>
      <c r="K218" s="32" t="s">
        <v>104</v>
      </c>
      <c r="L218" s="68" t="s">
        <v>475</v>
      </c>
      <c r="M218" s="73" t="s">
        <v>332</v>
      </c>
      <c r="N218" s="73" t="s">
        <v>875</v>
      </c>
      <c r="O218" s="73" t="s">
        <v>142</v>
      </c>
      <c r="P218" s="70">
        <v>2</v>
      </c>
      <c r="Q218" s="41">
        <v>2</v>
      </c>
      <c r="R218" s="33">
        <f t="shared" si="32"/>
        <v>4</v>
      </c>
      <c r="S218" s="33" t="str">
        <f t="shared" si="33"/>
        <v>BAJO</v>
      </c>
      <c r="T218" s="33">
        <v>10</v>
      </c>
      <c r="U218" s="75">
        <f t="shared" si="34"/>
        <v>40</v>
      </c>
      <c r="V218" s="33" t="str">
        <f t="shared" si="35"/>
        <v>lll</v>
      </c>
      <c r="W218" s="74" t="str">
        <f t="shared" si="36"/>
        <v>SI</v>
      </c>
      <c r="X218" s="33">
        <v>45</v>
      </c>
      <c r="Y218" s="31" t="s">
        <v>143</v>
      </c>
      <c r="Z218" s="33" t="s">
        <v>87</v>
      </c>
      <c r="AA218" s="34"/>
      <c r="AB218" s="40"/>
      <c r="AC218" s="40" t="s">
        <v>144</v>
      </c>
      <c r="AD218" s="34" t="s">
        <v>859</v>
      </c>
      <c r="AE218" s="34"/>
      <c r="AF218" s="34" t="s">
        <v>860</v>
      </c>
      <c r="AG218" s="41">
        <v>2</v>
      </c>
      <c r="AH218" s="41">
        <v>3</v>
      </c>
      <c r="AI218" s="33">
        <f t="shared" si="29"/>
        <v>6</v>
      </c>
      <c r="AJ218" s="33" t="str">
        <f t="shared" si="30"/>
        <v>MEDIO</v>
      </c>
      <c r="AK218" s="33">
        <v>10</v>
      </c>
      <c r="AL218" s="33">
        <f t="shared" si="37"/>
        <v>60</v>
      </c>
      <c r="AM218" s="33" t="str">
        <f t="shared" si="31"/>
        <v>RIESGO ACEPTABLE</v>
      </c>
      <c r="AN218" s="34"/>
      <c r="AO218" s="40"/>
      <c r="AP218" s="40" t="s">
        <v>861</v>
      </c>
      <c r="AQ218" s="34" t="s">
        <v>862</v>
      </c>
      <c r="AR218" s="34"/>
      <c r="AS218" s="61" t="s">
        <v>860</v>
      </c>
      <c r="EQ218" s="15"/>
      <c r="ER218" s="15"/>
      <c r="ES218" s="15"/>
      <c r="ET218" s="15"/>
      <c r="EU218" s="15"/>
      <c r="EV218" s="15"/>
    </row>
    <row r="219" spans="1:152" s="8" customFormat="1" ht="76.8" x14ac:dyDescent="0.25">
      <c r="A219" s="213"/>
      <c r="B219" s="197"/>
      <c r="C219" s="166"/>
      <c r="D219" s="204"/>
      <c r="E219" s="32" t="s">
        <v>87</v>
      </c>
      <c r="F219" s="152"/>
      <c r="G219" s="32" t="s">
        <v>888</v>
      </c>
      <c r="H219" s="34" t="s">
        <v>183</v>
      </c>
      <c r="I219" s="48" t="s">
        <v>173</v>
      </c>
      <c r="J219" s="34" t="s">
        <v>897</v>
      </c>
      <c r="K219" s="34" t="s">
        <v>104</v>
      </c>
      <c r="L219" s="68" t="s">
        <v>185</v>
      </c>
      <c r="M219" s="73" t="s">
        <v>332</v>
      </c>
      <c r="N219" s="73" t="s">
        <v>875</v>
      </c>
      <c r="O219" s="73" t="s">
        <v>491</v>
      </c>
      <c r="P219" s="70">
        <v>2</v>
      </c>
      <c r="Q219" s="41">
        <v>3</v>
      </c>
      <c r="R219" s="33">
        <f t="shared" si="32"/>
        <v>6</v>
      </c>
      <c r="S219" s="33" t="str">
        <f t="shared" si="33"/>
        <v>MEDIO</v>
      </c>
      <c r="T219" s="33">
        <v>10</v>
      </c>
      <c r="U219" s="75">
        <f t="shared" si="34"/>
        <v>60</v>
      </c>
      <c r="V219" s="33" t="str">
        <f t="shared" si="35"/>
        <v>lll</v>
      </c>
      <c r="W219" s="74" t="str">
        <f t="shared" si="36"/>
        <v>SI</v>
      </c>
      <c r="X219" s="33">
        <v>45</v>
      </c>
      <c r="Y219" s="31" t="s">
        <v>178</v>
      </c>
      <c r="Z219" s="33" t="s">
        <v>87</v>
      </c>
      <c r="AA219" s="34"/>
      <c r="AB219" s="40"/>
      <c r="AC219" s="40" t="s">
        <v>898</v>
      </c>
      <c r="AD219" s="34" t="s">
        <v>899</v>
      </c>
      <c r="AE219" s="34" t="s">
        <v>900</v>
      </c>
      <c r="AF219" s="34" t="s">
        <v>901</v>
      </c>
      <c r="AG219" s="41">
        <v>2</v>
      </c>
      <c r="AH219" s="41">
        <v>3</v>
      </c>
      <c r="AI219" s="33">
        <f t="shared" si="29"/>
        <v>6</v>
      </c>
      <c r="AJ219" s="33" t="str">
        <f t="shared" si="30"/>
        <v>MEDIO</v>
      </c>
      <c r="AK219" s="33">
        <v>60</v>
      </c>
      <c r="AL219" s="33">
        <f t="shared" si="37"/>
        <v>360</v>
      </c>
      <c r="AM219" s="33" t="str">
        <f t="shared" si="31"/>
        <v>RIESGO ALTO</v>
      </c>
      <c r="AN219" s="34"/>
      <c r="AO219" s="40"/>
      <c r="AP219" s="40" t="s">
        <v>902</v>
      </c>
      <c r="AQ219" s="34" t="s">
        <v>903</v>
      </c>
      <c r="AR219" s="34" t="s">
        <v>900</v>
      </c>
      <c r="AS219" s="61" t="s">
        <v>901</v>
      </c>
      <c r="EQ219" s="15"/>
      <c r="ER219" s="15"/>
      <c r="ES219" s="15"/>
      <c r="ET219" s="15"/>
      <c r="EU219" s="15"/>
      <c r="EV219" s="15"/>
    </row>
    <row r="220" spans="1:152" s="8" customFormat="1" ht="76.8" x14ac:dyDescent="0.25">
      <c r="A220" s="213"/>
      <c r="B220" s="197"/>
      <c r="C220" s="166"/>
      <c r="D220" s="204"/>
      <c r="E220" s="32" t="s">
        <v>87</v>
      </c>
      <c r="F220" s="152"/>
      <c r="G220" s="32" t="s">
        <v>888</v>
      </c>
      <c r="H220" s="34" t="s">
        <v>227</v>
      </c>
      <c r="I220" s="32" t="s">
        <v>158</v>
      </c>
      <c r="J220" s="47" t="s">
        <v>904</v>
      </c>
      <c r="K220" s="32" t="s">
        <v>104</v>
      </c>
      <c r="L220" s="68" t="s">
        <v>229</v>
      </c>
      <c r="M220" s="73" t="s">
        <v>332</v>
      </c>
      <c r="N220" s="73" t="s">
        <v>875</v>
      </c>
      <c r="O220" s="73" t="s">
        <v>503</v>
      </c>
      <c r="P220" s="70">
        <v>2</v>
      </c>
      <c r="Q220" s="41">
        <v>3</v>
      </c>
      <c r="R220" s="33">
        <f t="shared" si="32"/>
        <v>6</v>
      </c>
      <c r="S220" s="33" t="str">
        <f t="shared" si="33"/>
        <v>MEDIO</v>
      </c>
      <c r="T220" s="33">
        <v>10</v>
      </c>
      <c r="U220" s="75">
        <f t="shared" si="34"/>
        <v>60</v>
      </c>
      <c r="V220" s="33" t="str">
        <f t="shared" si="35"/>
        <v>lll</v>
      </c>
      <c r="W220" s="74" t="str">
        <f t="shared" si="36"/>
        <v>SI</v>
      </c>
      <c r="X220" s="33">
        <v>45</v>
      </c>
      <c r="Y220" s="31" t="s">
        <v>163</v>
      </c>
      <c r="Z220" s="33" t="s">
        <v>87</v>
      </c>
      <c r="AA220" s="34"/>
      <c r="AB220" s="40"/>
      <c r="AC220" s="40"/>
      <c r="AD220" s="34" t="s">
        <v>905</v>
      </c>
      <c r="AE220" s="34" t="s">
        <v>867</v>
      </c>
      <c r="AF220" s="34" t="s">
        <v>868</v>
      </c>
      <c r="AG220" s="41">
        <v>2</v>
      </c>
      <c r="AH220" s="41">
        <v>3</v>
      </c>
      <c r="AI220" s="33">
        <f t="shared" si="29"/>
        <v>6</v>
      </c>
      <c r="AJ220" s="33" t="str">
        <f t="shared" si="30"/>
        <v>MEDIO</v>
      </c>
      <c r="AK220" s="33">
        <v>10</v>
      </c>
      <c r="AL220" s="33">
        <f t="shared" si="37"/>
        <v>60</v>
      </c>
      <c r="AM220" s="33" t="str">
        <f t="shared" si="31"/>
        <v>RIESGO ACEPTABLE</v>
      </c>
      <c r="AN220" s="34"/>
      <c r="AO220" s="40"/>
      <c r="AP220" s="40"/>
      <c r="AQ220" s="34" t="s">
        <v>906</v>
      </c>
      <c r="AR220" s="34" t="s">
        <v>867</v>
      </c>
      <c r="AS220" s="61" t="s">
        <v>235</v>
      </c>
      <c r="EQ220" s="15"/>
      <c r="ER220" s="15"/>
      <c r="ES220" s="15"/>
      <c r="ET220" s="15"/>
      <c r="EU220" s="15"/>
      <c r="EV220" s="15"/>
    </row>
    <row r="221" spans="1:152" s="8" customFormat="1" ht="76.8" x14ac:dyDescent="0.25">
      <c r="A221" s="213"/>
      <c r="B221" s="197"/>
      <c r="C221" s="166"/>
      <c r="D221" s="204"/>
      <c r="E221" s="32" t="s">
        <v>87</v>
      </c>
      <c r="F221" s="152"/>
      <c r="G221" s="32" t="s">
        <v>888</v>
      </c>
      <c r="H221" s="34" t="s">
        <v>246</v>
      </c>
      <c r="I221" s="32" t="s">
        <v>115</v>
      </c>
      <c r="J221" s="32" t="s">
        <v>435</v>
      </c>
      <c r="K221" s="32" t="s">
        <v>248</v>
      </c>
      <c r="L221" s="68" t="s">
        <v>249</v>
      </c>
      <c r="M221" s="73" t="s">
        <v>332</v>
      </c>
      <c r="N221" s="73" t="s">
        <v>875</v>
      </c>
      <c r="O221" s="73" t="s">
        <v>250</v>
      </c>
      <c r="P221" s="70">
        <v>2</v>
      </c>
      <c r="Q221" s="41">
        <v>2</v>
      </c>
      <c r="R221" s="33">
        <f t="shared" si="32"/>
        <v>4</v>
      </c>
      <c r="S221" s="33" t="str">
        <f t="shared" si="33"/>
        <v>BAJO</v>
      </c>
      <c r="T221" s="33">
        <v>10</v>
      </c>
      <c r="U221" s="75">
        <f t="shared" si="34"/>
        <v>40</v>
      </c>
      <c r="V221" s="33" t="str">
        <f t="shared" si="35"/>
        <v>lll</v>
      </c>
      <c r="W221" s="74" t="str">
        <f t="shared" si="36"/>
        <v>SI</v>
      </c>
      <c r="X221" s="33">
        <v>45</v>
      </c>
      <c r="Y221" s="31" t="s">
        <v>251</v>
      </c>
      <c r="Z221" s="33" t="s">
        <v>87</v>
      </c>
      <c r="AA221" s="34"/>
      <c r="AB221" s="40"/>
      <c r="AC221" s="40"/>
      <c r="AD221" s="34" t="s">
        <v>853</v>
      </c>
      <c r="AE221" s="34" t="s">
        <v>854</v>
      </c>
      <c r="AF221" s="34" t="s">
        <v>855</v>
      </c>
      <c r="AG221" s="41">
        <v>2</v>
      </c>
      <c r="AH221" s="41">
        <v>2</v>
      </c>
      <c r="AI221" s="33">
        <f t="shared" si="29"/>
        <v>4</v>
      </c>
      <c r="AJ221" s="33" t="str">
        <f t="shared" si="30"/>
        <v>BAJO</v>
      </c>
      <c r="AK221" s="33">
        <v>10</v>
      </c>
      <c r="AL221" s="33">
        <f t="shared" si="37"/>
        <v>40</v>
      </c>
      <c r="AM221" s="33" t="str">
        <f t="shared" si="31"/>
        <v>RIESGO ACEPTABLE</v>
      </c>
      <c r="AN221" s="34"/>
      <c r="AO221" s="40"/>
      <c r="AP221" s="40"/>
      <c r="AQ221" s="34" t="s">
        <v>907</v>
      </c>
      <c r="AR221" s="34" t="s">
        <v>854</v>
      </c>
      <c r="AS221" s="61" t="s">
        <v>908</v>
      </c>
      <c r="EQ221" s="15"/>
      <c r="ER221" s="15"/>
      <c r="ES221" s="15"/>
      <c r="ET221" s="15"/>
      <c r="EU221" s="15"/>
      <c r="EV221" s="15"/>
    </row>
    <row r="222" spans="1:152" s="8" customFormat="1" ht="76.8" x14ac:dyDescent="0.25">
      <c r="A222" s="213"/>
      <c r="B222" s="197"/>
      <c r="C222" s="166"/>
      <c r="D222" s="204"/>
      <c r="E222" s="32" t="s">
        <v>87</v>
      </c>
      <c r="F222" s="152"/>
      <c r="G222" s="32" t="s">
        <v>888</v>
      </c>
      <c r="H222" s="34" t="s">
        <v>246</v>
      </c>
      <c r="I222" s="32" t="s">
        <v>115</v>
      </c>
      <c r="J222" s="32" t="s">
        <v>247</v>
      </c>
      <c r="K222" s="32" t="s">
        <v>248</v>
      </c>
      <c r="L222" s="68" t="s">
        <v>249</v>
      </c>
      <c r="M222" s="73" t="s">
        <v>332</v>
      </c>
      <c r="N222" s="73" t="s">
        <v>875</v>
      </c>
      <c r="O222" s="73" t="s">
        <v>250</v>
      </c>
      <c r="P222" s="70">
        <v>2</v>
      </c>
      <c r="Q222" s="41">
        <v>2</v>
      </c>
      <c r="R222" s="33">
        <f t="shared" si="32"/>
        <v>4</v>
      </c>
      <c r="S222" s="33" t="str">
        <f t="shared" si="33"/>
        <v>BAJO</v>
      </c>
      <c r="T222" s="33">
        <v>10</v>
      </c>
      <c r="U222" s="75">
        <f t="shared" si="34"/>
        <v>40</v>
      </c>
      <c r="V222" s="33" t="str">
        <f t="shared" si="35"/>
        <v>lll</v>
      </c>
      <c r="W222" s="74" t="str">
        <f t="shared" si="36"/>
        <v>SI</v>
      </c>
      <c r="X222" s="33">
        <v>45</v>
      </c>
      <c r="Y222" s="31" t="s">
        <v>251</v>
      </c>
      <c r="Z222" s="33" t="s">
        <v>87</v>
      </c>
      <c r="AA222" s="34"/>
      <c r="AB222" s="40"/>
      <c r="AC222" s="40"/>
      <c r="AD222" s="34" t="s">
        <v>252</v>
      </c>
      <c r="AE222" s="34"/>
      <c r="AF222" s="34"/>
      <c r="AG222" s="41">
        <v>2</v>
      </c>
      <c r="AH222" s="41">
        <v>2</v>
      </c>
      <c r="AI222" s="33">
        <f t="shared" si="29"/>
        <v>4</v>
      </c>
      <c r="AJ222" s="33" t="str">
        <f t="shared" si="30"/>
        <v>BAJO</v>
      </c>
      <c r="AK222" s="33">
        <v>10</v>
      </c>
      <c r="AL222" s="33">
        <f t="shared" si="37"/>
        <v>40</v>
      </c>
      <c r="AM222" s="33" t="str">
        <f t="shared" si="31"/>
        <v>RIESGO ACEPTABLE</v>
      </c>
      <c r="AN222" s="34"/>
      <c r="AO222" s="40"/>
      <c r="AP222" s="40"/>
      <c r="AQ222" s="34" t="s">
        <v>252</v>
      </c>
      <c r="AR222" s="34"/>
      <c r="AS222" s="61"/>
      <c r="EQ222" s="15"/>
      <c r="ER222" s="15"/>
      <c r="ES222" s="15"/>
      <c r="ET222" s="15"/>
      <c r="EU222" s="15"/>
      <c r="EV222" s="15"/>
    </row>
    <row r="223" spans="1:152" s="8" customFormat="1" ht="76.8" x14ac:dyDescent="0.25">
      <c r="A223" s="213"/>
      <c r="B223" s="197"/>
      <c r="C223" s="166"/>
      <c r="D223" s="204"/>
      <c r="E223" s="32" t="s">
        <v>87</v>
      </c>
      <c r="F223" s="152"/>
      <c r="G223" s="32" t="s">
        <v>888</v>
      </c>
      <c r="H223" s="34" t="s">
        <v>157</v>
      </c>
      <c r="I223" s="32" t="s">
        <v>158</v>
      </c>
      <c r="J223" s="47" t="s">
        <v>865</v>
      </c>
      <c r="K223" s="32" t="s">
        <v>104</v>
      </c>
      <c r="L223" s="68" t="s">
        <v>160</v>
      </c>
      <c r="M223" s="73" t="s">
        <v>332</v>
      </c>
      <c r="N223" s="73" t="s">
        <v>875</v>
      </c>
      <c r="O223" s="73" t="s">
        <v>503</v>
      </c>
      <c r="P223" s="70">
        <v>2</v>
      </c>
      <c r="Q223" s="41">
        <v>3</v>
      </c>
      <c r="R223" s="33">
        <f t="shared" si="32"/>
        <v>6</v>
      </c>
      <c r="S223" s="33" t="str">
        <f t="shared" si="33"/>
        <v>MEDIO</v>
      </c>
      <c r="T223" s="33">
        <v>10</v>
      </c>
      <c r="U223" s="75">
        <f t="shared" si="34"/>
        <v>60</v>
      </c>
      <c r="V223" s="33" t="str">
        <f t="shared" si="35"/>
        <v>lll</v>
      </c>
      <c r="W223" s="74" t="str">
        <f t="shared" si="36"/>
        <v>SI</v>
      </c>
      <c r="X223" s="33">
        <v>45</v>
      </c>
      <c r="Y223" s="31" t="s">
        <v>163</v>
      </c>
      <c r="Z223" s="33" t="s">
        <v>87</v>
      </c>
      <c r="AA223" s="34"/>
      <c r="AB223" s="40"/>
      <c r="AC223" s="40"/>
      <c r="AD223" s="34" t="s">
        <v>866</v>
      </c>
      <c r="AE223" s="34" t="s">
        <v>867</v>
      </c>
      <c r="AF223" s="34" t="s">
        <v>868</v>
      </c>
      <c r="AG223" s="41">
        <v>2</v>
      </c>
      <c r="AH223" s="41">
        <v>3</v>
      </c>
      <c r="AI223" s="33">
        <f t="shared" si="29"/>
        <v>6</v>
      </c>
      <c r="AJ223" s="33" t="str">
        <f t="shared" si="30"/>
        <v>MEDIO</v>
      </c>
      <c r="AK223" s="33">
        <v>10</v>
      </c>
      <c r="AL223" s="33">
        <f t="shared" si="37"/>
        <v>60</v>
      </c>
      <c r="AM223" s="33" t="str">
        <f t="shared" si="31"/>
        <v>RIESGO ACEPTABLE</v>
      </c>
      <c r="AN223" s="34"/>
      <c r="AO223" s="40"/>
      <c r="AP223" s="40"/>
      <c r="AQ223" s="34" t="s">
        <v>906</v>
      </c>
      <c r="AR223" s="34" t="s">
        <v>867</v>
      </c>
      <c r="AS223" s="61" t="s">
        <v>235</v>
      </c>
      <c r="EQ223" s="15"/>
      <c r="ER223" s="15"/>
      <c r="ES223" s="15"/>
      <c r="ET223" s="15"/>
      <c r="EU223" s="15"/>
      <c r="EV223" s="15"/>
    </row>
    <row r="224" spans="1:152" s="8" customFormat="1" ht="76.8" x14ac:dyDescent="0.25">
      <c r="A224" s="213"/>
      <c r="B224" s="197"/>
      <c r="C224" s="166"/>
      <c r="D224" s="204"/>
      <c r="E224" s="32" t="s">
        <v>87</v>
      </c>
      <c r="F224" s="152"/>
      <c r="G224" s="32" t="s">
        <v>888</v>
      </c>
      <c r="H224" s="34" t="s">
        <v>341</v>
      </c>
      <c r="I224" s="32" t="s">
        <v>158</v>
      </c>
      <c r="J224" s="47" t="s">
        <v>909</v>
      </c>
      <c r="K224" s="40" t="s">
        <v>104</v>
      </c>
      <c r="L224" s="68" t="s">
        <v>336</v>
      </c>
      <c r="M224" s="73" t="s">
        <v>332</v>
      </c>
      <c r="N224" s="73" t="s">
        <v>875</v>
      </c>
      <c r="O224" s="73" t="s">
        <v>343</v>
      </c>
      <c r="P224" s="70">
        <v>2</v>
      </c>
      <c r="Q224" s="41">
        <v>3</v>
      </c>
      <c r="R224" s="33">
        <f t="shared" si="32"/>
        <v>6</v>
      </c>
      <c r="S224" s="33" t="str">
        <f t="shared" si="33"/>
        <v>MEDIO</v>
      </c>
      <c r="T224" s="33">
        <v>10</v>
      </c>
      <c r="U224" s="75">
        <f t="shared" si="34"/>
        <v>60</v>
      </c>
      <c r="V224" s="33" t="str">
        <f t="shared" si="35"/>
        <v>lll</v>
      </c>
      <c r="W224" s="74" t="str">
        <f t="shared" si="36"/>
        <v>SI</v>
      </c>
      <c r="X224" s="33">
        <v>45</v>
      </c>
      <c r="Y224" s="31" t="s">
        <v>178</v>
      </c>
      <c r="Z224" s="33" t="s">
        <v>87</v>
      </c>
      <c r="AA224" s="34"/>
      <c r="AB224" s="40"/>
      <c r="AC224" s="40"/>
      <c r="AD224" s="34" t="s">
        <v>866</v>
      </c>
      <c r="AE224" s="34" t="s">
        <v>867</v>
      </c>
      <c r="AF224" s="34" t="s">
        <v>868</v>
      </c>
      <c r="AG224" s="41">
        <v>2</v>
      </c>
      <c r="AH224" s="41">
        <v>3</v>
      </c>
      <c r="AI224" s="33">
        <f t="shared" si="29"/>
        <v>6</v>
      </c>
      <c r="AJ224" s="33" t="str">
        <f t="shared" si="30"/>
        <v>MEDIO</v>
      </c>
      <c r="AK224" s="33">
        <v>10</v>
      </c>
      <c r="AL224" s="33">
        <f t="shared" si="37"/>
        <v>60</v>
      </c>
      <c r="AM224" s="33" t="str">
        <f t="shared" si="31"/>
        <v>RIESGO ACEPTABLE</v>
      </c>
      <c r="AN224" s="34"/>
      <c r="AO224" s="40"/>
      <c r="AP224" s="40"/>
      <c r="AQ224" s="34" t="s">
        <v>906</v>
      </c>
      <c r="AR224" s="34" t="s">
        <v>867</v>
      </c>
      <c r="AS224" s="61" t="s">
        <v>235</v>
      </c>
      <c r="EQ224" s="15"/>
      <c r="ER224" s="15"/>
      <c r="ES224" s="15"/>
      <c r="ET224" s="15"/>
      <c r="EU224" s="15"/>
      <c r="EV224" s="15"/>
    </row>
    <row r="225" spans="1:152" s="8" customFormat="1" ht="76.8" x14ac:dyDescent="0.25">
      <c r="A225" s="213"/>
      <c r="B225" s="197"/>
      <c r="C225" s="166"/>
      <c r="D225" s="204"/>
      <c r="E225" s="32" t="s">
        <v>87</v>
      </c>
      <c r="F225" s="152"/>
      <c r="G225" s="32" t="s">
        <v>888</v>
      </c>
      <c r="H225" s="34" t="s">
        <v>128</v>
      </c>
      <c r="I225" s="32" t="s">
        <v>129</v>
      </c>
      <c r="J225" s="32" t="s">
        <v>910</v>
      </c>
      <c r="K225" s="32" t="s">
        <v>248</v>
      </c>
      <c r="L225" s="68" t="s">
        <v>131</v>
      </c>
      <c r="M225" s="73" t="s">
        <v>332</v>
      </c>
      <c r="N225" s="73" t="s">
        <v>875</v>
      </c>
      <c r="O225" s="73" t="s">
        <v>132</v>
      </c>
      <c r="P225" s="70">
        <v>2</v>
      </c>
      <c r="Q225" s="41">
        <v>3</v>
      </c>
      <c r="R225" s="33">
        <f t="shared" si="32"/>
        <v>6</v>
      </c>
      <c r="S225" s="33" t="str">
        <f t="shared" si="33"/>
        <v>MEDIO</v>
      </c>
      <c r="T225" s="33">
        <v>10</v>
      </c>
      <c r="U225" s="75">
        <f t="shared" si="34"/>
        <v>60</v>
      </c>
      <c r="V225" s="33" t="str">
        <f t="shared" si="35"/>
        <v>lll</v>
      </c>
      <c r="W225" s="74" t="str">
        <f t="shared" si="36"/>
        <v>SI</v>
      </c>
      <c r="X225" s="33">
        <v>45</v>
      </c>
      <c r="Y225" s="31" t="s">
        <v>133</v>
      </c>
      <c r="Z225" s="33" t="s">
        <v>87</v>
      </c>
      <c r="AA225" s="34"/>
      <c r="AB225" s="40"/>
      <c r="AC225" s="40"/>
      <c r="AD225" s="34" t="s">
        <v>911</v>
      </c>
      <c r="AE225" s="34"/>
      <c r="AF225" s="34" t="s">
        <v>912</v>
      </c>
      <c r="AG225" s="41">
        <v>2</v>
      </c>
      <c r="AH225" s="41">
        <v>3</v>
      </c>
      <c r="AI225" s="33">
        <f t="shared" si="29"/>
        <v>6</v>
      </c>
      <c r="AJ225" s="33" t="str">
        <f t="shared" si="30"/>
        <v>MEDIO</v>
      </c>
      <c r="AK225" s="33">
        <v>10</v>
      </c>
      <c r="AL225" s="33">
        <f t="shared" si="37"/>
        <v>60</v>
      </c>
      <c r="AM225" s="33" t="str">
        <f t="shared" si="31"/>
        <v>RIESGO ACEPTABLE</v>
      </c>
      <c r="AN225" s="34"/>
      <c r="AO225" s="40"/>
      <c r="AP225" s="40"/>
      <c r="AQ225" s="34" t="s">
        <v>136</v>
      </c>
      <c r="AR225" s="34" t="s">
        <v>913</v>
      </c>
      <c r="AS225" s="61" t="s">
        <v>880</v>
      </c>
      <c r="EQ225" s="15"/>
      <c r="ER225" s="15"/>
      <c r="ES225" s="15"/>
      <c r="ET225" s="15"/>
      <c r="EU225" s="15"/>
      <c r="EV225" s="15"/>
    </row>
    <row r="226" spans="1:152" s="8" customFormat="1" ht="76.8" x14ac:dyDescent="0.25">
      <c r="A226" s="213"/>
      <c r="B226" s="197"/>
      <c r="C226" s="166"/>
      <c r="D226" s="204"/>
      <c r="E226" s="32" t="s">
        <v>87</v>
      </c>
      <c r="F226" s="152"/>
      <c r="G226" s="32" t="s">
        <v>888</v>
      </c>
      <c r="H226" s="34" t="s">
        <v>191</v>
      </c>
      <c r="I226" s="32" t="s">
        <v>173</v>
      </c>
      <c r="J226" s="32" t="s">
        <v>914</v>
      </c>
      <c r="K226" s="32" t="s">
        <v>248</v>
      </c>
      <c r="L226" s="68" t="s">
        <v>193</v>
      </c>
      <c r="M226" s="73" t="s">
        <v>332</v>
      </c>
      <c r="N226" s="73" t="s">
        <v>875</v>
      </c>
      <c r="O226" s="73" t="s">
        <v>491</v>
      </c>
      <c r="P226" s="70">
        <v>2</v>
      </c>
      <c r="Q226" s="41">
        <v>3</v>
      </c>
      <c r="R226" s="33">
        <f t="shared" si="32"/>
        <v>6</v>
      </c>
      <c r="S226" s="33" t="str">
        <f t="shared" si="33"/>
        <v>MEDIO</v>
      </c>
      <c r="T226" s="33">
        <v>10</v>
      </c>
      <c r="U226" s="75">
        <f t="shared" si="34"/>
        <v>60</v>
      </c>
      <c r="V226" s="33" t="str">
        <f t="shared" si="35"/>
        <v>lll</v>
      </c>
      <c r="W226" s="74" t="str">
        <f t="shared" si="36"/>
        <v>SI</v>
      </c>
      <c r="X226" s="33">
        <v>45</v>
      </c>
      <c r="Y226" s="31" t="s">
        <v>195</v>
      </c>
      <c r="Z226" s="33" t="s">
        <v>87</v>
      </c>
      <c r="AA226" s="34"/>
      <c r="AB226" s="40"/>
      <c r="AC226" s="40" t="s">
        <v>898</v>
      </c>
      <c r="AD226" s="34" t="s">
        <v>899</v>
      </c>
      <c r="AE226" s="34" t="s">
        <v>900</v>
      </c>
      <c r="AF226" s="34" t="s">
        <v>901</v>
      </c>
      <c r="AG226" s="41">
        <v>2</v>
      </c>
      <c r="AH226" s="41">
        <v>3</v>
      </c>
      <c r="AI226" s="33">
        <f t="shared" si="29"/>
        <v>6</v>
      </c>
      <c r="AJ226" s="33" t="str">
        <f t="shared" si="30"/>
        <v>MEDIO</v>
      </c>
      <c r="AK226" s="33">
        <v>10</v>
      </c>
      <c r="AL226" s="33">
        <f t="shared" si="37"/>
        <v>60</v>
      </c>
      <c r="AM226" s="33" t="str">
        <f t="shared" si="31"/>
        <v>RIESGO ACEPTABLE</v>
      </c>
      <c r="AN226" s="34"/>
      <c r="AO226" s="40"/>
      <c r="AP226" s="40" t="s">
        <v>902</v>
      </c>
      <c r="AQ226" s="34" t="s">
        <v>903</v>
      </c>
      <c r="AR226" s="34" t="s">
        <v>900</v>
      </c>
      <c r="AS226" s="61" t="s">
        <v>901</v>
      </c>
      <c r="EQ226" s="15"/>
      <c r="ER226" s="15"/>
      <c r="ES226" s="15"/>
      <c r="ET226" s="15"/>
      <c r="EU226" s="15"/>
      <c r="EV226" s="15"/>
    </row>
    <row r="227" spans="1:152" s="8" customFormat="1" ht="76.8" x14ac:dyDescent="0.25">
      <c r="A227" s="213"/>
      <c r="B227" s="197"/>
      <c r="C227" s="166"/>
      <c r="D227" s="204"/>
      <c r="E227" s="32" t="s">
        <v>87</v>
      </c>
      <c r="F227" s="152"/>
      <c r="G227" s="32" t="s">
        <v>888</v>
      </c>
      <c r="H227" s="34" t="s">
        <v>393</v>
      </c>
      <c r="I227" s="32" t="s">
        <v>115</v>
      </c>
      <c r="J227" s="32" t="s">
        <v>874</v>
      </c>
      <c r="K227" s="40" t="s">
        <v>104</v>
      </c>
      <c r="L227" s="68" t="s">
        <v>395</v>
      </c>
      <c r="M227" s="73" t="s">
        <v>332</v>
      </c>
      <c r="N227" s="73" t="s">
        <v>875</v>
      </c>
      <c r="O227" s="73" t="s">
        <v>396</v>
      </c>
      <c r="P227" s="71">
        <v>2</v>
      </c>
      <c r="Q227" s="44">
        <v>1</v>
      </c>
      <c r="R227" s="33">
        <f t="shared" si="32"/>
        <v>2</v>
      </c>
      <c r="S227" s="33" t="str">
        <f t="shared" si="33"/>
        <v>BAJO</v>
      </c>
      <c r="T227" s="33">
        <v>10</v>
      </c>
      <c r="U227" s="75">
        <f t="shared" si="34"/>
        <v>20</v>
      </c>
      <c r="V227" s="33" t="str">
        <f t="shared" si="35"/>
        <v xml:space="preserve">IV </v>
      </c>
      <c r="W227" s="74" t="b">
        <f t="shared" si="36"/>
        <v>0</v>
      </c>
      <c r="X227" s="33">
        <v>45</v>
      </c>
      <c r="Y227" s="31" t="s">
        <v>397</v>
      </c>
      <c r="Z227" s="33" t="s">
        <v>87</v>
      </c>
      <c r="AA227" s="34"/>
      <c r="AB227" s="40"/>
      <c r="AC227" s="40" t="s">
        <v>876</v>
      </c>
      <c r="AD227" s="34" t="s">
        <v>877</v>
      </c>
      <c r="AE227" s="34"/>
      <c r="AF227" s="34" t="s">
        <v>878</v>
      </c>
      <c r="AG227" s="41">
        <v>2</v>
      </c>
      <c r="AH227" s="41">
        <v>4</v>
      </c>
      <c r="AI227" s="33">
        <f t="shared" si="29"/>
        <v>8</v>
      </c>
      <c r="AJ227" s="33" t="str">
        <f t="shared" si="30"/>
        <v>MEDIO</v>
      </c>
      <c r="AK227" s="33">
        <v>10</v>
      </c>
      <c r="AL227" s="33">
        <f t="shared" si="37"/>
        <v>80</v>
      </c>
      <c r="AM227" s="33" t="str">
        <f t="shared" si="31"/>
        <v>RIESGO ACEPTABLE</v>
      </c>
      <c r="AN227" s="34"/>
      <c r="AO227" s="40"/>
      <c r="AP227" s="40" t="s">
        <v>915</v>
      </c>
      <c r="AQ227" s="34" t="s">
        <v>916</v>
      </c>
      <c r="AR227" s="34"/>
      <c r="AS227" s="61" t="s">
        <v>878</v>
      </c>
      <c r="EQ227" s="15"/>
      <c r="ER227" s="15"/>
      <c r="ES227" s="15"/>
      <c r="ET227" s="15"/>
      <c r="EU227" s="15"/>
      <c r="EV227" s="15"/>
    </row>
    <row r="228" spans="1:152" s="8" customFormat="1" ht="76.8" x14ac:dyDescent="0.25">
      <c r="A228" s="213"/>
      <c r="B228" s="197"/>
      <c r="C228" s="166"/>
      <c r="D228" s="204"/>
      <c r="E228" s="32" t="s">
        <v>87</v>
      </c>
      <c r="F228" s="152"/>
      <c r="G228" s="32" t="s">
        <v>888</v>
      </c>
      <c r="H228" s="34" t="s">
        <v>79</v>
      </c>
      <c r="I228" s="32" t="s">
        <v>80</v>
      </c>
      <c r="J228" s="47" t="s">
        <v>447</v>
      </c>
      <c r="K228" s="32" t="s">
        <v>104</v>
      </c>
      <c r="L228" s="68" t="s">
        <v>448</v>
      </c>
      <c r="M228" s="73" t="s">
        <v>332</v>
      </c>
      <c r="N228" s="73" t="s">
        <v>875</v>
      </c>
      <c r="O228" s="7" t="s">
        <v>85</v>
      </c>
      <c r="P228" s="70">
        <v>2</v>
      </c>
      <c r="Q228" s="41">
        <v>3</v>
      </c>
      <c r="R228" s="33">
        <f t="shared" si="32"/>
        <v>6</v>
      </c>
      <c r="S228" s="33" t="str">
        <f t="shared" si="33"/>
        <v>MEDIO</v>
      </c>
      <c r="T228" s="33">
        <v>10</v>
      </c>
      <c r="U228" s="75">
        <f t="shared" si="34"/>
        <v>60</v>
      </c>
      <c r="V228" s="33" t="str">
        <f t="shared" si="35"/>
        <v>lll</v>
      </c>
      <c r="W228" s="74" t="str">
        <f t="shared" si="36"/>
        <v>SI</v>
      </c>
      <c r="X228" s="33">
        <v>45</v>
      </c>
      <c r="Y228" s="31" t="s">
        <v>86</v>
      </c>
      <c r="Z228" s="33" t="s">
        <v>87</v>
      </c>
      <c r="AA228" s="34"/>
      <c r="AB228" s="40"/>
      <c r="AC228" s="40"/>
      <c r="AD228" s="34" t="s">
        <v>881</v>
      </c>
      <c r="AE228" s="34" t="s">
        <v>882</v>
      </c>
      <c r="AF228" s="34" t="s">
        <v>883</v>
      </c>
      <c r="AG228" s="41">
        <v>2</v>
      </c>
      <c r="AH228" s="41">
        <v>3</v>
      </c>
      <c r="AI228" s="33">
        <f t="shared" si="29"/>
        <v>6</v>
      </c>
      <c r="AJ228" s="33" t="str">
        <f t="shared" si="30"/>
        <v>MEDIO</v>
      </c>
      <c r="AK228" s="33">
        <v>25</v>
      </c>
      <c r="AL228" s="33">
        <f t="shared" si="37"/>
        <v>150</v>
      </c>
      <c r="AM228" s="33" t="str">
        <f t="shared" si="31"/>
        <v>RIESGO ALTO</v>
      </c>
      <c r="AN228" s="34"/>
      <c r="AO228" s="40"/>
      <c r="AP228" s="34"/>
      <c r="AQ228" s="34" t="s">
        <v>884</v>
      </c>
      <c r="AR228" s="34" t="s">
        <v>882</v>
      </c>
      <c r="AS228" s="61" t="s">
        <v>883</v>
      </c>
      <c r="EQ228" s="15"/>
      <c r="ER228" s="15"/>
      <c r="ES228" s="15"/>
      <c r="ET228" s="15"/>
      <c r="EU228" s="15"/>
      <c r="EV228" s="15"/>
    </row>
    <row r="229" spans="1:152" s="8" customFormat="1" ht="57.6" x14ac:dyDescent="0.25">
      <c r="A229" s="213"/>
      <c r="B229" s="197"/>
      <c r="C229" s="166"/>
      <c r="D229" s="204"/>
      <c r="E229" s="32" t="s">
        <v>87</v>
      </c>
      <c r="F229" s="152"/>
      <c r="G229" s="32" t="s">
        <v>888</v>
      </c>
      <c r="H229" s="34" t="s">
        <v>253</v>
      </c>
      <c r="I229" s="32" t="s">
        <v>115</v>
      </c>
      <c r="J229" s="32" t="s">
        <v>917</v>
      </c>
      <c r="K229" s="34" t="s">
        <v>104</v>
      </c>
      <c r="L229" s="68" t="s">
        <v>255</v>
      </c>
      <c r="M229" s="73" t="s">
        <v>332</v>
      </c>
      <c r="N229" s="73" t="s">
        <v>161</v>
      </c>
      <c r="O229" s="73" t="s">
        <v>256</v>
      </c>
      <c r="P229" s="70">
        <v>6</v>
      </c>
      <c r="Q229" s="70">
        <v>2</v>
      </c>
      <c r="R229" s="33">
        <f t="shared" si="32"/>
        <v>12</v>
      </c>
      <c r="S229" s="33" t="str">
        <f t="shared" si="33"/>
        <v>ALTO</v>
      </c>
      <c r="T229" s="33">
        <v>10</v>
      </c>
      <c r="U229" s="75">
        <f t="shared" si="34"/>
        <v>120</v>
      </c>
      <c r="V229" s="33" t="str">
        <f t="shared" si="35"/>
        <v>lll</v>
      </c>
      <c r="W229" s="74" t="str">
        <f t="shared" si="36"/>
        <v>SI</v>
      </c>
      <c r="X229" s="33">
        <v>45</v>
      </c>
      <c r="Y229" s="31" t="s">
        <v>257</v>
      </c>
      <c r="Z229" s="33" t="s">
        <v>87</v>
      </c>
      <c r="AA229" s="34"/>
      <c r="AB229" s="40"/>
      <c r="AC229" s="34" t="s">
        <v>918</v>
      </c>
      <c r="AD229" s="34" t="s">
        <v>919</v>
      </c>
      <c r="AE229" s="34" t="s">
        <v>190</v>
      </c>
      <c r="AF229" s="34"/>
      <c r="AG229" s="41">
        <v>2</v>
      </c>
      <c r="AH229" s="41">
        <v>3</v>
      </c>
      <c r="AI229" s="33">
        <f t="shared" si="29"/>
        <v>6</v>
      </c>
      <c r="AJ229" s="33" t="str">
        <f t="shared" si="30"/>
        <v>MEDIO</v>
      </c>
      <c r="AK229" s="33">
        <v>60</v>
      </c>
      <c r="AL229" s="33">
        <f t="shared" si="37"/>
        <v>360</v>
      </c>
      <c r="AM229" s="33" t="str">
        <f t="shared" si="31"/>
        <v>RIESGO ALTO</v>
      </c>
      <c r="AN229" s="34"/>
      <c r="AO229" s="40"/>
      <c r="AP229" s="40" t="s">
        <v>920</v>
      </c>
      <c r="AQ229" s="34" t="s">
        <v>921</v>
      </c>
      <c r="AR229" s="34" t="s">
        <v>93</v>
      </c>
      <c r="AS229" s="61" t="s">
        <v>842</v>
      </c>
      <c r="EQ229" s="15"/>
      <c r="ER229" s="15"/>
      <c r="ES229" s="15"/>
      <c r="ET229" s="15"/>
      <c r="EU229" s="15"/>
      <c r="EV229" s="15"/>
    </row>
    <row r="230" spans="1:152" s="8" customFormat="1" ht="67.2" x14ac:dyDescent="0.25">
      <c r="A230" s="213"/>
      <c r="B230" s="197"/>
      <c r="C230" s="166"/>
      <c r="D230" s="204"/>
      <c r="E230" s="32" t="s">
        <v>87</v>
      </c>
      <c r="F230" s="152"/>
      <c r="G230" s="32" t="s">
        <v>888</v>
      </c>
      <c r="H230" s="34" t="s">
        <v>631</v>
      </c>
      <c r="I230" s="32" t="s">
        <v>291</v>
      </c>
      <c r="J230" s="32" t="s">
        <v>922</v>
      </c>
      <c r="K230" s="34" t="s">
        <v>104</v>
      </c>
      <c r="L230" s="68" t="s">
        <v>633</v>
      </c>
      <c r="M230" s="73" t="s">
        <v>332</v>
      </c>
      <c r="N230" s="73" t="s">
        <v>106</v>
      </c>
      <c r="O230" s="73" t="s">
        <v>294</v>
      </c>
      <c r="P230" s="70">
        <v>2</v>
      </c>
      <c r="Q230" s="41">
        <v>3</v>
      </c>
      <c r="R230" s="33">
        <f t="shared" si="32"/>
        <v>6</v>
      </c>
      <c r="S230" s="33" t="str">
        <f t="shared" si="33"/>
        <v>MEDIO</v>
      </c>
      <c r="T230" s="33">
        <v>10</v>
      </c>
      <c r="U230" s="75">
        <f t="shared" si="34"/>
        <v>60</v>
      </c>
      <c r="V230" s="33" t="str">
        <f t="shared" si="35"/>
        <v>lll</v>
      </c>
      <c r="W230" s="74" t="str">
        <f t="shared" si="36"/>
        <v>SI</v>
      </c>
      <c r="X230" s="33">
        <v>45</v>
      </c>
      <c r="Y230" s="31" t="s">
        <v>634</v>
      </c>
      <c r="Z230" s="33" t="s">
        <v>87</v>
      </c>
      <c r="AA230" s="34"/>
      <c r="AB230" s="40"/>
      <c r="AC230" s="34" t="s">
        <v>923</v>
      </c>
      <c r="AD230" s="34" t="s">
        <v>924</v>
      </c>
      <c r="AE230" s="34"/>
      <c r="AF230" s="34"/>
      <c r="AG230" s="41">
        <v>2</v>
      </c>
      <c r="AH230" s="41">
        <v>3</v>
      </c>
      <c r="AI230" s="33">
        <f t="shared" ref="AI230:AI289" si="38">AG230*AH230</f>
        <v>6</v>
      </c>
      <c r="AJ230" s="33" t="str">
        <f t="shared" ref="AJ230:AJ289" si="39">IF(AND(AI230&gt;=0,AI230&lt;=4),"BAJO",IF(AND(AI230&gt;=6,AI230&lt;=8),"MEDIO",IF(AND(AI230&gt;=10,AI230&lt;=20),"ALTO",IF(AND(AI230&gt;=24,AI230&lt;=40),"MUY ALTO"))))</f>
        <v>MEDIO</v>
      </c>
      <c r="AK230" s="33">
        <v>60</v>
      </c>
      <c r="AL230" s="33">
        <f t="shared" si="37"/>
        <v>360</v>
      </c>
      <c r="AM230" s="33" t="str">
        <f t="shared" ref="AM230:AM289" si="40">IF(AND(AL230&gt;=0,AL230&lt;=120),"RIESGO ACEPTABLE",IF(AND(AL230&gt;=150,AL230&lt;=500),"RIESGO ALTO",IF(AND(AL230&gt;=600,AL230&lt;=4000),"RIESGO NO ACEPTABLE")))</f>
        <v>RIESGO ALTO</v>
      </c>
      <c r="AN230" s="34"/>
      <c r="AO230" s="40"/>
      <c r="AP230" s="34" t="s">
        <v>923</v>
      </c>
      <c r="AQ230" s="34" t="s">
        <v>925</v>
      </c>
      <c r="AR230" s="34"/>
      <c r="AS230" s="61" t="s">
        <v>729</v>
      </c>
      <c r="EQ230" s="15"/>
      <c r="ER230" s="15"/>
      <c r="ES230" s="15"/>
      <c r="ET230" s="15"/>
      <c r="EU230" s="15"/>
      <c r="EV230" s="15"/>
    </row>
    <row r="231" spans="1:152" s="8" customFormat="1" ht="76.8" x14ac:dyDescent="0.25">
      <c r="A231" s="213"/>
      <c r="B231" s="197"/>
      <c r="C231" s="166"/>
      <c r="D231" s="204"/>
      <c r="E231" s="32" t="s">
        <v>87</v>
      </c>
      <c r="F231" s="152"/>
      <c r="G231" s="32" t="s">
        <v>888</v>
      </c>
      <c r="H231" s="34" t="s">
        <v>198</v>
      </c>
      <c r="I231" s="32" t="s">
        <v>115</v>
      </c>
      <c r="J231" s="32" t="s">
        <v>926</v>
      </c>
      <c r="K231" s="34" t="s">
        <v>104</v>
      </c>
      <c r="L231" s="68" t="s">
        <v>200</v>
      </c>
      <c r="M231" s="73" t="s">
        <v>332</v>
      </c>
      <c r="N231" s="73" t="s">
        <v>875</v>
      </c>
      <c r="O231" s="73" t="s">
        <v>201</v>
      </c>
      <c r="P231" s="70">
        <v>2</v>
      </c>
      <c r="Q231" s="41">
        <v>3</v>
      </c>
      <c r="R231" s="33">
        <f t="shared" si="32"/>
        <v>6</v>
      </c>
      <c r="S231" s="33" t="str">
        <f t="shared" si="33"/>
        <v>MEDIO</v>
      </c>
      <c r="T231" s="33">
        <v>10</v>
      </c>
      <c r="U231" s="75">
        <f t="shared" si="34"/>
        <v>60</v>
      </c>
      <c r="V231" s="33" t="str">
        <f t="shared" si="35"/>
        <v>lll</v>
      </c>
      <c r="W231" s="74" t="str">
        <f t="shared" si="36"/>
        <v>SI</v>
      </c>
      <c r="X231" s="33">
        <v>45</v>
      </c>
      <c r="Y231" s="31" t="s">
        <v>202</v>
      </c>
      <c r="Z231" s="33" t="s">
        <v>87</v>
      </c>
      <c r="AA231" s="34"/>
      <c r="AB231" s="40"/>
      <c r="AC231" s="34" t="s">
        <v>927</v>
      </c>
      <c r="AD231" s="34" t="s">
        <v>928</v>
      </c>
      <c r="AE231" s="34"/>
      <c r="AF231" s="34" t="s">
        <v>707</v>
      </c>
      <c r="AG231" s="41">
        <v>2</v>
      </c>
      <c r="AH231" s="41">
        <v>3</v>
      </c>
      <c r="AI231" s="33">
        <f t="shared" si="38"/>
        <v>6</v>
      </c>
      <c r="AJ231" s="33" t="str">
        <f t="shared" si="39"/>
        <v>MEDIO</v>
      </c>
      <c r="AK231" s="33">
        <v>10</v>
      </c>
      <c r="AL231" s="33">
        <f t="shared" si="37"/>
        <v>60</v>
      </c>
      <c r="AM231" s="33" t="str">
        <f t="shared" si="40"/>
        <v>RIESGO ACEPTABLE</v>
      </c>
      <c r="AN231" s="34"/>
      <c r="AO231" s="40"/>
      <c r="AP231" s="34" t="s">
        <v>929</v>
      </c>
      <c r="AQ231" s="34" t="s">
        <v>930</v>
      </c>
      <c r="AR231" s="34"/>
      <c r="AS231" s="61" t="s">
        <v>707</v>
      </c>
      <c r="EQ231" s="15"/>
      <c r="ER231" s="15"/>
      <c r="ES231" s="15"/>
      <c r="ET231" s="15"/>
      <c r="EU231" s="15"/>
      <c r="EV231" s="15"/>
    </row>
    <row r="232" spans="1:152" s="8" customFormat="1" ht="76.8" x14ac:dyDescent="0.25">
      <c r="A232" s="213"/>
      <c r="B232" s="197"/>
      <c r="C232" s="166" t="s">
        <v>931</v>
      </c>
      <c r="D232" s="204" t="s">
        <v>932</v>
      </c>
      <c r="E232" s="32" t="s">
        <v>87</v>
      </c>
      <c r="F232" s="152" t="s">
        <v>933</v>
      </c>
      <c r="G232" s="32" t="s">
        <v>934</v>
      </c>
      <c r="H232" s="34" t="s">
        <v>114</v>
      </c>
      <c r="I232" s="32" t="s">
        <v>115</v>
      </c>
      <c r="J232" s="47" t="s">
        <v>935</v>
      </c>
      <c r="K232" s="32" t="s">
        <v>104</v>
      </c>
      <c r="L232" s="68" t="s">
        <v>117</v>
      </c>
      <c r="M232" s="73" t="s">
        <v>332</v>
      </c>
      <c r="N232" s="73" t="s">
        <v>875</v>
      </c>
      <c r="O232" s="73" t="s">
        <v>936</v>
      </c>
      <c r="P232" s="70">
        <v>2</v>
      </c>
      <c r="Q232" s="41">
        <v>4</v>
      </c>
      <c r="R232" s="33">
        <f t="shared" si="32"/>
        <v>8</v>
      </c>
      <c r="S232" s="33" t="str">
        <f t="shared" si="33"/>
        <v>MEDIO</v>
      </c>
      <c r="T232" s="33">
        <v>10</v>
      </c>
      <c r="U232" s="75">
        <f t="shared" si="34"/>
        <v>80</v>
      </c>
      <c r="V232" s="33" t="str">
        <f t="shared" si="35"/>
        <v>lll</v>
      </c>
      <c r="W232" s="74" t="str">
        <f t="shared" si="36"/>
        <v>SI</v>
      </c>
      <c r="X232" s="33">
        <v>45</v>
      </c>
      <c r="Y232" s="31" t="s">
        <v>119</v>
      </c>
      <c r="Z232" s="33" t="s">
        <v>87</v>
      </c>
      <c r="AA232" s="34"/>
      <c r="AB232" s="40"/>
      <c r="AC232" s="40" t="s">
        <v>937</v>
      </c>
      <c r="AD232" s="34" t="s">
        <v>938</v>
      </c>
      <c r="AE232" s="34" t="s">
        <v>844</v>
      </c>
      <c r="AF232" s="34" t="s">
        <v>845</v>
      </c>
      <c r="AG232" s="41">
        <v>2</v>
      </c>
      <c r="AH232" s="41">
        <v>4</v>
      </c>
      <c r="AI232" s="33">
        <f t="shared" si="38"/>
        <v>8</v>
      </c>
      <c r="AJ232" s="33" t="str">
        <f t="shared" si="39"/>
        <v>MEDIO</v>
      </c>
      <c r="AK232" s="33">
        <v>10</v>
      </c>
      <c r="AL232" s="33">
        <f t="shared" si="37"/>
        <v>80</v>
      </c>
      <c r="AM232" s="33" t="str">
        <f t="shared" si="40"/>
        <v>RIESGO ACEPTABLE</v>
      </c>
      <c r="AN232" s="34"/>
      <c r="AO232" s="40"/>
      <c r="AP232" s="40" t="s">
        <v>890</v>
      </c>
      <c r="AQ232" s="34" t="s">
        <v>846</v>
      </c>
      <c r="AR232" s="34" t="s">
        <v>847</v>
      </c>
      <c r="AS232" s="61" t="s">
        <v>845</v>
      </c>
      <c r="EQ232" s="15"/>
      <c r="ER232" s="15"/>
      <c r="ES232" s="15"/>
      <c r="ET232" s="15"/>
      <c r="EU232" s="15"/>
      <c r="EV232" s="15"/>
    </row>
    <row r="233" spans="1:152" s="8" customFormat="1" ht="67.2" x14ac:dyDescent="0.25">
      <c r="A233" s="213"/>
      <c r="B233" s="197"/>
      <c r="C233" s="166"/>
      <c r="D233" s="204"/>
      <c r="E233" s="32" t="s">
        <v>87</v>
      </c>
      <c r="F233" s="152"/>
      <c r="G233" s="32" t="s">
        <v>934</v>
      </c>
      <c r="H233" s="34" t="s">
        <v>101</v>
      </c>
      <c r="I233" s="32" t="s">
        <v>102</v>
      </c>
      <c r="J233" s="32" t="s">
        <v>891</v>
      </c>
      <c r="K233" s="32" t="s">
        <v>104</v>
      </c>
      <c r="L233" s="68" t="s">
        <v>105</v>
      </c>
      <c r="M233" s="73" t="s">
        <v>332</v>
      </c>
      <c r="N233" s="73" t="s">
        <v>106</v>
      </c>
      <c r="O233" s="73" t="s">
        <v>527</v>
      </c>
      <c r="P233" s="70">
        <v>2</v>
      </c>
      <c r="Q233" s="41">
        <v>3</v>
      </c>
      <c r="R233" s="33">
        <f t="shared" si="32"/>
        <v>6</v>
      </c>
      <c r="S233" s="33" t="str">
        <f t="shared" si="33"/>
        <v>MEDIO</v>
      </c>
      <c r="T233" s="33">
        <v>10</v>
      </c>
      <c r="U233" s="75">
        <f t="shared" si="34"/>
        <v>60</v>
      </c>
      <c r="V233" s="33" t="str">
        <f t="shared" si="35"/>
        <v>lll</v>
      </c>
      <c r="W233" s="74" t="str">
        <f t="shared" si="36"/>
        <v>SI</v>
      </c>
      <c r="X233" s="33">
        <v>45</v>
      </c>
      <c r="Y233" s="31" t="s">
        <v>108</v>
      </c>
      <c r="Z233" s="33" t="s">
        <v>87</v>
      </c>
      <c r="AA233" s="34"/>
      <c r="AB233" s="40"/>
      <c r="AC233" s="40" t="s">
        <v>849</v>
      </c>
      <c r="AD233" s="34" t="s">
        <v>850</v>
      </c>
      <c r="AE233" s="34" t="s">
        <v>274</v>
      </c>
      <c r="AF233" s="34" t="s">
        <v>110</v>
      </c>
      <c r="AG233" s="41">
        <v>2</v>
      </c>
      <c r="AH233" s="41">
        <v>3</v>
      </c>
      <c r="AI233" s="33">
        <f t="shared" si="38"/>
        <v>6</v>
      </c>
      <c r="AJ233" s="33" t="str">
        <f t="shared" si="39"/>
        <v>MEDIO</v>
      </c>
      <c r="AK233" s="33">
        <v>10</v>
      </c>
      <c r="AL233" s="33">
        <f t="shared" si="37"/>
        <v>60</v>
      </c>
      <c r="AM233" s="33" t="str">
        <f t="shared" si="40"/>
        <v>RIESGO ACEPTABLE</v>
      </c>
      <c r="AN233" s="34"/>
      <c r="AO233" s="40" t="s">
        <v>892</v>
      </c>
      <c r="AP233" s="40" t="s">
        <v>893</v>
      </c>
      <c r="AQ233" s="34" t="s">
        <v>894</v>
      </c>
      <c r="AR233" s="34" t="s">
        <v>274</v>
      </c>
      <c r="AS233" s="61" t="s">
        <v>110</v>
      </c>
      <c r="EQ233" s="15"/>
      <c r="ER233" s="15"/>
      <c r="ES233" s="15"/>
      <c r="ET233" s="15"/>
      <c r="EU233" s="15"/>
      <c r="EV233" s="15"/>
    </row>
    <row r="234" spans="1:152" s="8" customFormat="1" ht="76.8" x14ac:dyDescent="0.25">
      <c r="A234" s="213"/>
      <c r="B234" s="197"/>
      <c r="C234" s="166"/>
      <c r="D234" s="204"/>
      <c r="E234" s="32" t="s">
        <v>87</v>
      </c>
      <c r="F234" s="152"/>
      <c r="G234" s="32" t="s">
        <v>934</v>
      </c>
      <c r="H234" s="34" t="s">
        <v>863</v>
      </c>
      <c r="I234" s="32" t="s">
        <v>139</v>
      </c>
      <c r="J234" s="47" t="s">
        <v>864</v>
      </c>
      <c r="K234" s="32" t="s">
        <v>104</v>
      </c>
      <c r="L234" s="68" t="s">
        <v>141</v>
      </c>
      <c r="M234" s="73" t="s">
        <v>332</v>
      </c>
      <c r="N234" s="73" t="s">
        <v>875</v>
      </c>
      <c r="O234" s="73" t="s">
        <v>556</v>
      </c>
      <c r="P234" s="70">
        <v>2</v>
      </c>
      <c r="Q234" s="41">
        <v>3</v>
      </c>
      <c r="R234" s="33">
        <f t="shared" si="32"/>
        <v>6</v>
      </c>
      <c r="S234" s="33" t="str">
        <f t="shared" si="33"/>
        <v>MEDIO</v>
      </c>
      <c r="T234" s="33">
        <v>10</v>
      </c>
      <c r="U234" s="75">
        <f t="shared" si="34"/>
        <v>60</v>
      </c>
      <c r="V234" s="33" t="str">
        <f t="shared" si="35"/>
        <v>lll</v>
      </c>
      <c r="W234" s="74" t="str">
        <f t="shared" si="36"/>
        <v>SI</v>
      </c>
      <c r="X234" s="33">
        <v>45</v>
      </c>
      <c r="Y234" s="31" t="s">
        <v>218</v>
      </c>
      <c r="Z234" s="33" t="s">
        <v>87</v>
      </c>
      <c r="AA234" s="34"/>
      <c r="AB234" s="40"/>
      <c r="AC234" s="34" t="s">
        <v>939</v>
      </c>
      <c r="AD234" s="34" t="s">
        <v>859</v>
      </c>
      <c r="AE234" s="34"/>
      <c r="AF234" s="34" t="s">
        <v>940</v>
      </c>
      <c r="AG234" s="41">
        <v>2</v>
      </c>
      <c r="AH234" s="41">
        <v>3</v>
      </c>
      <c r="AI234" s="33">
        <f t="shared" si="38"/>
        <v>6</v>
      </c>
      <c r="AJ234" s="33" t="str">
        <f t="shared" si="39"/>
        <v>MEDIO</v>
      </c>
      <c r="AK234" s="33">
        <v>10</v>
      </c>
      <c r="AL234" s="33">
        <f t="shared" si="37"/>
        <v>60</v>
      </c>
      <c r="AM234" s="33" t="str">
        <f t="shared" si="40"/>
        <v>RIESGO ACEPTABLE</v>
      </c>
      <c r="AN234" s="34"/>
      <c r="AO234" s="40"/>
      <c r="AP234" s="34" t="s">
        <v>895</v>
      </c>
      <c r="AQ234" s="34" t="s">
        <v>896</v>
      </c>
      <c r="AR234" s="34"/>
      <c r="AS234" s="61" t="s">
        <v>860</v>
      </c>
      <c r="EQ234" s="15"/>
      <c r="ER234" s="15"/>
      <c r="ES234" s="15"/>
      <c r="ET234" s="15"/>
      <c r="EU234" s="15"/>
      <c r="EV234" s="15"/>
    </row>
    <row r="235" spans="1:152" s="8" customFormat="1" ht="76.8" x14ac:dyDescent="0.25">
      <c r="A235" s="213"/>
      <c r="B235" s="197"/>
      <c r="C235" s="166"/>
      <c r="D235" s="204"/>
      <c r="E235" s="32" t="s">
        <v>87</v>
      </c>
      <c r="F235" s="152"/>
      <c r="G235" s="32" t="s">
        <v>934</v>
      </c>
      <c r="H235" s="34" t="s">
        <v>138</v>
      </c>
      <c r="I235" s="32" t="s">
        <v>139</v>
      </c>
      <c r="J235" s="32" t="s">
        <v>858</v>
      </c>
      <c r="K235" s="32" t="s">
        <v>104</v>
      </c>
      <c r="L235" s="68" t="s">
        <v>475</v>
      </c>
      <c r="M235" s="73" t="s">
        <v>332</v>
      </c>
      <c r="N235" s="73" t="s">
        <v>875</v>
      </c>
      <c r="O235" s="73" t="s">
        <v>556</v>
      </c>
      <c r="P235" s="70">
        <v>2</v>
      </c>
      <c r="Q235" s="41">
        <v>2</v>
      </c>
      <c r="R235" s="33">
        <f t="shared" si="32"/>
        <v>4</v>
      </c>
      <c r="S235" s="33" t="str">
        <f t="shared" si="33"/>
        <v>BAJO</v>
      </c>
      <c r="T235" s="33">
        <v>10</v>
      </c>
      <c r="U235" s="75">
        <f t="shared" si="34"/>
        <v>40</v>
      </c>
      <c r="V235" s="33" t="str">
        <f t="shared" si="35"/>
        <v>lll</v>
      </c>
      <c r="W235" s="74" t="str">
        <f t="shared" si="36"/>
        <v>SI</v>
      </c>
      <c r="X235" s="33">
        <v>45</v>
      </c>
      <c r="Y235" s="31" t="s">
        <v>143</v>
      </c>
      <c r="Z235" s="33" t="s">
        <v>87</v>
      </c>
      <c r="AA235" s="34"/>
      <c r="AB235" s="40"/>
      <c r="AC235" s="40" t="s">
        <v>144</v>
      </c>
      <c r="AD235" s="34" t="s">
        <v>859</v>
      </c>
      <c r="AE235" s="34"/>
      <c r="AF235" s="34" t="s">
        <v>941</v>
      </c>
      <c r="AG235" s="41">
        <v>2</v>
      </c>
      <c r="AH235" s="41">
        <v>3</v>
      </c>
      <c r="AI235" s="33">
        <f t="shared" si="38"/>
        <v>6</v>
      </c>
      <c r="AJ235" s="33" t="str">
        <f t="shared" si="39"/>
        <v>MEDIO</v>
      </c>
      <c r="AK235" s="33">
        <v>10</v>
      </c>
      <c r="AL235" s="33">
        <f t="shared" si="37"/>
        <v>60</v>
      </c>
      <c r="AM235" s="33" t="str">
        <f t="shared" si="40"/>
        <v>RIESGO ACEPTABLE</v>
      </c>
      <c r="AN235" s="34"/>
      <c r="AO235" s="40"/>
      <c r="AP235" s="40" t="s">
        <v>861</v>
      </c>
      <c r="AQ235" s="34" t="s">
        <v>862</v>
      </c>
      <c r="AR235" s="34"/>
      <c r="AS235" s="61" t="s">
        <v>860</v>
      </c>
      <c r="EQ235" s="15"/>
      <c r="ER235" s="15"/>
      <c r="ES235" s="15"/>
      <c r="ET235" s="15"/>
      <c r="EU235" s="15"/>
      <c r="EV235" s="15"/>
    </row>
    <row r="236" spans="1:152" s="8" customFormat="1" ht="76.8" x14ac:dyDescent="0.25">
      <c r="A236" s="213"/>
      <c r="B236" s="197"/>
      <c r="C236" s="166"/>
      <c r="D236" s="204"/>
      <c r="E236" s="32" t="s">
        <v>87</v>
      </c>
      <c r="F236" s="152"/>
      <c r="G236" s="32" t="s">
        <v>934</v>
      </c>
      <c r="H236" s="34" t="s">
        <v>183</v>
      </c>
      <c r="I236" s="48" t="s">
        <v>173</v>
      </c>
      <c r="J236" s="34" t="s">
        <v>897</v>
      </c>
      <c r="K236" s="34" t="s">
        <v>104</v>
      </c>
      <c r="L236" s="68" t="s">
        <v>185</v>
      </c>
      <c r="M236" s="73" t="s">
        <v>332</v>
      </c>
      <c r="N236" s="73" t="s">
        <v>875</v>
      </c>
      <c r="O236" s="73" t="s">
        <v>942</v>
      </c>
      <c r="P236" s="70">
        <v>2</v>
      </c>
      <c r="Q236" s="41">
        <v>3</v>
      </c>
      <c r="R236" s="33">
        <f t="shared" si="32"/>
        <v>6</v>
      </c>
      <c r="S236" s="33" t="str">
        <f t="shared" si="33"/>
        <v>MEDIO</v>
      </c>
      <c r="T236" s="33">
        <v>10</v>
      </c>
      <c r="U236" s="75">
        <f t="shared" si="34"/>
        <v>60</v>
      </c>
      <c r="V236" s="33" t="str">
        <f t="shared" si="35"/>
        <v>lll</v>
      </c>
      <c r="W236" s="74" t="str">
        <f t="shared" si="36"/>
        <v>SI</v>
      </c>
      <c r="X236" s="33">
        <v>45</v>
      </c>
      <c r="Y236" s="31" t="s">
        <v>178</v>
      </c>
      <c r="Z236" s="33" t="s">
        <v>87</v>
      </c>
      <c r="AA236" s="34"/>
      <c r="AB236" s="40"/>
      <c r="AC236" s="40" t="s">
        <v>898</v>
      </c>
      <c r="AD236" s="34" t="s">
        <v>899</v>
      </c>
      <c r="AE236" s="34" t="s">
        <v>900</v>
      </c>
      <c r="AF236" s="34" t="s">
        <v>901</v>
      </c>
      <c r="AG236" s="41">
        <v>2</v>
      </c>
      <c r="AH236" s="41">
        <v>3</v>
      </c>
      <c r="AI236" s="33">
        <f t="shared" si="38"/>
        <v>6</v>
      </c>
      <c r="AJ236" s="33" t="str">
        <f t="shared" si="39"/>
        <v>MEDIO</v>
      </c>
      <c r="AK236" s="33">
        <v>60</v>
      </c>
      <c r="AL236" s="33">
        <f t="shared" si="37"/>
        <v>360</v>
      </c>
      <c r="AM236" s="33" t="str">
        <f t="shared" si="40"/>
        <v>RIESGO ALTO</v>
      </c>
      <c r="AN236" s="34"/>
      <c r="AO236" s="40"/>
      <c r="AP236" s="40" t="s">
        <v>902</v>
      </c>
      <c r="AQ236" s="34" t="s">
        <v>903</v>
      </c>
      <c r="AR236" s="34" t="s">
        <v>900</v>
      </c>
      <c r="AS236" s="61" t="s">
        <v>901</v>
      </c>
      <c r="EQ236" s="15"/>
      <c r="ER236" s="15"/>
      <c r="ES236" s="15"/>
      <c r="ET236" s="15"/>
      <c r="EU236" s="15"/>
      <c r="EV236" s="15"/>
    </row>
    <row r="237" spans="1:152" s="8" customFormat="1" ht="76.8" x14ac:dyDescent="0.25">
      <c r="A237" s="213"/>
      <c r="B237" s="197"/>
      <c r="C237" s="166"/>
      <c r="D237" s="204"/>
      <c r="E237" s="32" t="s">
        <v>87</v>
      </c>
      <c r="F237" s="152"/>
      <c r="G237" s="32" t="s">
        <v>934</v>
      </c>
      <c r="H237" s="34" t="s">
        <v>227</v>
      </c>
      <c r="I237" s="32" t="s">
        <v>158</v>
      </c>
      <c r="J237" s="47" t="s">
        <v>904</v>
      </c>
      <c r="K237" s="32" t="s">
        <v>104</v>
      </c>
      <c r="L237" s="68" t="s">
        <v>229</v>
      </c>
      <c r="M237" s="73" t="s">
        <v>332</v>
      </c>
      <c r="N237" s="73" t="s">
        <v>875</v>
      </c>
      <c r="O237" s="73" t="s">
        <v>943</v>
      </c>
      <c r="P237" s="70">
        <v>2</v>
      </c>
      <c r="Q237" s="41">
        <v>3</v>
      </c>
      <c r="R237" s="33">
        <f t="shared" si="32"/>
        <v>6</v>
      </c>
      <c r="S237" s="33" t="str">
        <f t="shared" si="33"/>
        <v>MEDIO</v>
      </c>
      <c r="T237" s="33">
        <v>10</v>
      </c>
      <c r="U237" s="75">
        <f t="shared" si="34"/>
        <v>60</v>
      </c>
      <c r="V237" s="33" t="str">
        <f t="shared" si="35"/>
        <v>lll</v>
      </c>
      <c r="W237" s="74" t="str">
        <f t="shared" si="36"/>
        <v>SI</v>
      </c>
      <c r="X237" s="33">
        <v>45</v>
      </c>
      <c r="Y237" s="31" t="s">
        <v>163</v>
      </c>
      <c r="Z237" s="33" t="s">
        <v>87</v>
      </c>
      <c r="AA237" s="34"/>
      <c r="AB237" s="40"/>
      <c r="AC237" s="40"/>
      <c r="AD237" s="34" t="s">
        <v>905</v>
      </c>
      <c r="AE237" s="34" t="s">
        <v>867</v>
      </c>
      <c r="AF237" s="34" t="s">
        <v>868</v>
      </c>
      <c r="AG237" s="41">
        <v>2</v>
      </c>
      <c r="AH237" s="41">
        <v>3</v>
      </c>
      <c r="AI237" s="33">
        <f t="shared" si="38"/>
        <v>6</v>
      </c>
      <c r="AJ237" s="33" t="str">
        <f t="shared" si="39"/>
        <v>MEDIO</v>
      </c>
      <c r="AK237" s="33">
        <v>10</v>
      </c>
      <c r="AL237" s="33">
        <f t="shared" si="37"/>
        <v>60</v>
      </c>
      <c r="AM237" s="33" t="str">
        <f t="shared" si="40"/>
        <v>RIESGO ACEPTABLE</v>
      </c>
      <c r="AN237" s="34"/>
      <c r="AO237" s="40"/>
      <c r="AP237" s="40"/>
      <c r="AQ237" s="34" t="s">
        <v>906</v>
      </c>
      <c r="AR237" s="34" t="s">
        <v>867</v>
      </c>
      <c r="AS237" s="61" t="s">
        <v>235</v>
      </c>
      <c r="EQ237" s="15"/>
      <c r="ER237" s="15"/>
      <c r="ES237" s="15"/>
      <c r="ET237" s="15"/>
      <c r="EU237" s="15"/>
      <c r="EV237" s="15"/>
    </row>
    <row r="238" spans="1:152" s="8" customFormat="1" ht="76.8" x14ac:dyDescent="0.25">
      <c r="A238" s="213"/>
      <c r="B238" s="197"/>
      <c r="C238" s="166"/>
      <c r="D238" s="204"/>
      <c r="E238" s="32" t="s">
        <v>87</v>
      </c>
      <c r="F238" s="152"/>
      <c r="G238" s="32" t="s">
        <v>934</v>
      </c>
      <c r="H238" s="34" t="s">
        <v>246</v>
      </c>
      <c r="I238" s="32" t="s">
        <v>115</v>
      </c>
      <c r="J238" s="32" t="s">
        <v>435</v>
      </c>
      <c r="K238" s="32" t="s">
        <v>248</v>
      </c>
      <c r="L238" s="68" t="s">
        <v>249</v>
      </c>
      <c r="M238" s="73" t="s">
        <v>332</v>
      </c>
      <c r="N238" s="73" t="s">
        <v>875</v>
      </c>
      <c r="O238" s="73" t="s">
        <v>250</v>
      </c>
      <c r="P238" s="70">
        <v>2</v>
      </c>
      <c r="Q238" s="41">
        <v>2</v>
      </c>
      <c r="R238" s="33">
        <f t="shared" si="32"/>
        <v>4</v>
      </c>
      <c r="S238" s="33" t="str">
        <f t="shared" si="33"/>
        <v>BAJO</v>
      </c>
      <c r="T238" s="33">
        <v>10</v>
      </c>
      <c r="U238" s="75">
        <f t="shared" si="34"/>
        <v>40</v>
      </c>
      <c r="V238" s="33" t="str">
        <f t="shared" si="35"/>
        <v>lll</v>
      </c>
      <c r="W238" s="74" t="str">
        <f t="shared" si="36"/>
        <v>SI</v>
      </c>
      <c r="X238" s="33">
        <v>45</v>
      </c>
      <c r="Y238" s="31" t="s">
        <v>251</v>
      </c>
      <c r="Z238" s="33" t="s">
        <v>87</v>
      </c>
      <c r="AA238" s="34"/>
      <c r="AB238" s="40"/>
      <c r="AC238" s="40"/>
      <c r="AD238" s="34" t="s">
        <v>853</v>
      </c>
      <c r="AE238" s="34" t="s">
        <v>854</v>
      </c>
      <c r="AF238" s="34" t="s">
        <v>855</v>
      </c>
      <c r="AG238" s="41">
        <v>2</v>
      </c>
      <c r="AH238" s="41">
        <v>2</v>
      </c>
      <c r="AI238" s="33">
        <f t="shared" si="38"/>
        <v>4</v>
      </c>
      <c r="AJ238" s="33" t="str">
        <f t="shared" si="39"/>
        <v>BAJO</v>
      </c>
      <c r="AK238" s="33">
        <v>10</v>
      </c>
      <c r="AL238" s="33">
        <f t="shared" si="37"/>
        <v>40</v>
      </c>
      <c r="AM238" s="33" t="str">
        <f t="shared" si="40"/>
        <v>RIESGO ACEPTABLE</v>
      </c>
      <c r="AN238" s="34"/>
      <c r="AO238" s="40"/>
      <c r="AP238" s="40"/>
      <c r="AQ238" s="34" t="s">
        <v>907</v>
      </c>
      <c r="AR238" s="34" t="s">
        <v>854</v>
      </c>
      <c r="AS238" s="61" t="s">
        <v>908</v>
      </c>
      <c r="EQ238" s="15"/>
      <c r="ER238" s="15"/>
      <c r="ES238" s="15"/>
      <c r="ET238" s="15"/>
      <c r="EU238" s="15"/>
      <c r="EV238" s="15"/>
    </row>
    <row r="239" spans="1:152" s="8" customFormat="1" ht="76.8" x14ac:dyDescent="0.25">
      <c r="A239" s="213"/>
      <c r="B239" s="197"/>
      <c r="C239" s="166"/>
      <c r="D239" s="204"/>
      <c r="E239" s="32" t="s">
        <v>87</v>
      </c>
      <c r="F239" s="152"/>
      <c r="G239" s="32" t="s">
        <v>934</v>
      </c>
      <c r="H239" s="34" t="s">
        <v>246</v>
      </c>
      <c r="I239" s="32" t="s">
        <v>115</v>
      </c>
      <c r="J239" s="32" t="s">
        <v>247</v>
      </c>
      <c r="K239" s="32" t="s">
        <v>248</v>
      </c>
      <c r="L239" s="68" t="s">
        <v>249</v>
      </c>
      <c r="M239" s="73" t="s">
        <v>332</v>
      </c>
      <c r="N239" s="73" t="s">
        <v>875</v>
      </c>
      <c r="O239" s="73" t="s">
        <v>250</v>
      </c>
      <c r="P239" s="70">
        <v>2</v>
      </c>
      <c r="Q239" s="41">
        <v>2</v>
      </c>
      <c r="R239" s="33">
        <f t="shared" si="32"/>
        <v>4</v>
      </c>
      <c r="S239" s="33" t="str">
        <f t="shared" si="33"/>
        <v>BAJO</v>
      </c>
      <c r="T239" s="33">
        <v>10</v>
      </c>
      <c r="U239" s="75">
        <f t="shared" si="34"/>
        <v>40</v>
      </c>
      <c r="V239" s="33" t="str">
        <f t="shared" si="35"/>
        <v>lll</v>
      </c>
      <c r="W239" s="74" t="str">
        <f t="shared" si="36"/>
        <v>SI</v>
      </c>
      <c r="X239" s="33">
        <v>45</v>
      </c>
      <c r="Y239" s="31" t="s">
        <v>251</v>
      </c>
      <c r="Z239" s="33" t="s">
        <v>87</v>
      </c>
      <c r="AA239" s="34"/>
      <c r="AB239" s="40"/>
      <c r="AC239" s="40"/>
      <c r="AD239" s="34" t="s">
        <v>252</v>
      </c>
      <c r="AE239" s="34"/>
      <c r="AF239" s="34"/>
      <c r="AG239" s="41">
        <v>2</v>
      </c>
      <c r="AH239" s="41">
        <v>2</v>
      </c>
      <c r="AI239" s="33">
        <f t="shared" si="38"/>
        <v>4</v>
      </c>
      <c r="AJ239" s="33" t="str">
        <f t="shared" si="39"/>
        <v>BAJO</v>
      </c>
      <c r="AK239" s="33">
        <v>10</v>
      </c>
      <c r="AL239" s="33">
        <f t="shared" si="37"/>
        <v>40</v>
      </c>
      <c r="AM239" s="33" t="str">
        <f t="shared" si="40"/>
        <v>RIESGO ACEPTABLE</v>
      </c>
      <c r="AN239" s="34"/>
      <c r="AO239" s="40"/>
      <c r="AP239" s="40"/>
      <c r="AQ239" s="34" t="s">
        <v>252</v>
      </c>
      <c r="AR239" s="34"/>
      <c r="AS239" s="61"/>
      <c r="EQ239" s="15"/>
      <c r="ER239" s="15"/>
      <c r="ES239" s="15"/>
      <c r="ET239" s="15"/>
      <c r="EU239" s="15"/>
      <c r="EV239" s="15"/>
    </row>
    <row r="240" spans="1:152" s="8" customFormat="1" ht="76.8" x14ac:dyDescent="0.25">
      <c r="A240" s="213"/>
      <c r="B240" s="197"/>
      <c r="C240" s="166"/>
      <c r="D240" s="204"/>
      <c r="E240" s="32" t="s">
        <v>87</v>
      </c>
      <c r="F240" s="152"/>
      <c r="G240" s="32" t="s">
        <v>934</v>
      </c>
      <c r="H240" s="34" t="s">
        <v>157</v>
      </c>
      <c r="I240" s="32" t="s">
        <v>158</v>
      </c>
      <c r="J240" s="47" t="s">
        <v>865</v>
      </c>
      <c r="K240" s="32" t="s">
        <v>104</v>
      </c>
      <c r="L240" s="68" t="s">
        <v>160</v>
      </c>
      <c r="M240" s="73" t="s">
        <v>332</v>
      </c>
      <c r="N240" s="73" t="s">
        <v>875</v>
      </c>
      <c r="O240" s="73" t="s">
        <v>590</v>
      </c>
      <c r="P240" s="70">
        <v>2</v>
      </c>
      <c r="Q240" s="41">
        <v>3</v>
      </c>
      <c r="R240" s="33">
        <f t="shared" si="32"/>
        <v>6</v>
      </c>
      <c r="S240" s="33" t="str">
        <f t="shared" si="33"/>
        <v>MEDIO</v>
      </c>
      <c r="T240" s="33">
        <v>10</v>
      </c>
      <c r="U240" s="75">
        <f t="shared" si="34"/>
        <v>60</v>
      </c>
      <c r="V240" s="33" t="str">
        <f t="shared" si="35"/>
        <v>lll</v>
      </c>
      <c r="W240" s="74" t="str">
        <f t="shared" si="36"/>
        <v>SI</v>
      </c>
      <c r="X240" s="33">
        <v>45</v>
      </c>
      <c r="Y240" s="31" t="s">
        <v>163</v>
      </c>
      <c r="Z240" s="33" t="s">
        <v>87</v>
      </c>
      <c r="AA240" s="34"/>
      <c r="AB240" s="40"/>
      <c r="AC240" s="40"/>
      <c r="AD240" s="34" t="s">
        <v>866</v>
      </c>
      <c r="AE240" s="34" t="s">
        <v>867</v>
      </c>
      <c r="AF240" s="34" t="s">
        <v>868</v>
      </c>
      <c r="AG240" s="41">
        <v>2</v>
      </c>
      <c r="AH240" s="41">
        <v>3</v>
      </c>
      <c r="AI240" s="33">
        <f t="shared" si="38"/>
        <v>6</v>
      </c>
      <c r="AJ240" s="33" t="str">
        <f t="shared" si="39"/>
        <v>MEDIO</v>
      </c>
      <c r="AK240" s="33">
        <v>10</v>
      </c>
      <c r="AL240" s="33">
        <f t="shared" si="37"/>
        <v>60</v>
      </c>
      <c r="AM240" s="33" t="str">
        <f t="shared" si="40"/>
        <v>RIESGO ACEPTABLE</v>
      </c>
      <c r="AN240" s="34"/>
      <c r="AO240" s="40"/>
      <c r="AP240" s="40"/>
      <c r="AQ240" s="34" t="s">
        <v>906</v>
      </c>
      <c r="AR240" s="34" t="s">
        <v>867</v>
      </c>
      <c r="AS240" s="61" t="s">
        <v>235</v>
      </c>
      <c r="EQ240" s="15"/>
      <c r="ER240" s="15"/>
      <c r="ES240" s="15"/>
      <c r="ET240" s="15"/>
      <c r="EU240" s="15"/>
      <c r="EV240" s="15"/>
    </row>
    <row r="241" spans="1:152" s="8" customFormat="1" ht="76.8" x14ac:dyDescent="0.25">
      <c r="A241" s="213"/>
      <c r="B241" s="197"/>
      <c r="C241" s="166"/>
      <c r="D241" s="204"/>
      <c r="E241" s="32" t="s">
        <v>87</v>
      </c>
      <c r="F241" s="152"/>
      <c r="G241" s="32" t="s">
        <v>934</v>
      </c>
      <c r="H241" s="34" t="s">
        <v>341</v>
      </c>
      <c r="I241" s="32" t="s">
        <v>158</v>
      </c>
      <c r="J241" s="47" t="s">
        <v>909</v>
      </c>
      <c r="K241" s="40" t="s">
        <v>104</v>
      </c>
      <c r="L241" s="68" t="s">
        <v>336</v>
      </c>
      <c r="M241" s="73" t="s">
        <v>332</v>
      </c>
      <c r="N241" s="73" t="s">
        <v>875</v>
      </c>
      <c r="O241" s="73" t="s">
        <v>944</v>
      </c>
      <c r="P241" s="70">
        <v>2</v>
      </c>
      <c r="Q241" s="41">
        <v>3</v>
      </c>
      <c r="R241" s="33">
        <f t="shared" si="32"/>
        <v>6</v>
      </c>
      <c r="S241" s="33" t="str">
        <f t="shared" si="33"/>
        <v>MEDIO</v>
      </c>
      <c r="T241" s="33">
        <v>10</v>
      </c>
      <c r="U241" s="75">
        <f t="shared" si="34"/>
        <v>60</v>
      </c>
      <c r="V241" s="33" t="str">
        <f t="shared" si="35"/>
        <v>lll</v>
      </c>
      <c r="W241" s="74" t="str">
        <f t="shared" si="36"/>
        <v>SI</v>
      </c>
      <c r="X241" s="33">
        <v>45</v>
      </c>
      <c r="Y241" s="31" t="s">
        <v>178</v>
      </c>
      <c r="Z241" s="33" t="s">
        <v>87</v>
      </c>
      <c r="AA241" s="34"/>
      <c r="AB241" s="40"/>
      <c r="AC241" s="40"/>
      <c r="AD241" s="34" t="s">
        <v>866</v>
      </c>
      <c r="AE241" s="34" t="s">
        <v>867</v>
      </c>
      <c r="AF241" s="34" t="s">
        <v>868</v>
      </c>
      <c r="AG241" s="41">
        <v>2</v>
      </c>
      <c r="AH241" s="41">
        <v>3</v>
      </c>
      <c r="AI241" s="33">
        <f t="shared" si="38"/>
        <v>6</v>
      </c>
      <c r="AJ241" s="33" t="str">
        <f t="shared" si="39"/>
        <v>MEDIO</v>
      </c>
      <c r="AK241" s="33">
        <v>10</v>
      </c>
      <c r="AL241" s="33">
        <f t="shared" si="37"/>
        <v>60</v>
      </c>
      <c r="AM241" s="33" t="str">
        <f t="shared" si="40"/>
        <v>RIESGO ACEPTABLE</v>
      </c>
      <c r="AN241" s="34"/>
      <c r="AO241" s="40"/>
      <c r="AP241" s="40"/>
      <c r="AQ241" s="34" t="s">
        <v>906</v>
      </c>
      <c r="AR241" s="34" t="s">
        <v>867</v>
      </c>
      <c r="AS241" s="61" t="s">
        <v>235</v>
      </c>
      <c r="EQ241" s="15"/>
      <c r="ER241" s="15"/>
      <c r="ES241" s="15"/>
      <c r="ET241" s="15"/>
      <c r="EU241" s="15"/>
      <c r="EV241" s="15"/>
    </row>
    <row r="242" spans="1:152" s="8" customFormat="1" ht="76.8" x14ac:dyDescent="0.25">
      <c r="A242" s="213"/>
      <c r="B242" s="197"/>
      <c r="C242" s="166"/>
      <c r="D242" s="204"/>
      <c r="E242" s="32" t="s">
        <v>87</v>
      </c>
      <c r="F242" s="152"/>
      <c r="G242" s="32" t="s">
        <v>934</v>
      </c>
      <c r="H242" s="34" t="s">
        <v>128</v>
      </c>
      <c r="I242" s="32" t="s">
        <v>129</v>
      </c>
      <c r="J242" s="32" t="s">
        <v>910</v>
      </c>
      <c r="K242" s="32" t="s">
        <v>248</v>
      </c>
      <c r="L242" s="68" t="s">
        <v>131</v>
      </c>
      <c r="M242" s="73" t="s">
        <v>332</v>
      </c>
      <c r="N242" s="73" t="s">
        <v>875</v>
      </c>
      <c r="O242" s="73" t="s">
        <v>132</v>
      </c>
      <c r="P242" s="70">
        <v>2</v>
      </c>
      <c r="Q242" s="41">
        <v>3</v>
      </c>
      <c r="R242" s="33">
        <f t="shared" si="32"/>
        <v>6</v>
      </c>
      <c r="S242" s="33" t="str">
        <f t="shared" si="33"/>
        <v>MEDIO</v>
      </c>
      <c r="T242" s="33">
        <v>10</v>
      </c>
      <c r="U242" s="75">
        <f t="shared" si="34"/>
        <v>60</v>
      </c>
      <c r="V242" s="33" t="str">
        <f t="shared" si="35"/>
        <v>lll</v>
      </c>
      <c r="W242" s="74" t="str">
        <f t="shared" si="36"/>
        <v>SI</v>
      </c>
      <c r="X242" s="33">
        <v>45</v>
      </c>
      <c r="Y242" s="31" t="s">
        <v>133</v>
      </c>
      <c r="Z242" s="33" t="s">
        <v>87</v>
      </c>
      <c r="AA242" s="34"/>
      <c r="AB242" s="40"/>
      <c r="AC242" s="40"/>
      <c r="AD242" s="34" t="s">
        <v>911</v>
      </c>
      <c r="AE242" s="34"/>
      <c r="AF242" s="34" t="s">
        <v>912</v>
      </c>
      <c r="AG242" s="41">
        <v>2</v>
      </c>
      <c r="AH242" s="41">
        <v>3</v>
      </c>
      <c r="AI242" s="33">
        <f t="shared" si="38"/>
        <v>6</v>
      </c>
      <c r="AJ242" s="33" t="str">
        <f t="shared" si="39"/>
        <v>MEDIO</v>
      </c>
      <c r="AK242" s="33">
        <v>10</v>
      </c>
      <c r="AL242" s="33">
        <f t="shared" si="37"/>
        <v>60</v>
      </c>
      <c r="AM242" s="33" t="str">
        <f t="shared" si="40"/>
        <v>RIESGO ACEPTABLE</v>
      </c>
      <c r="AN242" s="34"/>
      <c r="AO242" s="40"/>
      <c r="AP242" s="40"/>
      <c r="AQ242" s="34" t="s">
        <v>136</v>
      </c>
      <c r="AR242" s="34" t="s">
        <v>913</v>
      </c>
      <c r="AS242" s="61" t="s">
        <v>880</v>
      </c>
      <c r="EQ242" s="15"/>
      <c r="ER242" s="15"/>
      <c r="ES242" s="15"/>
      <c r="ET242" s="15"/>
      <c r="EU242" s="15"/>
      <c r="EV242" s="15"/>
    </row>
    <row r="243" spans="1:152" s="8" customFormat="1" ht="76.8" x14ac:dyDescent="0.25">
      <c r="A243" s="213"/>
      <c r="B243" s="197"/>
      <c r="C243" s="166"/>
      <c r="D243" s="204"/>
      <c r="E243" s="32" t="s">
        <v>87</v>
      </c>
      <c r="F243" s="152"/>
      <c r="G243" s="32" t="s">
        <v>934</v>
      </c>
      <c r="H243" s="34" t="s">
        <v>191</v>
      </c>
      <c r="I243" s="32" t="s">
        <v>173</v>
      </c>
      <c r="J243" s="32" t="s">
        <v>945</v>
      </c>
      <c r="K243" s="32" t="s">
        <v>248</v>
      </c>
      <c r="L243" s="68" t="s">
        <v>193</v>
      </c>
      <c r="M243" s="73" t="s">
        <v>332</v>
      </c>
      <c r="N243" s="73" t="s">
        <v>875</v>
      </c>
      <c r="O243" s="73" t="s">
        <v>491</v>
      </c>
      <c r="P243" s="70">
        <v>2</v>
      </c>
      <c r="Q243" s="41">
        <v>3</v>
      </c>
      <c r="R243" s="33">
        <f t="shared" si="32"/>
        <v>6</v>
      </c>
      <c r="S243" s="33" t="str">
        <f t="shared" si="33"/>
        <v>MEDIO</v>
      </c>
      <c r="T243" s="33">
        <v>10</v>
      </c>
      <c r="U243" s="75">
        <f t="shared" si="34"/>
        <v>60</v>
      </c>
      <c r="V243" s="33" t="str">
        <f t="shared" si="35"/>
        <v>lll</v>
      </c>
      <c r="W243" s="74" t="str">
        <f t="shared" si="36"/>
        <v>SI</v>
      </c>
      <c r="X243" s="33">
        <v>45</v>
      </c>
      <c r="Y243" s="31" t="s">
        <v>195</v>
      </c>
      <c r="Z243" s="33" t="s">
        <v>87</v>
      </c>
      <c r="AA243" s="34"/>
      <c r="AB243" s="40"/>
      <c r="AC243" s="40" t="s">
        <v>898</v>
      </c>
      <c r="AD243" s="34" t="s">
        <v>899</v>
      </c>
      <c r="AE243" s="34" t="s">
        <v>900</v>
      </c>
      <c r="AF243" s="34" t="s">
        <v>901</v>
      </c>
      <c r="AG243" s="41">
        <v>2</v>
      </c>
      <c r="AH243" s="41">
        <v>3</v>
      </c>
      <c r="AI243" s="33">
        <f t="shared" si="38"/>
        <v>6</v>
      </c>
      <c r="AJ243" s="33" t="str">
        <f t="shared" si="39"/>
        <v>MEDIO</v>
      </c>
      <c r="AK243" s="33">
        <v>10</v>
      </c>
      <c r="AL243" s="33">
        <f t="shared" si="37"/>
        <v>60</v>
      </c>
      <c r="AM243" s="33" t="str">
        <f t="shared" si="40"/>
        <v>RIESGO ACEPTABLE</v>
      </c>
      <c r="AN243" s="34"/>
      <c r="AO243" s="40"/>
      <c r="AP243" s="40" t="s">
        <v>902</v>
      </c>
      <c r="AQ243" s="34" t="s">
        <v>903</v>
      </c>
      <c r="AR243" s="34" t="s">
        <v>900</v>
      </c>
      <c r="AS243" s="61" t="s">
        <v>901</v>
      </c>
      <c r="EQ243" s="15"/>
      <c r="ER243" s="15"/>
      <c r="ES243" s="15"/>
      <c r="ET243" s="15"/>
      <c r="EU243" s="15"/>
      <c r="EV243" s="15"/>
    </row>
    <row r="244" spans="1:152" s="8" customFormat="1" ht="76.8" x14ac:dyDescent="0.25">
      <c r="A244" s="213"/>
      <c r="B244" s="197"/>
      <c r="C244" s="166"/>
      <c r="D244" s="204"/>
      <c r="E244" s="32" t="s">
        <v>87</v>
      </c>
      <c r="F244" s="152"/>
      <c r="G244" s="32" t="s">
        <v>934</v>
      </c>
      <c r="H244" s="34" t="s">
        <v>393</v>
      </c>
      <c r="I244" s="32" t="s">
        <v>115</v>
      </c>
      <c r="J244" s="32" t="s">
        <v>874</v>
      </c>
      <c r="K244" s="40" t="s">
        <v>104</v>
      </c>
      <c r="L244" s="68" t="s">
        <v>395</v>
      </c>
      <c r="M244" s="73" t="s">
        <v>332</v>
      </c>
      <c r="N244" s="73" t="s">
        <v>875</v>
      </c>
      <c r="O244" s="73" t="s">
        <v>396</v>
      </c>
      <c r="P244" s="71">
        <v>2</v>
      </c>
      <c r="Q244" s="44">
        <v>1</v>
      </c>
      <c r="R244" s="33">
        <f t="shared" si="32"/>
        <v>2</v>
      </c>
      <c r="S244" s="33" t="str">
        <f t="shared" si="33"/>
        <v>BAJO</v>
      </c>
      <c r="T244" s="33">
        <v>10</v>
      </c>
      <c r="U244" s="75">
        <f t="shared" si="34"/>
        <v>20</v>
      </c>
      <c r="V244" s="33" t="str">
        <f t="shared" si="35"/>
        <v xml:space="preserve">IV </v>
      </c>
      <c r="W244" s="74" t="b">
        <f t="shared" si="36"/>
        <v>0</v>
      </c>
      <c r="X244" s="33">
        <v>45</v>
      </c>
      <c r="Y244" s="31" t="s">
        <v>397</v>
      </c>
      <c r="Z244" s="33" t="s">
        <v>87</v>
      </c>
      <c r="AA244" s="34"/>
      <c r="AB244" s="40"/>
      <c r="AC244" s="40" t="s">
        <v>876</v>
      </c>
      <c r="AD244" s="34" t="s">
        <v>877</v>
      </c>
      <c r="AE244" s="34"/>
      <c r="AF244" s="34" t="s">
        <v>878</v>
      </c>
      <c r="AG244" s="41">
        <v>2</v>
      </c>
      <c r="AH244" s="41">
        <v>4</v>
      </c>
      <c r="AI244" s="33">
        <f t="shared" si="38"/>
        <v>8</v>
      </c>
      <c r="AJ244" s="33" t="str">
        <f t="shared" si="39"/>
        <v>MEDIO</v>
      </c>
      <c r="AK244" s="33">
        <v>10</v>
      </c>
      <c r="AL244" s="33">
        <f t="shared" si="37"/>
        <v>80</v>
      </c>
      <c r="AM244" s="33" t="str">
        <f t="shared" si="40"/>
        <v>RIESGO ACEPTABLE</v>
      </c>
      <c r="AN244" s="34"/>
      <c r="AO244" s="40"/>
      <c r="AP244" s="40" t="s">
        <v>915</v>
      </c>
      <c r="AQ244" s="34" t="s">
        <v>946</v>
      </c>
      <c r="AR244" s="34"/>
      <c r="AS244" s="61" t="s">
        <v>878</v>
      </c>
      <c r="EQ244" s="15"/>
      <c r="ER244" s="15"/>
      <c r="ES244" s="15"/>
      <c r="ET244" s="15"/>
      <c r="EU244" s="15"/>
      <c r="EV244" s="15"/>
    </row>
    <row r="245" spans="1:152" s="8" customFormat="1" ht="76.8" x14ac:dyDescent="0.25">
      <c r="A245" s="213"/>
      <c r="B245" s="197"/>
      <c r="C245" s="166"/>
      <c r="D245" s="204"/>
      <c r="E245" s="32" t="s">
        <v>87</v>
      </c>
      <c r="F245" s="152"/>
      <c r="G245" s="32" t="s">
        <v>934</v>
      </c>
      <c r="H245" s="34" t="s">
        <v>79</v>
      </c>
      <c r="I245" s="32" t="s">
        <v>80</v>
      </c>
      <c r="J245" s="47" t="s">
        <v>447</v>
      </c>
      <c r="K245" s="32" t="s">
        <v>104</v>
      </c>
      <c r="L245" s="68" t="s">
        <v>448</v>
      </c>
      <c r="M245" s="73" t="s">
        <v>332</v>
      </c>
      <c r="N245" s="73" t="s">
        <v>875</v>
      </c>
      <c r="O245" s="7" t="s">
        <v>85</v>
      </c>
      <c r="P245" s="70">
        <v>2</v>
      </c>
      <c r="Q245" s="41">
        <v>3</v>
      </c>
      <c r="R245" s="33">
        <f t="shared" si="32"/>
        <v>6</v>
      </c>
      <c r="S245" s="33" t="str">
        <f t="shared" si="33"/>
        <v>MEDIO</v>
      </c>
      <c r="T245" s="33">
        <v>10</v>
      </c>
      <c r="U245" s="75">
        <f t="shared" si="34"/>
        <v>60</v>
      </c>
      <c r="V245" s="33" t="str">
        <f t="shared" si="35"/>
        <v>lll</v>
      </c>
      <c r="W245" s="74" t="str">
        <f t="shared" si="36"/>
        <v>SI</v>
      </c>
      <c r="X245" s="33">
        <v>45</v>
      </c>
      <c r="Y245" s="31" t="s">
        <v>86</v>
      </c>
      <c r="Z245" s="33" t="s">
        <v>87</v>
      </c>
      <c r="AA245" s="34"/>
      <c r="AB245" s="40"/>
      <c r="AC245" s="40"/>
      <c r="AD245" s="34" t="s">
        <v>881</v>
      </c>
      <c r="AE245" s="34" t="s">
        <v>882</v>
      </c>
      <c r="AF245" s="34" t="s">
        <v>883</v>
      </c>
      <c r="AG245" s="41">
        <v>2</v>
      </c>
      <c r="AH245" s="41">
        <v>3</v>
      </c>
      <c r="AI245" s="33">
        <f t="shared" si="38"/>
        <v>6</v>
      </c>
      <c r="AJ245" s="33" t="str">
        <f t="shared" si="39"/>
        <v>MEDIO</v>
      </c>
      <c r="AK245" s="33">
        <v>25</v>
      </c>
      <c r="AL245" s="33">
        <f t="shared" si="37"/>
        <v>150</v>
      </c>
      <c r="AM245" s="33" t="str">
        <f t="shared" si="40"/>
        <v>RIESGO ALTO</v>
      </c>
      <c r="AN245" s="34"/>
      <c r="AO245" s="40"/>
      <c r="AP245" s="34"/>
      <c r="AQ245" s="34" t="s">
        <v>884</v>
      </c>
      <c r="AR245" s="34" t="s">
        <v>882</v>
      </c>
      <c r="AS245" s="61" t="s">
        <v>883</v>
      </c>
      <c r="EQ245" s="15"/>
      <c r="ER245" s="15"/>
      <c r="ES245" s="15"/>
      <c r="ET245" s="15"/>
      <c r="EU245" s="15"/>
      <c r="EV245" s="15"/>
    </row>
    <row r="246" spans="1:152" s="8" customFormat="1" ht="76.8" x14ac:dyDescent="0.25">
      <c r="A246" s="213"/>
      <c r="B246" s="197"/>
      <c r="C246" s="166"/>
      <c r="D246" s="204"/>
      <c r="E246" s="32" t="s">
        <v>87</v>
      </c>
      <c r="F246" s="152"/>
      <c r="G246" s="32" t="s">
        <v>934</v>
      </c>
      <c r="H246" s="34" t="s">
        <v>253</v>
      </c>
      <c r="I246" s="32" t="s">
        <v>115</v>
      </c>
      <c r="J246" s="32" t="s">
        <v>947</v>
      </c>
      <c r="K246" s="34" t="s">
        <v>104</v>
      </c>
      <c r="L246" s="68" t="s">
        <v>255</v>
      </c>
      <c r="M246" s="73" t="s">
        <v>332</v>
      </c>
      <c r="N246" s="73" t="s">
        <v>875</v>
      </c>
      <c r="O246" s="73" t="s">
        <v>256</v>
      </c>
      <c r="P246" s="70">
        <v>6</v>
      </c>
      <c r="Q246" s="70">
        <v>2</v>
      </c>
      <c r="R246" s="33">
        <f t="shared" si="32"/>
        <v>12</v>
      </c>
      <c r="S246" s="33" t="str">
        <f t="shared" si="33"/>
        <v>ALTO</v>
      </c>
      <c r="T246" s="33">
        <v>10</v>
      </c>
      <c r="U246" s="75">
        <f t="shared" si="34"/>
        <v>120</v>
      </c>
      <c r="V246" s="33" t="str">
        <f t="shared" si="35"/>
        <v>lll</v>
      </c>
      <c r="W246" s="74" t="str">
        <f t="shared" si="36"/>
        <v>SI</v>
      </c>
      <c r="X246" s="33">
        <v>45</v>
      </c>
      <c r="Y246" s="31" t="s">
        <v>257</v>
      </c>
      <c r="Z246" s="33" t="s">
        <v>87</v>
      </c>
      <c r="AA246" s="34"/>
      <c r="AB246" s="40"/>
      <c r="AC246" s="34" t="s">
        <v>918</v>
      </c>
      <c r="AD246" s="34" t="s">
        <v>948</v>
      </c>
      <c r="AE246" s="34" t="s">
        <v>190</v>
      </c>
      <c r="AF246" s="34"/>
      <c r="AG246" s="41">
        <v>2</v>
      </c>
      <c r="AH246" s="41">
        <v>3</v>
      </c>
      <c r="AI246" s="33">
        <f t="shared" si="38"/>
        <v>6</v>
      </c>
      <c r="AJ246" s="33" t="str">
        <f t="shared" si="39"/>
        <v>MEDIO</v>
      </c>
      <c r="AK246" s="33">
        <v>60</v>
      </c>
      <c r="AL246" s="33">
        <f t="shared" si="37"/>
        <v>360</v>
      </c>
      <c r="AM246" s="33" t="str">
        <f t="shared" si="40"/>
        <v>RIESGO ALTO</v>
      </c>
      <c r="AN246" s="34"/>
      <c r="AO246" s="40"/>
      <c r="AP246" s="40" t="s">
        <v>920</v>
      </c>
      <c r="AQ246" s="34" t="s">
        <v>921</v>
      </c>
      <c r="AR246" s="34" t="s">
        <v>93</v>
      </c>
      <c r="AS246" s="61" t="s">
        <v>842</v>
      </c>
      <c r="EQ246" s="15"/>
      <c r="ER246" s="15"/>
      <c r="ES246" s="15"/>
      <c r="ET246" s="15"/>
      <c r="EU246" s="15"/>
      <c r="EV246" s="15"/>
    </row>
    <row r="247" spans="1:152" s="8" customFormat="1" ht="76.8" x14ac:dyDescent="0.25">
      <c r="A247" s="213"/>
      <c r="B247" s="197"/>
      <c r="C247" s="166"/>
      <c r="D247" s="204"/>
      <c r="E247" s="32" t="s">
        <v>87</v>
      </c>
      <c r="F247" s="152"/>
      <c r="G247" s="32" t="s">
        <v>934</v>
      </c>
      <c r="H247" s="34" t="s">
        <v>631</v>
      </c>
      <c r="I247" s="32" t="s">
        <v>291</v>
      </c>
      <c r="J247" s="32" t="s">
        <v>949</v>
      </c>
      <c r="K247" s="34" t="s">
        <v>104</v>
      </c>
      <c r="L247" s="68" t="s">
        <v>633</v>
      </c>
      <c r="M247" s="73" t="s">
        <v>332</v>
      </c>
      <c r="N247" s="73" t="s">
        <v>875</v>
      </c>
      <c r="O247" s="73" t="s">
        <v>950</v>
      </c>
      <c r="P247" s="70">
        <v>2</v>
      </c>
      <c r="Q247" s="41">
        <v>3</v>
      </c>
      <c r="R247" s="33">
        <f t="shared" si="32"/>
        <v>6</v>
      </c>
      <c r="S247" s="33" t="str">
        <f t="shared" si="33"/>
        <v>MEDIO</v>
      </c>
      <c r="T247" s="33">
        <v>10</v>
      </c>
      <c r="U247" s="75">
        <f t="shared" si="34"/>
        <v>60</v>
      </c>
      <c r="V247" s="33" t="str">
        <f t="shared" si="35"/>
        <v>lll</v>
      </c>
      <c r="W247" s="74" t="str">
        <f t="shared" si="36"/>
        <v>SI</v>
      </c>
      <c r="X247" s="33">
        <v>45</v>
      </c>
      <c r="Y247" s="31" t="s">
        <v>634</v>
      </c>
      <c r="Z247" s="33" t="s">
        <v>87</v>
      </c>
      <c r="AA247" s="34"/>
      <c r="AB247" s="40"/>
      <c r="AC247" s="34" t="s">
        <v>923</v>
      </c>
      <c r="AD247" s="34" t="s">
        <v>924</v>
      </c>
      <c r="AE247" s="34"/>
      <c r="AF247" s="34"/>
      <c r="AG247" s="41">
        <v>2</v>
      </c>
      <c r="AH247" s="41">
        <v>3</v>
      </c>
      <c r="AI247" s="33">
        <f t="shared" si="38"/>
        <v>6</v>
      </c>
      <c r="AJ247" s="33" t="str">
        <f t="shared" si="39"/>
        <v>MEDIO</v>
      </c>
      <c r="AK247" s="33">
        <v>60</v>
      </c>
      <c r="AL247" s="33">
        <f t="shared" si="37"/>
        <v>360</v>
      </c>
      <c r="AM247" s="33" t="str">
        <f t="shared" si="40"/>
        <v>RIESGO ALTO</v>
      </c>
      <c r="AN247" s="34"/>
      <c r="AO247" s="40"/>
      <c r="AP247" s="34" t="s">
        <v>951</v>
      </c>
      <c r="AQ247" s="34" t="s">
        <v>925</v>
      </c>
      <c r="AR247" s="34"/>
      <c r="AS247" s="61" t="s">
        <v>729</v>
      </c>
      <c r="EQ247" s="15"/>
      <c r="ER247" s="15"/>
      <c r="ES247" s="15"/>
      <c r="ET247" s="15"/>
      <c r="EU247" s="15"/>
      <c r="EV247" s="15"/>
    </row>
    <row r="248" spans="1:152" s="8" customFormat="1" ht="76.8" x14ac:dyDescent="0.25">
      <c r="A248" s="213"/>
      <c r="B248" s="197"/>
      <c r="C248" s="166"/>
      <c r="D248" s="204"/>
      <c r="E248" s="32" t="s">
        <v>87</v>
      </c>
      <c r="F248" s="152"/>
      <c r="G248" s="32" t="s">
        <v>934</v>
      </c>
      <c r="H248" s="34" t="s">
        <v>198</v>
      </c>
      <c r="I248" s="32" t="s">
        <v>115</v>
      </c>
      <c r="J248" s="32" t="s">
        <v>952</v>
      </c>
      <c r="K248" s="34" t="s">
        <v>104</v>
      </c>
      <c r="L248" s="68" t="s">
        <v>200</v>
      </c>
      <c r="M248" s="73" t="s">
        <v>332</v>
      </c>
      <c r="N248" s="73" t="s">
        <v>875</v>
      </c>
      <c r="O248" s="73" t="s">
        <v>201</v>
      </c>
      <c r="P248" s="70">
        <v>2</v>
      </c>
      <c r="Q248" s="41">
        <v>3</v>
      </c>
      <c r="R248" s="33">
        <f t="shared" si="32"/>
        <v>6</v>
      </c>
      <c r="S248" s="33" t="str">
        <f t="shared" si="33"/>
        <v>MEDIO</v>
      </c>
      <c r="T248" s="33">
        <v>10</v>
      </c>
      <c r="U248" s="75">
        <f t="shared" si="34"/>
        <v>60</v>
      </c>
      <c r="V248" s="33" t="str">
        <f t="shared" si="35"/>
        <v>lll</v>
      </c>
      <c r="W248" s="74" t="str">
        <f t="shared" si="36"/>
        <v>SI</v>
      </c>
      <c r="X248" s="33">
        <v>45</v>
      </c>
      <c r="Y248" s="31" t="s">
        <v>202</v>
      </c>
      <c r="Z248" s="33" t="s">
        <v>87</v>
      </c>
      <c r="AA248" s="34"/>
      <c r="AB248" s="40"/>
      <c r="AC248" s="34" t="s">
        <v>953</v>
      </c>
      <c r="AD248" s="34" t="s">
        <v>928</v>
      </c>
      <c r="AE248" s="34"/>
      <c r="AF248" s="34" t="s">
        <v>707</v>
      </c>
      <c r="AG248" s="41">
        <v>2</v>
      </c>
      <c r="AH248" s="41">
        <v>3</v>
      </c>
      <c r="AI248" s="33">
        <f t="shared" si="38"/>
        <v>6</v>
      </c>
      <c r="AJ248" s="33" t="str">
        <f t="shared" si="39"/>
        <v>MEDIO</v>
      </c>
      <c r="AK248" s="33">
        <v>10</v>
      </c>
      <c r="AL248" s="33">
        <f t="shared" si="37"/>
        <v>60</v>
      </c>
      <c r="AM248" s="33" t="str">
        <f t="shared" si="40"/>
        <v>RIESGO ACEPTABLE</v>
      </c>
      <c r="AN248" s="34"/>
      <c r="AO248" s="40"/>
      <c r="AP248" s="34" t="s">
        <v>954</v>
      </c>
      <c r="AQ248" s="34" t="s">
        <v>930</v>
      </c>
      <c r="AR248" s="34"/>
      <c r="AS248" s="61" t="s">
        <v>955</v>
      </c>
      <c r="EQ248" s="15"/>
      <c r="ER248" s="15"/>
      <c r="ES248" s="15"/>
      <c r="ET248" s="15"/>
      <c r="EU248" s="15"/>
      <c r="EV248" s="15"/>
    </row>
    <row r="249" spans="1:152" s="8" customFormat="1" ht="76.8" x14ac:dyDescent="0.25">
      <c r="A249" s="213"/>
      <c r="B249" s="197"/>
      <c r="C249" s="166" t="s">
        <v>956</v>
      </c>
      <c r="D249" s="204" t="s">
        <v>957</v>
      </c>
      <c r="E249" s="32" t="s">
        <v>87</v>
      </c>
      <c r="F249" s="152" t="s">
        <v>958</v>
      </c>
      <c r="G249" s="32" t="s">
        <v>888</v>
      </c>
      <c r="H249" s="34" t="s">
        <v>959</v>
      </c>
      <c r="I249" s="32" t="s">
        <v>158</v>
      </c>
      <c r="J249" s="32" t="s">
        <v>960</v>
      </c>
      <c r="K249" s="34" t="s">
        <v>104</v>
      </c>
      <c r="L249" s="68" t="s">
        <v>961</v>
      </c>
      <c r="M249" s="73" t="s">
        <v>332</v>
      </c>
      <c r="N249" s="73" t="s">
        <v>875</v>
      </c>
      <c r="O249" s="73" t="s">
        <v>491</v>
      </c>
      <c r="P249" s="70">
        <v>2</v>
      </c>
      <c r="Q249" s="41">
        <v>3</v>
      </c>
      <c r="R249" s="33">
        <f t="shared" si="32"/>
        <v>6</v>
      </c>
      <c r="S249" s="33" t="str">
        <f t="shared" si="33"/>
        <v>MEDIO</v>
      </c>
      <c r="T249" s="33">
        <v>10</v>
      </c>
      <c r="U249" s="75">
        <f t="shared" si="34"/>
        <v>60</v>
      </c>
      <c r="V249" s="33" t="str">
        <f t="shared" si="35"/>
        <v>lll</v>
      </c>
      <c r="W249" s="74" t="str">
        <f t="shared" si="36"/>
        <v>SI</v>
      </c>
      <c r="X249" s="33">
        <v>45</v>
      </c>
      <c r="Y249" s="31" t="s">
        <v>178</v>
      </c>
      <c r="Z249" s="33" t="s">
        <v>87</v>
      </c>
      <c r="AA249" s="34"/>
      <c r="AB249" s="40"/>
      <c r="AC249" s="40"/>
      <c r="AD249" s="34" t="s">
        <v>962</v>
      </c>
      <c r="AE249" s="34"/>
      <c r="AF249" s="34" t="s">
        <v>182</v>
      </c>
      <c r="AG249" s="41">
        <v>2</v>
      </c>
      <c r="AH249" s="41">
        <v>3</v>
      </c>
      <c r="AI249" s="33">
        <f t="shared" si="38"/>
        <v>6</v>
      </c>
      <c r="AJ249" s="33" t="str">
        <f t="shared" si="39"/>
        <v>MEDIO</v>
      </c>
      <c r="AK249" s="33">
        <v>10</v>
      </c>
      <c r="AL249" s="33">
        <f t="shared" si="37"/>
        <v>60</v>
      </c>
      <c r="AM249" s="33" t="str">
        <f t="shared" si="40"/>
        <v>RIESGO ACEPTABLE</v>
      </c>
      <c r="AN249" s="34"/>
      <c r="AO249" s="40"/>
      <c r="AP249" s="40"/>
      <c r="AQ249" s="34" t="s">
        <v>963</v>
      </c>
      <c r="AR249" s="34"/>
      <c r="AS249" s="61" t="s">
        <v>182</v>
      </c>
      <c r="EQ249" s="15"/>
      <c r="ER249" s="15"/>
      <c r="ES249" s="15"/>
      <c r="ET249" s="15"/>
      <c r="EU249" s="15"/>
      <c r="EV249" s="15"/>
    </row>
    <row r="250" spans="1:152" s="8" customFormat="1" ht="67.2" x14ac:dyDescent="0.25">
      <c r="A250" s="213"/>
      <c r="B250" s="197"/>
      <c r="C250" s="166"/>
      <c r="D250" s="204"/>
      <c r="E250" s="32" t="s">
        <v>87</v>
      </c>
      <c r="F250" s="152"/>
      <c r="G250" s="32" t="s">
        <v>888</v>
      </c>
      <c r="H250" s="34" t="s">
        <v>550</v>
      </c>
      <c r="I250" s="32" t="s">
        <v>102</v>
      </c>
      <c r="J250" s="32" t="s">
        <v>964</v>
      </c>
      <c r="K250" s="34" t="s">
        <v>104</v>
      </c>
      <c r="L250" s="68" t="s">
        <v>552</v>
      </c>
      <c r="M250" s="73" t="s">
        <v>332</v>
      </c>
      <c r="N250" s="73" t="s">
        <v>106</v>
      </c>
      <c r="O250" s="73" t="s">
        <v>522</v>
      </c>
      <c r="P250" s="70">
        <v>2</v>
      </c>
      <c r="Q250" s="41">
        <v>3</v>
      </c>
      <c r="R250" s="33">
        <f t="shared" si="32"/>
        <v>6</v>
      </c>
      <c r="S250" s="33" t="str">
        <f t="shared" si="33"/>
        <v>MEDIO</v>
      </c>
      <c r="T250" s="33">
        <v>10</v>
      </c>
      <c r="U250" s="75">
        <f t="shared" si="34"/>
        <v>60</v>
      </c>
      <c r="V250" s="33" t="str">
        <f t="shared" si="35"/>
        <v>lll</v>
      </c>
      <c r="W250" s="74" t="str">
        <f t="shared" si="36"/>
        <v>SI</v>
      </c>
      <c r="X250" s="33">
        <v>45</v>
      </c>
      <c r="Y250" s="31" t="s">
        <v>108</v>
      </c>
      <c r="Z250" s="33" t="s">
        <v>87</v>
      </c>
      <c r="AA250" s="34"/>
      <c r="AB250" s="40"/>
      <c r="AC250" s="34" t="s">
        <v>849</v>
      </c>
      <c r="AD250" s="34" t="s">
        <v>109</v>
      </c>
      <c r="AE250" s="34" t="s">
        <v>274</v>
      </c>
      <c r="AF250" s="34" t="s">
        <v>320</v>
      </c>
      <c r="AG250" s="41">
        <v>2</v>
      </c>
      <c r="AH250" s="41">
        <v>3</v>
      </c>
      <c r="AI250" s="33">
        <f t="shared" si="38"/>
        <v>6</v>
      </c>
      <c r="AJ250" s="33" t="str">
        <f t="shared" si="39"/>
        <v>MEDIO</v>
      </c>
      <c r="AK250" s="33">
        <v>10</v>
      </c>
      <c r="AL250" s="33">
        <f t="shared" si="37"/>
        <v>60</v>
      </c>
      <c r="AM250" s="33" t="str">
        <f t="shared" si="40"/>
        <v>RIESGO ACEPTABLE</v>
      </c>
      <c r="AN250" s="34"/>
      <c r="AO250" s="40"/>
      <c r="AP250" s="34" t="s">
        <v>965</v>
      </c>
      <c r="AQ250" s="34" t="s">
        <v>966</v>
      </c>
      <c r="AR250" s="34" t="s">
        <v>274</v>
      </c>
      <c r="AS250" s="61" t="s">
        <v>320</v>
      </c>
      <c r="EQ250" s="15"/>
      <c r="ER250" s="15"/>
      <c r="ES250" s="15"/>
      <c r="ET250" s="15"/>
      <c r="EU250" s="15"/>
      <c r="EV250" s="15"/>
    </row>
    <row r="251" spans="1:152" s="8" customFormat="1" ht="76.8" x14ac:dyDescent="0.25">
      <c r="A251" s="213"/>
      <c r="B251" s="197"/>
      <c r="C251" s="166"/>
      <c r="D251" s="204"/>
      <c r="E251" s="32" t="s">
        <v>87</v>
      </c>
      <c r="F251" s="152"/>
      <c r="G251" s="32" t="s">
        <v>888</v>
      </c>
      <c r="H251" s="34" t="s">
        <v>183</v>
      </c>
      <c r="I251" s="48" t="s">
        <v>173</v>
      </c>
      <c r="J251" s="34" t="s">
        <v>967</v>
      </c>
      <c r="K251" s="34" t="s">
        <v>104</v>
      </c>
      <c r="L251" s="68" t="s">
        <v>185</v>
      </c>
      <c r="M251" s="73" t="s">
        <v>332</v>
      </c>
      <c r="N251" s="73" t="s">
        <v>875</v>
      </c>
      <c r="O251" s="73" t="s">
        <v>491</v>
      </c>
      <c r="P251" s="70">
        <v>2</v>
      </c>
      <c r="Q251" s="41">
        <v>3</v>
      </c>
      <c r="R251" s="33">
        <f t="shared" si="32"/>
        <v>6</v>
      </c>
      <c r="S251" s="33" t="str">
        <f t="shared" si="33"/>
        <v>MEDIO</v>
      </c>
      <c r="T251" s="33">
        <v>10</v>
      </c>
      <c r="U251" s="75">
        <f t="shared" si="34"/>
        <v>60</v>
      </c>
      <c r="V251" s="33" t="str">
        <f t="shared" si="35"/>
        <v>lll</v>
      </c>
      <c r="W251" s="74" t="str">
        <f t="shared" si="36"/>
        <v>SI</v>
      </c>
      <c r="X251" s="33">
        <v>45</v>
      </c>
      <c r="Y251" s="31" t="s">
        <v>178</v>
      </c>
      <c r="Z251" s="33" t="s">
        <v>87</v>
      </c>
      <c r="AA251" s="34"/>
      <c r="AB251" s="40"/>
      <c r="AC251" s="40" t="s">
        <v>898</v>
      </c>
      <c r="AD251" s="34" t="s">
        <v>899</v>
      </c>
      <c r="AE251" s="34" t="s">
        <v>900</v>
      </c>
      <c r="AF251" s="34" t="s">
        <v>901</v>
      </c>
      <c r="AG251" s="41">
        <v>2</v>
      </c>
      <c r="AH251" s="41">
        <v>3</v>
      </c>
      <c r="AI251" s="33">
        <f t="shared" si="38"/>
        <v>6</v>
      </c>
      <c r="AJ251" s="33" t="str">
        <f t="shared" si="39"/>
        <v>MEDIO</v>
      </c>
      <c r="AK251" s="33">
        <v>60</v>
      </c>
      <c r="AL251" s="33">
        <f t="shared" si="37"/>
        <v>360</v>
      </c>
      <c r="AM251" s="33" t="str">
        <f t="shared" si="40"/>
        <v>RIESGO ALTO</v>
      </c>
      <c r="AN251" s="34"/>
      <c r="AO251" s="40"/>
      <c r="AP251" s="40" t="s">
        <v>902</v>
      </c>
      <c r="AQ251" s="34" t="s">
        <v>903</v>
      </c>
      <c r="AR251" s="34" t="s">
        <v>900</v>
      </c>
      <c r="AS251" s="61" t="s">
        <v>901</v>
      </c>
      <c r="EQ251" s="15"/>
      <c r="ER251" s="15"/>
      <c r="ES251" s="15"/>
      <c r="ET251" s="15"/>
      <c r="EU251" s="15"/>
      <c r="EV251" s="15"/>
    </row>
    <row r="252" spans="1:152" s="8" customFormat="1" ht="76.8" x14ac:dyDescent="0.25">
      <c r="A252" s="213"/>
      <c r="B252" s="197"/>
      <c r="C252" s="166"/>
      <c r="D252" s="204"/>
      <c r="E252" s="32" t="s">
        <v>87</v>
      </c>
      <c r="F252" s="152"/>
      <c r="G252" s="32" t="s">
        <v>888</v>
      </c>
      <c r="H252" s="34" t="s">
        <v>183</v>
      </c>
      <c r="I252" s="48" t="s">
        <v>173</v>
      </c>
      <c r="J252" s="34" t="s">
        <v>968</v>
      </c>
      <c r="K252" s="34" t="s">
        <v>82</v>
      </c>
      <c r="L252" s="68" t="s">
        <v>185</v>
      </c>
      <c r="M252" s="73" t="s">
        <v>332</v>
      </c>
      <c r="N252" s="73" t="s">
        <v>875</v>
      </c>
      <c r="O252" s="73" t="s">
        <v>491</v>
      </c>
      <c r="P252" s="70">
        <v>2</v>
      </c>
      <c r="Q252" s="41">
        <v>3</v>
      </c>
      <c r="R252" s="33">
        <f t="shared" si="32"/>
        <v>6</v>
      </c>
      <c r="S252" s="33" t="str">
        <f t="shared" si="33"/>
        <v>MEDIO</v>
      </c>
      <c r="T252" s="33">
        <v>10</v>
      </c>
      <c r="U252" s="75">
        <f t="shared" si="34"/>
        <v>60</v>
      </c>
      <c r="V252" s="33" t="str">
        <f t="shared" si="35"/>
        <v>lll</v>
      </c>
      <c r="W252" s="74" t="str">
        <f t="shared" si="36"/>
        <v>SI</v>
      </c>
      <c r="X252" s="33">
        <v>45</v>
      </c>
      <c r="Y252" s="31" t="s">
        <v>178</v>
      </c>
      <c r="Z252" s="33" t="s">
        <v>87</v>
      </c>
      <c r="AA252" s="34"/>
      <c r="AB252" s="40"/>
      <c r="AC252" s="40"/>
      <c r="AD252" s="34" t="s">
        <v>962</v>
      </c>
      <c r="AE252" s="34" t="s">
        <v>900</v>
      </c>
      <c r="AF252" s="34"/>
      <c r="AG252" s="41">
        <v>2</v>
      </c>
      <c r="AH252" s="41">
        <v>3</v>
      </c>
      <c r="AI252" s="33">
        <f t="shared" si="38"/>
        <v>6</v>
      </c>
      <c r="AJ252" s="33" t="str">
        <f t="shared" si="39"/>
        <v>MEDIO</v>
      </c>
      <c r="AK252" s="33">
        <v>25</v>
      </c>
      <c r="AL252" s="33">
        <f t="shared" si="37"/>
        <v>150</v>
      </c>
      <c r="AM252" s="33" t="str">
        <f t="shared" si="40"/>
        <v>RIESGO ALTO</v>
      </c>
      <c r="AN252" s="34"/>
      <c r="AO252" s="40"/>
      <c r="AP252" s="40"/>
      <c r="AQ252" s="34" t="s">
        <v>962</v>
      </c>
      <c r="AR252" s="34" t="s">
        <v>900</v>
      </c>
      <c r="AS252" s="61"/>
      <c r="EQ252" s="15"/>
      <c r="ER252" s="15"/>
      <c r="ES252" s="15"/>
      <c r="ET252" s="15"/>
      <c r="EU252" s="15"/>
      <c r="EV252" s="15"/>
    </row>
    <row r="253" spans="1:152" s="8" customFormat="1" ht="76.8" x14ac:dyDescent="0.25">
      <c r="A253" s="213"/>
      <c r="B253" s="197"/>
      <c r="C253" s="166"/>
      <c r="D253" s="204"/>
      <c r="E253" s="32" t="s">
        <v>87</v>
      </c>
      <c r="F253" s="152"/>
      <c r="G253" s="32" t="s">
        <v>888</v>
      </c>
      <c r="H253" s="34" t="s">
        <v>341</v>
      </c>
      <c r="I253" s="48" t="s">
        <v>158</v>
      </c>
      <c r="J253" s="32" t="s">
        <v>969</v>
      </c>
      <c r="K253" s="32" t="s">
        <v>104</v>
      </c>
      <c r="L253" s="68" t="s">
        <v>336</v>
      </c>
      <c r="M253" s="73" t="s">
        <v>332</v>
      </c>
      <c r="N253" s="73" t="s">
        <v>875</v>
      </c>
      <c r="O253" s="73" t="s">
        <v>527</v>
      </c>
      <c r="P253" s="70">
        <v>2</v>
      </c>
      <c r="Q253" s="41">
        <v>3</v>
      </c>
      <c r="R253" s="33">
        <f t="shared" si="32"/>
        <v>6</v>
      </c>
      <c r="S253" s="33" t="str">
        <f t="shared" si="33"/>
        <v>MEDIO</v>
      </c>
      <c r="T253" s="33">
        <v>10</v>
      </c>
      <c r="U253" s="75">
        <f t="shared" si="34"/>
        <v>60</v>
      </c>
      <c r="V253" s="33" t="str">
        <f t="shared" si="35"/>
        <v>lll</v>
      </c>
      <c r="W253" s="74" t="str">
        <f t="shared" si="36"/>
        <v>SI</v>
      </c>
      <c r="X253" s="33">
        <v>45</v>
      </c>
      <c r="Y253" s="31" t="s">
        <v>178</v>
      </c>
      <c r="Z253" s="33" t="s">
        <v>87</v>
      </c>
      <c r="AA253" s="45"/>
      <c r="AB253" s="33"/>
      <c r="AC253" s="34"/>
      <c r="AD253" s="34" t="s">
        <v>962</v>
      </c>
      <c r="AE253" s="34" t="s">
        <v>900</v>
      </c>
      <c r="AF253" s="34" t="s">
        <v>970</v>
      </c>
      <c r="AG253" s="41">
        <v>2</v>
      </c>
      <c r="AH253" s="41">
        <v>3</v>
      </c>
      <c r="AI253" s="33">
        <f t="shared" si="38"/>
        <v>6</v>
      </c>
      <c r="AJ253" s="33" t="str">
        <f t="shared" si="39"/>
        <v>MEDIO</v>
      </c>
      <c r="AK253" s="33">
        <v>25</v>
      </c>
      <c r="AL253" s="33">
        <f t="shared" si="37"/>
        <v>150</v>
      </c>
      <c r="AM253" s="33" t="str">
        <f t="shared" si="40"/>
        <v>RIESGO ALTO</v>
      </c>
      <c r="AN253" s="34"/>
      <c r="AO253" s="34"/>
      <c r="AP253" s="34"/>
      <c r="AQ253" s="34" t="s">
        <v>962</v>
      </c>
      <c r="AR253" s="34" t="s">
        <v>900</v>
      </c>
      <c r="AS253" s="61" t="s">
        <v>182</v>
      </c>
      <c r="EQ253" s="15"/>
      <c r="ER253" s="15"/>
      <c r="ES253" s="15"/>
      <c r="ET253" s="15"/>
      <c r="EU253" s="15"/>
      <c r="EV253" s="15"/>
    </row>
    <row r="254" spans="1:152" s="8" customFormat="1" ht="76.8" x14ac:dyDescent="0.25">
      <c r="A254" s="213"/>
      <c r="B254" s="197"/>
      <c r="C254" s="166"/>
      <c r="D254" s="204"/>
      <c r="E254" s="32" t="s">
        <v>87</v>
      </c>
      <c r="F254" s="152"/>
      <c r="G254" s="32" t="s">
        <v>888</v>
      </c>
      <c r="H254" s="34" t="s">
        <v>227</v>
      </c>
      <c r="I254" s="32" t="s">
        <v>158</v>
      </c>
      <c r="J254" s="47" t="s">
        <v>904</v>
      </c>
      <c r="K254" s="32" t="s">
        <v>104</v>
      </c>
      <c r="L254" s="68" t="s">
        <v>229</v>
      </c>
      <c r="M254" s="73" t="s">
        <v>332</v>
      </c>
      <c r="N254" s="73" t="s">
        <v>875</v>
      </c>
      <c r="O254" s="73" t="s">
        <v>503</v>
      </c>
      <c r="P254" s="70">
        <v>2</v>
      </c>
      <c r="Q254" s="41">
        <v>3</v>
      </c>
      <c r="R254" s="33">
        <f t="shared" si="32"/>
        <v>6</v>
      </c>
      <c r="S254" s="33" t="str">
        <f t="shared" si="33"/>
        <v>MEDIO</v>
      </c>
      <c r="T254" s="33">
        <v>10</v>
      </c>
      <c r="U254" s="75">
        <f t="shared" si="34"/>
        <v>60</v>
      </c>
      <c r="V254" s="33" t="str">
        <f t="shared" si="35"/>
        <v>lll</v>
      </c>
      <c r="W254" s="74" t="str">
        <f t="shared" si="36"/>
        <v>SI</v>
      </c>
      <c r="X254" s="33">
        <v>45</v>
      </c>
      <c r="Y254" s="31" t="s">
        <v>163</v>
      </c>
      <c r="Z254" s="33" t="s">
        <v>87</v>
      </c>
      <c r="AA254" s="34"/>
      <c r="AB254" s="40"/>
      <c r="AC254" s="40"/>
      <c r="AD254" s="34" t="s">
        <v>905</v>
      </c>
      <c r="AE254" s="34" t="s">
        <v>867</v>
      </c>
      <c r="AF254" s="34" t="s">
        <v>868</v>
      </c>
      <c r="AG254" s="41">
        <v>2</v>
      </c>
      <c r="AH254" s="41">
        <v>3</v>
      </c>
      <c r="AI254" s="33">
        <f t="shared" si="38"/>
        <v>6</v>
      </c>
      <c r="AJ254" s="33" t="str">
        <f t="shared" si="39"/>
        <v>MEDIO</v>
      </c>
      <c r="AK254" s="33">
        <v>10</v>
      </c>
      <c r="AL254" s="33">
        <f t="shared" si="37"/>
        <v>60</v>
      </c>
      <c r="AM254" s="33" t="str">
        <f t="shared" si="40"/>
        <v>RIESGO ACEPTABLE</v>
      </c>
      <c r="AN254" s="34"/>
      <c r="AO254" s="40"/>
      <c r="AP254" s="40"/>
      <c r="AQ254" s="34" t="s">
        <v>906</v>
      </c>
      <c r="AR254" s="34" t="s">
        <v>867</v>
      </c>
      <c r="AS254" s="61" t="s">
        <v>235</v>
      </c>
      <c r="EQ254" s="15"/>
      <c r="ER254" s="15"/>
      <c r="ES254" s="15"/>
      <c r="ET254" s="15"/>
      <c r="EU254" s="15"/>
      <c r="EV254" s="15"/>
    </row>
    <row r="255" spans="1:152" s="8" customFormat="1" ht="76.8" x14ac:dyDescent="0.25">
      <c r="A255" s="213"/>
      <c r="B255" s="197"/>
      <c r="C255" s="166"/>
      <c r="D255" s="204"/>
      <c r="E255" s="32" t="s">
        <v>87</v>
      </c>
      <c r="F255" s="152"/>
      <c r="G255" s="32" t="s">
        <v>888</v>
      </c>
      <c r="H255" s="34" t="s">
        <v>79</v>
      </c>
      <c r="I255" s="32" t="s">
        <v>80</v>
      </c>
      <c r="J255" s="47" t="s">
        <v>447</v>
      </c>
      <c r="K255" s="32" t="s">
        <v>104</v>
      </c>
      <c r="L255" s="68" t="s">
        <v>448</v>
      </c>
      <c r="M255" s="73" t="s">
        <v>332</v>
      </c>
      <c r="N255" s="73" t="s">
        <v>875</v>
      </c>
      <c r="O255" s="7" t="s">
        <v>85</v>
      </c>
      <c r="P255" s="70">
        <v>2</v>
      </c>
      <c r="Q255" s="41">
        <v>3</v>
      </c>
      <c r="R255" s="33">
        <f t="shared" si="32"/>
        <v>6</v>
      </c>
      <c r="S255" s="33" t="str">
        <f t="shared" si="33"/>
        <v>MEDIO</v>
      </c>
      <c r="T255" s="33">
        <v>10</v>
      </c>
      <c r="U255" s="75">
        <f t="shared" si="34"/>
        <v>60</v>
      </c>
      <c r="V255" s="33" t="str">
        <f t="shared" si="35"/>
        <v>lll</v>
      </c>
      <c r="W255" s="74" t="str">
        <f t="shared" si="36"/>
        <v>SI</v>
      </c>
      <c r="X255" s="33">
        <v>45</v>
      </c>
      <c r="Y255" s="31" t="s">
        <v>86</v>
      </c>
      <c r="Z255" s="33" t="s">
        <v>87</v>
      </c>
      <c r="AA255" s="34"/>
      <c r="AB255" s="40"/>
      <c r="AC255" s="40"/>
      <c r="AD255" s="34" t="s">
        <v>881</v>
      </c>
      <c r="AE255" s="34" t="s">
        <v>882</v>
      </c>
      <c r="AF255" s="34" t="s">
        <v>883</v>
      </c>
      <c r="AG255" s="41">
        <v>2</v>
      </c>
      <c r="AH255" s="41">
        <v>3</v>
      </c>
      <c r="AI255" s="33">
        <f t="shared" si="38"/>
        <v>6</v>
      </c>
      <c r="AJ255" s="33" t="str">
        <f t="shared" si="39"/>
        <v>MEDIO</v>
      </c>
      <c r="AK255" s="33">
        <v>25</v>
      </c>
      <c r="AL255" s="33">
        <f t="shared" si="37"/>
        <v>150</v>
      </c>
      <c r="AM255" s="33" t="str">
        <f t="shared" si="40"/>
        <v>RIESGO ALTO</v>
      </c>
      <c r="AN255" s="34"/>
      <c r="AO255" s="40"/>
      <c r="AP255" s="40"/>
      <c r="AQ255" s="34" t="s">
        <v>884</v>
      </c>
      <c r="AR255" s="34" t="s">
        <v>882</v>
      </c>
      <c r="AS255" s="61" t="s">
        <v>883</v>
      </c>
      <c r="EQ255" s="15"/>
      <c r="ER255" s="15"/>
      <c r="ES255" s="15"/>
      <c r="ET255" s="15"/>
      <c r="EU255" s="15"/>
      <c r="EV255" s="15"/>
    </row>
    <row r="256" spans="1:152" s="8" customFormat="1" ht="76.8" x14ac:dyDescent="0.25">
      <c r="A256" s="213"/>
      <c r="B256" s="197"/>
      <c r="C256" s="166"/>
      <c r="D256" s="204"/>
      <c r="E256" s="32" t="s">
        <v>87</v>
      </c>
      <c r="F256" s="152"/>
      <c r="G256" s="32" t="s">
        <v>888</v>
      </c>
      <c r="H256" s="34" t="s">
        <v>246</v>
      </c>
      <c r="I256" s="32" t="s">
        <v>115</v>
      </c>
      <c r="J256" s="32" t="s">
        <v>247</v>
      </c>
      <c r="K256" s="32" t="s">
        <v>248</v>
      </c>
      <c r="L256" s="68" t="s">
        <v>249</v>
      </c>
      <c r="M256" s="73" t="s">
        <v>332</v>
      </c>
      <c r="N256" s="73" t="s">
        <v>875</v>
      </c>
      <c r="O256" s="73" t="s">
        <v>250</v>
      </c>
      <c r="P256" s="70">
        <v>2</v>
      </c>
      <c r="Q256" s="41">
        <v>2</v>
      </c>
      <c r="R256" s="33">
        <f t="shared" si="32"/>
        <v>4</v>
      </c>
      <c r="S256" s="33" t="str">
        <f t="shared" si="33"/>
        <v>BAJO</v>
      </c>
      <c r="T256" s="33">
        <v>10</v>
      </c>
      <c r="U256" s="75">
        <f t="shared" si="34"/>
        <v>40</v>
      </c>
      <c r="V256" s="33" t="str">
        <f t="shared" si="35"/>
        <v>lll</v>
      </c>
      <c r="W256" s="74" t="str">
        <f t="shared" si="36"/>
        <v>SI</v>
      </c>
      <c r="X256" s="33">
        <v>45</v>
      </c>
      <c r="Y256" s="31" t="s">
        <v>251</v>
      </c>
      <c r="Z256" s="33" t="s">
        <v>87</v>
      </c>
      <c r="AA256" s="34"/>
      <c r="AB256" s="40"/>
      <c r="AC256" s="40"/>
      <c r="AD256" s="34" t="s">
        <v>252</v>
      </c>
      <c r="AE256" s="34"/>
      <c r="AF256" s="34"/>
      <c r="AG256" s="41">
        <v>2</v>
      </c>
      <c r="AH256" s="41">
        <v>3</v>
      </c>
      <c r="AI256" s="33">
        <f t="shared" si="38"/>
        <v>6</v>
      </c>
      <c r="AJ256" s="33" t="str">
        <f t="shared" si="39"/>
        <v>MEDIO</v>
      </c>
      <c r="AK256" s="33">
        <v>10</v>
      </c>
      <c r="AL256" s="33">
        <f t="shared" si="37"/>
        <v>60</v>
      </c>
      <c r="AM256" s="33" t="str">
        <f t="shared" si="40"/>
        <v>RIESGO ACEPTABLE</v>
      </c>
      <c r="AN256" s="34"/>
      <c r="AO256" s="40"/>
      <c r="AP256" s="40"/>
      <c r="AQ256" s="34" t="s">
        <v>252</v>
      </c>
      <c r="AR256" s="34"/>
      <c r="AS256" s="61"/>
      <c r="EQ256" s="15"/>
      <c r="ER256" s="15"/>
      <c r="ES256" s="15"/>
      <c r="ET256" s="15"/>
      <c r="EU256" s="15"/>
      <c r="EV256" s="15"/>
    </row>
    <row r="257" spans="1:152" s="8" customFormat="1" ht="57.6" x14ac:dyDescent="0.25">
      <c r="A257" s="213"/>
      <c r="B257" s="197"/>
      <c r="C257" s="166"/>
      <c r="D257" s="204"/>
      <c r="E257" s="32" t="s">
        <v>87</v>
      </c>
      <c r="F257" s="152"/>
      <c r="G257" s="32" t="s">
        <v>888</v>
      </c>
      <c r="H257" s="34" t="s">
        <v>253</v>
      </c>
      <c r="I257" s="32" t="s">
        <v>115</v>
      </c>
      <c r="J257" s="32" t="s">
        <v>971</v>
      </c>
      <c r="K257" s="34" t="s">
        <v>104</v>
      </c>
      <c r="L257" s="68" t="s">
        <v>255</v>
      </c>
      <c r="M257" s="73" t="s">
        <v>332</v>
      </c>
      <c r="N257" s="73" t="s">
        <v>161</v>
      </c>
      <c r="O257" s="73" t="s">
        <v>256</v>
      </c>
      <c r="P257" s="70">
        <v>6</v>
      </c>
      <c r="Q257" s="70">
        <v>2</v>
      </c>
      <c r="R257" s="33">
        <f t="shared" si="32"/>
        <v>12</v>
      </c>
      <c r="S257" s="33" t="str">
        <f t="shared" si="33"/>
        <v>ALTO</v>
      </c>
      <c r="T257" s="33">
        <v>10</v>
      </c>
      <c r="U257" s="75">
        <f t="shared" si="34"/>
        <v>120</v>
      </c>
      <c r="V257" s="33" t="str">
        <f t="shared" si="35"/>
        <v>lll</v>
      </c>
      <c r="W257" s="74" t="str">
        <f t="shared" si="36"/>
        <v>SI</v>
      </c>
      <c r="X257" s="33">
        <v>45</v>
      </c>
      <c r="Y257" s="31" t="s">
        <v>257</v>
      </c>
      <c r="Z257" s="33" t="s">
        <v>87</v>
      </c>
      <c r="AA257" s="34"/>
      <c r="AB257" s="40"/>
      <c r="AC257" s="34" t="s">
        <v>972</v>
      </c>
      <c r="AD257" s="34" t="s">
        <v>919</v>
      </c>
      <c r="AE257" s="34" t="s">
        <v>190</v>
      </c>
      <c r="AF257" s="34"/>
      <c r="AG257" s="41">
        <v>2</v>
      </c>
      <c r="AH257" s="41">
        <v>3</v>
      </c>
      <c r="AI257" s="33">
        <f t="shared" si="38"/>
        <v>6</v>
      </c>
      <c r="AJ257" s="33" t="str">
        <f t="shared" si="39"/>
        <v>MEDIO</v>
      </c>
      <c r="AK257" s="33">
        <v>60</v>
      </c>
      <c r="AL257" s="33">
        <f t="shared" si="37"/>
        <v>360</v>
      </c>
      <c r="AM257" s="33" t="str">
        <f t="shared" si="40"/>
        <v>RIESGO ALTO</v>
      </c>
      <c r="AN257" s="34"/>
      <c r="AO257" s="40"/>
      <c r="AP257" s="40" t="s">
        <v>920</v>
      </c>
      <c r="AQ257" s="34" t="s">
        <v>921</v>
      </c>
      <c r="AR257" s="34" t="s">
        <v>93</v>
      </c>
      <c r="AS257" s="61" t="s">
        <v>842</v>
      </c>
      <c r="EQ257" s="15"/>
      <c r="ER257" s="15"/>
      <c r="ES257" s="15"/>
      <c r="ET257" s="15"/>
      <c r="EU257" s="15"/>
      <c r="EV257" s="15"/>
    </row>
    <row r="258" spans="1:152" s="8" customFormat="1" ht="76.8" x14ac:dyDescent="0.25">
      <c r="A258" s="213"/>
      <c r="B258" s="197"/>
      <c r="C258" s="166"/>
      <c r="D258" s="204"/>
      <c r="E258" s="32" t="s">
        <v>87</v>
      </c>
      <c r="F258" s="152"/>
      <c r="G258" s="32" t="s">
        <v>888</v>
      </c>
      <c r="H258" s="34" t="s">
        <v>863</v>
      </c>
      <c r="I258" s="32" t="s">
        <v>139</v>
      </c>
      <c r="J258" s="47" t="s">
        <v>864</v>
      </c>
      <c r="K258" s="32" t="s">
        <v>104</v>
      </c>
      <c r="L258" s="68" t="s">
        <v>141</v>
      </c>
      <c r="M258" s="73" t="s">
        <v>332</v>
      </c>
      <c r="N258" s="73" t="s">
        <v>875</v>
      </c>
      <c r="O258" s="73" t="s">
        <v>780</v>
      </c>
      <c r="P258" s="70">
        <v>2</v>
      </c>
      <c r="Q258" s="41">
        <v>4</v>
      </c>
      <c r="R258" s="33">
        <f t="shared" si="32"/>
        <v>8</v>
      </c>
      <c r="S258" s="33" t="str">
        <f t="shared" si="33"/>
        <v>MEDIO</v>
      </c>
      <c r="T258" s="33">
        <v>10</v>
      </c>
      <c r="U258" s="75">
        <f t="shared" si="34"/>
        <v>80</v>
      </c>
      <c r="V258" s="33" t="str">
        <f t="shared" si="35"/>
        <v>lll</v>
      </c>
      <c r="W258" s="74" t="str">
        <f t="shared" si="36"/>
        <v>SI</v>
      </c>
      <c r="X258" s="33">
        <v>45</v>
      </c>
      <c r="Y258" s="31" t="s">
        <v>218</v>
      </c>
      <c r="Z258" s="33" t="s">
        <v>87</v>
      </c>
      <c r="AA258" s="34"/>
      <c r="AB258" s="40"/>
      <c r="AC258" s="34" t="s">
        <v>144</v>
      </c>
      <c r="AD258" s="34" t="s">
        <v>859</v>
      </c>
      <c r="AE258" s="34"/>
      <c r="AF258" s="34" t="s">
        <v>860</v>
      </c>
      <c r="AG258" s="41">
        <v>2</v>
      </c>
      <c r="AH258" s="41">
        <v>4</v>
      </c>
      <c r="AI258" s="33">
        <f t="shared" si="38"/>
        <v>8</v>
      </c>
      <c r="AJ258" s="33" t="str">
        <f t="shared" si="39"/>
        <v>MEDIO</v>
      </c>
      <c r="AK258" s="33">
        <v>25</v>
      </c>
      <c r="AL258" s="33">
        <f t="shared" si="37"/>
        <v>200</v>
      </c>
      <c r="AM258" s="33" t="str">
        <f t="shared" si="40"/>
        <v>RIESGO ALTO</v>
      </c>
      <c r="AN258" s="34"/>
      <c r="AO258" s="40"/>
      <c r="AP258" s="34" t="s">
        <v>895</v>
      </c>
      <c r="AQ258" s="34" t="s">
        <v>896</v>
      </c>
      <c r="AR258" s="34"/>
      <c r="AS258" s="61" t="s">
        <v>860</v>
      </c>
      <c r="EQ258" s="15"/>
      <c r="ER258" s="15"/>
      <c r="ES258" s="15"/>
      <c r="ET258" s="15"/>
      <c r="EU258" s="15"/>
      <c r="EV258" s="15"/>
    </row>
    <row r="259" spans="1:152" s="8" customFormat="1" ht="76.8" x14ac:dyDescent="0.25">
      <c r="A259" s="213"/>
      <c r="B259" s="197"/>
      <c r="C259" s="166"/>
      <c r="D259" s="204"/>
      <c r="E259" s="32" t="s">
        <v>87</v>
      </c>
      <c r="F259" s="152"/>
      <c r="G259" s="32" t="s">
        <v>888</v>
      </c>
      <c r="H259" s="34" t="s">
        <v>138</v>
      </c>
      <c r="I259" s="32" t="s">
        <v>139</v>
      </c>
      <c r="J259" s="32" t="s">
        <v>858</v>
      </c>
      <c r="K259" s="32" t="s">
        <v>104</v>
      </c>
      <c r="L259" s="68" t="s">
        <v>475</v>
      </c>
      <c r="M259" s="73" t="s">
        <v>332</v>
      </c>
      <c r="N259" s="73" t="s">
        <v>875</v>
      </c>
      <c r="O259" s="73" t="s">
        <v>142</v>
      </c>
      <c r="P259" s="70">
        <v>2</v>
      </c>
      <c r="Q259" s="41">
        <v>2</v>
      </c>
      <c r="R259" s="33">
        <f t="shared" si="32"/>
        <v>4</v>
      </c>
      <c r="S259" s="33" t="str">
        <f t="shared" si="33"/>
        <v>BAJO</v>
      </c>
      <c r="T259" s="33">
        <v>10</v>
      </c>
      <c r="U259" s="75">
        <f t="shared" si="34"/>
        <v>40</v>
      </c>
      <c r="V259" s="33" t="str">
        <f t="shared" si="35"/>
        <v>lll</v>
      </c>
      <c r="W259" s="74" t="str">
        <f t="shared" si="36"/>
        <v>SI</v>
      </c>
      <c r="X259" s="33">
        <v>45</v>
      </c>
      <c r="Y259" s="31" t="s">
        <v>143</v>
      </c>
      <c r="Z259" s="33" t="s">
        <v>87</v>
      </c>
      <c r="AA259" s="34"/>
      <c r="AB259" s="40"/>
      <c r="AC259" s="40" t="s">
        <v>144</v>
      </c>
      <c r="AD259" s="34" t="s">
        <v>859</v>
      </c>
      <c r="AE259" s="34"/>
      <c r="AF259" s="34" t="s">
        <v>860</v>
      </c>
      <c r="AG259" s="41">
        <v>2</v>
      </c>
      <c r="AH259" s="41">
        <v>4</v>
      </c>
      <c r="AI259" s="33">
        <f t="shared" si="38"/>
        <v>8</v>
      </c>
      <c r="AJ259" s="33" t="str">
        <f t="shared" si="39"/>
        <v>MEDIO</v>
      </c>
      <c r="AK259" s="33">
        <v>25</v>
      </c>
      <c r="AL259" s="33">
        <f t="shared" si="37"/>
        <v>200</v>
      </c>
      <c r="AM259" s="33" t="str">
        <f t="shared" si="40"/>
        <v>RIESGO ALTO</v>
      </c>
      <c r="AN259" s="34"/>
      <c r="AO259" s="40"/>
      <c r="AP259" s="40" t="s">
        <v>861</v>
      </c>
      <c r="AQ259" s="34" t="s">
        <v>862</v>
      </c>
      <c r="AR259" s="34"/>
      <c r="AS259" s="61" t="s">
        <v>860</v>
      </c>
      <c r="EQ259" s="15"/>
      <c r="ER259" s="15"/>
      <c r="ES259" s="15"/>
      <c r="ET259" s="15"/>
      <c r="EU259" s="15"/>
      <c r="EV259" s="15"/>
    </row>
    <row r="260" spans="1:152" s="8" customFormat="1" ht="76.8" x14ac:dyDescent="0.25">
      <c r="A260" s="213"/>
      <c r="B260" s="197"/>
      <c r="C260" s="166"/>
      <c r="D260" s="204"/>
      <c r="E260" s="32" t="s">
        <v>87</v>
      </c>
      <c r="F260" s="152"/>
      <c r="G260" s="32" t="s">
        <v>888</v>
      </c>
      <c r="H260" s="34" t="s">
        <v>128</v>
      </c>
      <c r="I260" s="32" t="s">
        <v>129</v>
      </c>
      <c r="J260" s="32" t="s">
        <v>910</v>
      </c>
      <c r="K260" s="32" t="s">
        <v>248</v>
      </c>
      <c r="L260" s="68" t="s">
        <v>131</v>
      </c>
      <c r="M260" s="73" t="s">
        <v>332</v>
      </c>
      <c r="N260" s="73" t="s">
        <v>875</v>
      </c>
      <c r="O260" s="73" t="s">
        <v>132</v>
      </c>
      <c r="P260" s="70">
        <v>2</v>
      </c>
      <c r="Q260" s="41">
        <v>3</v>
      </c>
      <c r="R260" s="33">
        <f t="shared" si="32"/>
        <v>6</v>
      </c>
      <c r="S260" s="33" t="str">
        <f t="shared" si="33"/>
        <v>MEDIO</v>
      </c>
      <c r="T260" s="33">
        <v>10</v>
      </c>
      <c r="U260" s="75">
        <f t="shared" si="34"/>
        <v>60</v>
      </c>
      <c r="V260" s="33" t="str">
        <f t="shared" si="35"/>
        <v>lll</v>
      </c>
      <c r="W260" s="74" t="str">
        <f t="shared" si="36"/>
        <v>SI</v>
      </c>
      <c r="X260" s="33">
        <v>45</v>
      </c>
      <c r="Y260" s="31" t="s">
        <v>133</v>
      </c>
      <c r="Z260" s="33" t="s">
        <v>87</v>
      </c>
      <c r="AA260" s="34"/>
      <c r="AB260" s="40"/>
      <c r="AC260" s="40"/>
      <c r="AD260" s="34" t="s">
        <v>911</v>
      </c>
      <c r="AE260" s="34"/>
      <c r="AF260" s="34" t="s">
        <v>912</v>
      </c>
      <c r="AG260" s="41">
        <v>2</v>
      </c>
      <c r="AH260" s="41">
        <v>3</v>
      </c>
      <c r="AI260" s="33">
        <f t="shared" si="38"/>
        <v>6</v>
      </c>
      <c r="AJ260" s="33" t="str">
        <f t="shared" si="39"/>
        <v>MEDIO</v>
      </c>
      <c r="AK260" s="33">
        <v>10</v>
      </c>
      <c r="AL260" s="33">
        <f t="shared" si="37"/>
        <v>60</v>
      </c>
      <c r="AM260" s="33" t="str">
        <f t="shared" si="40"/>
        <v>RIESGO ACEPTABLE</v>
      </c>
      <c r="AN260" s="34"/>
      <c r="AO260" s="40"/>
      <c r="AP260" s="40"/>
      <c r="AQ260" s="34" t="s">
        <v>136</v>
      </c>
      <c r="AR260" s="34" t="s">
        <v>913</v>
      </c>
      <c r="AS260" s="61" t="s">
        <v>880</v>
      </c>
      <c r="EQ260" s="15"/>
      <c r="ER260" s="15"/>
      <c r="ES260" s="15"/>
      <c r="ET260" s="15"/>
      <c r="EU260" s="15"/>
      <c r="EV260" s="15"/>
    </row>
    <row r="261" spans="1:152" s="8" customFormat="1" ht="76.8" x14ac:dyDescent="0.25">
      <c r="A261" s="213"/>
      <c r="B261" s="197"/>
      <c r="C261" s="166"/>
      <c r="D261" s="204"/>
      <c r="E261" s="32" t="s">
        <v>87</v>
      </c>
      <c r="F261" s="152"/>
      <c r="G261" s="32" t="s">
        <v>888</v>
      </c>
      <c r="H261" s="34" t="s">
        <v>114</v>
      </c>
      <c r="I261" s="32" t="s">
        <v>115</v>
      </c>
      <c r="J261" s="47" t="s">
        <v>973</v>
      </c>
      <c r="K261" s="32" t="s">
        <v>104</v>
      </c>
      <c r="L261" s="68" t="s">
        <v>117</v>
      </c>
      <c r="M261" s="73" t="s">
        <v>332</v>
      </c>
      <c r="N261" s="73" t="s">
        <v>875</v>
      </c>
      <c r="O261" s="73" t="s">
        <v>936</v>
      </c>
      <c r="P261" s="70">
        <v>2</v>
      </c>
      <c r="Q261" s="41">
        <v>4</v>
      </c>
      <c r="R261" s="33">
        <f t="shared" si="32"/>
        <v>8</v>
      </c>
      <c r="S261" s="33" t="str">
        <f t="shared" si="33"/>
        <v>MEDIO</v>
      </c>
      <c r="T261" s="33">
        <v>10</v>
      </c>
      <c r="U261" s="75">
        <f t="shared" si="34"/>
        <v>80</v>
      </c>
      <c r="V261" s="33" t="str">
        <f t="shared" si="35"/>
        <v>lll</v>
      </c>
      <c r="W261" s="74" t="str">
        <f t="shared" si="36"/>
        <v>SI</v>
      </c>
      <c r="X261" s="33">
        <v>45</v>
      </c>
      <c r="Y261" s="31" t="s">
        <v>119</v>
      </c>
      <c r="Z261" s="33" t="s">
        <v>87</v>
      </c>
      <c r="AA261" s="34"/>
      <c r="AB261" s="40"/>
      <c r="AC261" s="40" t="s">
        <v>120</v>
      </c>
      <c r="AD261" s="34" t="s">
        <v>121</v>
      </c>
      <c r="AE261" s="34" t="s">
        <v>844</v>
      </c>
      <c r="AF261" s="34" t="s">
        <v>845</v>
      </c>
      <c r="AG261" s="41">
        <v>2</v>
      </c>
      <c r="AH261" s="41">
        <v>4</v>
      </c>
      <c r="AI261" s="33">
        <f t="shared" si="38"/>
        <v>8</v>
      </c>
      <c r="AJ261" s="33" t="str">
        <f t="shared" si="39"/>
        <v>MEDIO</v>
      </c>
      <c r="AK261" s="33">
        <v>25</v>
      </c>
      <c r="AL261" s="33">
        <f t="shared" si="37"/>
        <v>200</v>
      </c>
      <c r="AM261" s="33" t="str">
        <f t="shared" si="40"/>
        <v>RIESGO ALTO</v>
      </c>
      <c r="AN261" s="34"/>
      <c r="AO261" s="40"/>
      <c r="AP261" s="40" t="s">
        <v>890</v>
      </c>
      <c r="AQ261" s="34" t="s">
        <v>846</v>
      </c>
      <c r="AR261" s="34" t="s">
        <v>847</v>
      </c>
      <c r="AS261" s="61" t="s">
        <v>845</v>
      </c>
      <c r="EQ261" s="15"/>
      <c r="ER261" s="15"/>
      <c r="ES261" s="15"/>
      <c r="ET261" s="15"/>
      <c r="EU261" s="15"/>
      <c r="EV261" s="15"/>
    </row>
    <row r="262" spans="1:152" s="8" customFormat="1" ht="57.6" x14ac:dyDescent="0.25">
      <c r="A262" s="213"/>
      <c r="B262" s="197"/>
      <c r="C262" s="166" t="s">
        <v>974</v>
      </c>
      <c r="D262" s="204" t="s">
        <v>974</v>
      </c>
      <c r="E262" s="32" t="s">
        <v>87</v>
      </c>
      <c r="F262" s="152" t="s">
        <v>975</v>
      </c>
      <c r="G262" s="32" t="s">
        <v>976</v>
      </c>
      <c r="H262" s="34" t="s">
        <v>183</v>
      </c>
      <c r="I262" s="34" t="s">
        <v>173</v>
      </c>
      <c r="J262" s="47" t="s">
        <v>977</v>
      </c>
      <c r="K262" s="34" t="s">
        <v>104</v>
      </c>
      <c r="L262" s="68" t="s">
        <v>185</v>
      </c>
      <c r="M262" s="73" t="s">
        <v>332</v>
      </c>
      <c r="N262" s="73" t="s">
        <v>978</v>
      </c>
      <c r="O262" s="73" t="s">
        <v>491</v>
      </c>
      <c r="P262" s="70">
        <v>2</v>
      </c>
      <c r="Q262" s="41">
        <v>3</v>
      </c>
      <c r="R262" s="33">
        <f t="shared" si="32"/>
        <v>6</v>
      </c>
      <c r="S262" s="33" t="str">
        <f t="shared" si="33"/>
        <v>MEDIO</v>
      </c>
      <c r="T262" s="33">
        <v>10</v>
      </c>
      <c r="U262" s="75">
        <f t="shared" si="34"/>
        <v>60</v>
      </c>
      <c r="V262" s="33" t="str">
        <f t="shared" si="35"/>
        <v>lll</v>
      </c>
      <c r="W262" s="74" t="str">
        <f t="shared" si="36"/>
        <v>SI</v>
      </c>
      <c r="X262" s="33">
        <v>45</v>
      </c>
      <c r="Y262" s="31" t="s">
        <v>178</v>
      </c>
      <c r="Z262" s="33" t="s">
        <v>87</v>
      </c>
      <c r="AA262" s="34"/>
      <c r="AB262" s="40"/>
      <c r="AC262" s="40"/>
      <c r="AD262" s="34" t="s">
        <v>979</v>
      </c>
      <c r="AE262" s="50" t="s">
        <v>980</v>
      </c>
      <c r="AF262" s="34" t="s">
        <v>901</v>
      </c>
      <c r="AG262" s="41">
        <v>2</v>
      </c>
      <c r="AH262" s="41">
        <v>3</v>
      </c>
      <c r="AI262" s="33">
        <f t="shared" si="38"/>
        <v>6</v>
      </c>
      <c r="AJ262" s="33" t="str">
        <f t="shared" si="39"/>
        <v>MEDIO</v>
      </c>
      <c r="AK262" s="33">
        <v>10</v>
      </c>
      <c r="AL262" s="33">
        <f t="shared" si="37"/>
        <v>60</v>
      </c>
      <c r="AM262" s="33" t="str">
        <f t="shared" si="40"/>
        <v>RIESGO ACEPTABLE</v>
      </c>
      <c r="AN262" s="34"/>
      <c r="AO262" s="40"/>
      <c r="AP262" s="40"/>
      <c r="AQ262" s="56" t="s">
        <v>981</v>
      </c>
      <c r="AR262" s="50" t="s">
        <v>980</v>
      </c>
      <c r="AS262" s="61" t="s">
        <v>901</v>
      </c>
      <c r="EQ262" s="15"/>
      <c r="ER262" s="15"/>
      <c r="ES262" s="15"/>
      <c r="ET262" s="15"/>
      <c r="EU262" s="15"/>
      <c r="EV262" s="15"/>
    </row>
    <row r="263" spans="1:152" s="8" customFormat="1" ht="57.6" x14ac:dyDescent="0.25">
      <c r="A263" s="213"/>
      <c r="B263" s="197"/>
      <c r="C263" s="166"/>
      <c r="D263" s="204"/>
      <c r="E263" s="32" t="s">
        <v>87</v>
      </c>
      <c r="F263" s="152"/>
      <c r="G263" s="32" t="s">
        <v>976</v>
      </c>
      <c r="H263" s="34" t="s">
        <v>183</v>
      </c>
      <c r="I263" s="34" t="s">
        <v>173</v>
      </c>
      <c r="J263" s="34" t="s">
        <v>982</v>
      </c>
      <c r="K263" s="34" t="s">
        <v>104</v>
      </c>
      <c r="L263" s="68" t="s">
        <v>185</v>
      </c>
      <c r="M263" s="73" t="s">
        <v>332</v>
      </c>
      <c r="N263" s="73" t="s">
        <v>978</v>
      </c>
      <c r="O263" s="73" t="s">
        <v>491</v>
      </c>
      <c r="P263" s="70">
        <v>2</v>
      </c>
      <c r="Q263" s="41">
        <v>3</v>
      </c>
      <c r="R263" s="33">
        <f>P263*Q263</f>
        <v>6</v>
      </c>
      <c r="S263" s="33" t="str">
        <f t="shared" si="33"/>
        <v>MEDIO</v>
      </c>
      <c r="T263" s="33">
        <v>10</v>
      </c>
      <c r="U263" s="75">
        <f t="shared" si="34"/>
        <v>60</v>
      </c>
      <c r="V263" s="33" t="str">
        <f t="shared" si="35"/>
        <v>lll</v>
      </c>
      <c r="W263" s="74" t="str">
        <f t="shared" si="36"/>
        <v>SI</v>
      </c>
      <c r="X263" s="33">
        <v>45</v>
      </c>
      <c r="Y263" s="31" t="s">
        <v>178</v>
      </c>
      <c r="Z263" s="33" t="s">
        <v>87</v>
      </c>
      <c r="AA263" s="34"/>
      <c r="AB263" s="40"/>
      <c r="AC263" s="50"/>
      <c r="AD263" s="50" t="s">
        <v>983</v>
      </c>
      <c r="AE263" s="50" t="s">
        <v>980</v>
      </c>
      <c r="AF263" s="34" t="s">
        <v>901</v>
      </c>
      <c r="AG263" s="41">
        <v>2</v>
      </c>
      <c r="AH263" s="41">
        <v>3</v>
      </c>
      <c r="AI263" s="33">
        <f>AG263*AH263</f>
        <v>6</v>
      </c>
      <c r="AJ263" s="33" t="str">
        <f>IF(AND(AI263&gt;=0,AI263&lt;=4),"BAJO",IF(AND(AI263&gt;=6,AI263&lt;=8),"MEDIO",IF(AND(AI263&gt;=10,AI263&lt;=20),"ALTO",IF(AND(AI263&gt;=24,AI263&lt;=40),"MUY ALTO"))))</f>
        <v>MEDIO</v>
      </c>
      <c r="AK263" s="33">
        <v>10</v>
      </c>
      <c r="AL263" s="33">
        <f t="shared" si="37"/>
        <v>60</v>
      </c>
      <c r="AM263" s="33" t="str">
        <f>IF(AND(AL263&gt;=0,AL263&lt;=120),"RIESGO ACEPTABLE",IF(AND(AL263&gt;=150,AL263&lt;=500),"RIESGO ALTO",IF(AND(AL263&gt;=600,AL263&lt;=4000),"RIESGO NO ACEPTABLE")))</f>
        <v>RIESGO ACEPTABLE</v>
      </c>
      <c r="AN263" s="34"/>
      <c r="AO263" s="40"/>
      <c r="AP263" s="40"/>
      <c r="AQ263" s="34" t="s">
        <v>984</v>
      </c>
      <c r="AR263" s="50" t="s">
        <v>980</v>
      </c>
      <c r="AS263" s="61" t="s">
        <v>901</v>
      </c>
      <c r="EQ263" s="15"/>
      <c r="ER263" s="15"/>
      <c r="ES263" s="15"/>
      <c r="ET263" s="15"/>
      <c r="EU263" s="15"/>
      <c r="EV263" s="15"/>
    </row>
    <row r="264" spans="1:152" s="8" customFormat="1" ht="48" x14ac:dyDescent="0.25">
      <c r="A264" s="213"/>
      <c r="B264" s="197"/>
      <c r="C264" s="166"/>
      <c r="D264" s="204"/>
      <c r="E264" s="32" t="s">
        <v>87</v>
      </c>
      <c r="F264" s="152"/>
      <c r="G264" s="32" t="s">
        <v>976</v>
      </c>
      <c r="H264" s="34" t="s">
        <v>253</v>
      </c>
      <c r="I264" s="32" t="s">
        <v>115</v>
      </c>
      <c r="J264" s="32" t="s">
        <v>254</v>
      </c>
      <c r="K264" s="34" t="s">
        <v>104</v>
      </c>
      <c r="L264" s="68" t="s">
        <v>255</v>
      </c>
      <c r="M264" s="73" t="s">
        <v>332</v>
      </c>
      <c r="N264" s="73" t="s">
        <v>161</v>
      </c>
      <c r="O264" s="73" t="s">
        <v>256</v>
      </c>
      <c r="P264" s="70">
        <v>6</v>
      </c>
      <c r="Q264" s="70">
        <v>2</v>
      </c>
      <c r="R264" s="33">
        <f>P264*Q264</f>
        <v>12</v>
      </c>
      <c r="S264" s="33" t="str">
        <f t="shared" si="33"/>
        <v>ALTO</v>
      </c>
      <c r="T264" s="33">
        <v>10</v>
      </c>
      <c r="U264" s="75">
        <f t="shared" si="34"/>
        <v>120</v>
      </c>
      <c r="V264" s="33" t="str">
        <f t="shared" si="35"/>
        <v>lll</v>
      </c>
      <c r="W264" s="74" t="str">
        <f t="shared" si="36"/>
        <v>SI</v>
      </c>
      <c r="X264" s="33">
        <v>45</v>
      </c>
      <c r="Y264" s="31" t="s">
        <v>257</v>
      </c>
      <c r="Z264" s="33" t="s">
        <v>87</v>
      </c>
      <c r="AA264" s="34"/>
      <c r="AB264" s="40"/>
      <c r="AC264" s="40" t="s">
        <v>985</v>
      </c>
      <c r="AD264" s="34" t="s">
        <v>919</v>
      </c>
      <c r="AE264" s="34" t="s">
        <v>190</v>
      </c>
      <c r="AF264" s="34" t="s">
        <v>842</v>
      </c>
      <c r="AG264" s="41">
        <v>2</v>
      </c>
      <c r="AH264" s="41">
        <v>3</v>
      </c>
      <c r="AI264" s="33">
        <f>AG264*AH264</f>
        <v>6</v>
      </c>
      <c r="AJ264" s="33" t="str">
        <f>IF(AND(AI264&gt;=0,AI264&lt;=4),"BAJO",IF(AND(AI264&gt;=6,AI264&lt;=8),"MEDIO",IF(AND(AI264&gt;=10,AI264&lt;=20),"ALTO",IF(AND(AI264&gt;=24,AI264&lt;=40),"MUY ALTO"))))</f>
        <v>MEDIO</v>
      </c>
      <c r="AK264" s="33">
        <v>10</v>
      </c>
      <c r="AL264" s="33">
        <f t="shared" si="37"/>
        <v>60</v>
      </c>
      <c r="AM264" s="33" t="str">
        <f>IF(AND(AL264&gt;=0,AL264&lt;=120),"RIESGO ACEPTABLE",IF(AND(AL264&gt;=150,AL264&lt;=500),"RIESGO ALTO",IF(AND(AL264&gt;=600,AL264&lt;=4000),"RIESGO NO ACEPTABLE")))</f>
        <v>RIESGO ACEPTABLE</v>
      </c>
      <c r="AN264" s="34"/>
      <c r="AO264" s="40"/>
      <c r="AP264" s="40" t="s">
        <v>920</v>
      </c>
      <c r="AQ264" s="34" t="s">
        <v>841</v>
      </c>
      <c r="AR264" s="34" t="s">
        <v>93</v>
      </c>
      <c r="AS264" s="61" t="s">
        <v>842</v>
      </c>
      <c r="EQ264" s="15"/>
      <c r="ER264" s="15"/>
      <c r="ES264" s="15"/>
      <c r="ET264" s="15"/>
      <c r="EU264" s="15"/>
      <c r="EV264" s="15"/>
    </row>
    <row r="265" spans="1:152" s="8" customFormat="1" ht="57.6" x14ac:dyDescent="0.25">
      <c r="A265" s="213"/>
      <c r="B265" s="197"/>
      <c r="C265" s="166"/>
      <c r="D265" s="204"/>
      <c r="E265" s="32" t="s">
        <v>87</v>
      </c>
      <c r="F265" s="152"/>
      <c r="G265" s="32" t="s">
        <v>976</v>
      </c>
      <c r="H265" s="34" t="s">
        <v>128</v>
      </c>
      <c r="I265" s="32" t="s">
        <v>129</v>
      </c>
      <c r="J265" s="32" t="s">
        <v>910</v>
      </c>
      <c r="K265" s="32" t="s">
        <v>248</v>
      </c>
      <c r="L265" s="68" t="s">
        <v>131</v>
      </c>
      <c r="M265" s="73" t="s">
        <v>332</v>
      </c>
      <c r="N265" s="73" t="s">
        <v>978</v>
      </c>
      <c r="O265" s="73" t="s">
        <v>132</v>
      </c>
      <c r="P265" s="70">
        <v>2</v>
      </c>
      <c r="Q265" s="41">
        <v>3</v>
      </c>
      <c r="R265" s="33">
        <f>P265*Q265</f>
        <v>6</v>
      </c>
      <c r="S265" s="33" t="str">
        <f t="shared" si="33"/>
        <v>MEDIO</v>
      </c>
      <c r="T265" s="33">
        <v>10</v>
      </c>
      <c r="U265" s="75">
        <f t="shared" si="34"/>
        <v>60</v>
      </c>
      <c r="V265" s="33" t="str">
        <f t="shared" si="35"/>
        <v>lll</v>
      </c>
      <c r="W265" s="74" t="str">
        <f t="shared" si="36"/>
        <v>SI</v>
      </c>
      <c r="X265" s="33">
        <v>45</v>
      </c>
      <c r="Y265" s="31" t="s">
        <v>133</v>
      </c>
      <c r="Z265" s="33" t="s">
        <v>87</v>
      </c>
      <c r="AA265" s="34"/>
      <c r="AB265" s="40"/>
      <c r="AC265" s="40"/>
      <c r="AD265" s="34" t="s">
        <v>911</v>
      </c>
      <c r="AE265" s="34"/>
      <c r="AF265" s="34" t="s">
        <v>912</v>
      </c>
      <c r="AG265" s="41">
        <v>2</v>
      </c>
      <c r="AH265" s="41">
        <v>3</v>
      </c>
      <c r="AI265" s="33">
        <f>AG265*AH265</f>
        <v>6</v>
      </c>
      <c r="AJ265" s="33" t="str">
        <f>IF(AND(AI265&gt;=0,AI265&lt;=4),"BAJO",IF(AND(AI265&gt;=6,AI265&lt;=8),"MEDIO",IF(AND(AI265&gt;=10,AI265&lt;=20),"ALTO",IF(AND(AI265&gt;=24,AI265&lt;=40),"MUY ALTO"))))</f>
        <v>MEDIO</v>
      </c>
      <c r="AK265" s="33">
        <v>10</v>
      </c>
      <c r="AL265" s="33">
        <f t="shared" si="37"/>
        <v>60</v>
      </c>
      <c r="AM265" s="33" t="str">
        <f>IF(AND(AL265&gt;=0,AL265&lt;=120),"RIESGO ACEPTABLE",IF(AND(AL265&gt;=150,AL265&lt;=500),"RIESGO ALTO",IF(AND(AL265&gt;=600,AL265&lt;=4000),"RIESGO NO ACEPTABLE")))</f>
        <v>RIESGO ACEPTABLE</v>
      </c>
      <c r="AN265" s="34"/>
      <c r="AO265" s="40"/>
      <c r="AP265" s="40"/>
      <c r="AQ265" s="34" t="s">
        <v>136</v>
      </c>
      <c r="AR265" s="34" t="s">
        <v>913</v>
      </c>
      <c r="AS265" s="61" t="s">
        <v>880</v>
      </c>
      <c r="EQ265" s="15"/>
      <c r="ER265" s="15"/>
      <c r="ES265" s="15"/>
      <c r="ET265" s="15"/>
      <c r="EU265" s="15"/>
      <c r="EV265" s="15"/>
    </row>
    <row r="266" spans="1:152" s="8" customFormat="1" ht="28.8" x14ac:dyDescent="0.25">
      <c r="A266" s="213"/>
      <c r="B266" s="197"/>
      <c r="C266" s="166" t="s">
        <v>986</v>
      </c>
      <c r="D266" s="204" t="s">
        <v>986</v>
      </c>
      <c r="E266" s="32" t="s">
        <v>87</v>
      </c>
      <c r="F266" s="152" t="s">
        <v>975</v>
      </c>
      <c r="G266" s="32" t="s">
        <v>987</v>
      </c>
      <c r="H266" s="34" t="s">
        <v>198</v>
      </c>
      <c r="I266" s="32" t="s">
        <v>115</v>
      </c>
      <c r="J266" s="32" t="s">
        <v>988</v>
      </c>
      <c r="K266" s="34" t="s">
        <v>104</v>
      </c>
      <c r="L266" s="68" t="s">
        <v>200</v>
      </c>
      <c r="M266" s="73" t="s">
        <v>332</v>
      </c>
      <c r="N266" s="73" t="s">
        <v>332</v>
      </c>
      <c r="O266" s="73" t="s">
        <v>201</v>
      </c>
      <c r="P266" s="70">
        <v>2</v>
      </c>
      <c r="Q266" s="41">
        <v>2</v>
      </c>
      <c r="R266" s="33">
        <f t="shared" si="32"/>
        <v>4</v>
      </c>
      <c r="S266" s="33" t="str">
        <f t="shared" si="33"/>
        <v>BAJO</v>
      </c>
      <c r="T266" s="33">
        <v>10</v>
      </c>
      <c r="U266" s="75">
        <f t="shared" si="34"/>
        <v>40</v>
      </c>
      <c r="V266" s="33" t="str">
        <f t="shared" si="35"/>
        <v>lll</v>
      </c>
      <c r="W266" s="74" t="str">
        <f t="shared" si="36"/>
        <v>SI</v>
      </c>
      <c r="X266" s="33">
        <v>45</v>
      </c>
      <c r="Y266" s="31" t="s">
        <v>202</v>
      </c>
      <c r="Z266" s="33" t="s">
        <v>87</v>
      </c>
      <c r="AA266" s="34"/>
      <c r="AB266" s="40"/>
      <c r="AC266" s="34" t="s">
        <v>989</v>
      </c>
      <c r="AD266" s="34" t="s">
        <v>990</v>
      </c>
      <c r="AE266" s="34"/>
      <c r="AF266" s="34" t="s">
        <v>148</v>
      </c>
      <c r="AG266" s="41">
        <v>2</v>
      </c>
      <c r="AH266" s="41">
        <v>2</v>
      </c>
      <c r="AI266" s="33">
        <f t="shared" si="38"/>
        <v>4</v>
      </c>
      <c r="AJ266" s="33" t="str">
        <f t="shared" si="39"/>
        <v>BAJO</v>
      </c>
      <c r="AK266" s="33">
        <v>25</v>
      </c>
      <c r="AL266" s="33">
        <f t="shared" si="37"/>
        <v>100</v>
      </c>
      <c r="AM266" s="33" t="str">
        <f t="shared" si="40"/>
        <v>RIESGO ACEPTABLE</v>
      </c>
      <c r="AN266" s="34"/>
      <c r="AO266" s="40"/>
      <c r="AP266" s="34" t="s">
        <v>991</v>
      </c>
      <c r="AQ266" s="34" t="s">
        <v>990</v>
      </c>
      <c r="AR266" s="34"/>
      <c r="AS266" s="61" t="s">
        <v>148</v>
      </c>
      <c r="EQ266" s="15"/>
      <c r="ER266" s="15"/>
      <c r="ES266" s="15"/>
      <c r="ET266" s="15"/>
      <c r="EU266" s="15"/>
      <c r="EV266" s="15"/>
    </row>
    <row r="267" spans="1:152" s="8" customFormat="1" ht="38.4" x14ac:dyDescent="0.25">
      <c r="A267" s="213"/>
      <c r="B267" s="197"/>
      <c r="C267" s="166"/>
      <c r="D267" s="204"/>
      <c r="E267" s="32" t="s">
        <v>87</v>
      </c>
      <c r="F267" s="152"/>
      <c r="G267" s="32" t="s">
        <v>987</v>
      </c>
      <c r="H267" s="34" t="s">
        <v>863</v>
      </c>
      <c r="I267" s="32" t="s">
        <v>139</v>
      </c>
      <c r="J267" s="47" t="s">
        <v>864</v>
      </c>
      <c r="K267" s="32" t="s">
        <v>104</v>
      </c>
      <c r="L267" s="68" t="s">
        <v>141</v>
      </c>
      <c r="M267" s="73" t="s">
        <v>332</v>
      </c>
      <c r="N267" s="73" t="s">
        <v>84</v>
      </c>
      <c r="O267" s="73" t="s">
        <v>556</v>
      </c>
      <c r="P267" s="70">
        <v>2</v>
      </c>
      <c r="Q267" s="41">
        <v>2</v>
      </c>
      <c r="R267" s="33">
        <f t="shared" si="32"/>
        <v>4</v>
      </c>
      <c r="S267" s="33" t="str">
        <f t="shared" si="33"/>
        <v>BAJO</v>
      </c>
      <c r="T267" s="33">
        <v>10</v>
      </c>
      <c r="U267" s="75">
        <f t="shared" si="34"/>
        <v>40</v>
      </c>
      <c r="V267" s="33" t="str">
        <f t="shared" si="35"/>
        <v>lll</v>
      </c>
      <c r="W267" s="74" t="str">
        <f t="shared" si="36"/>
        <v>SI</v>
      </c>
      <c r="X267" s="33">
        <v>45</v>
      </c>
      <c r="Y267" s="31" t="s">
        <v>218</v>
      </c>
      <c r="Z267" s="33" t="s">
        <v>87</v>
      </c>
      <c r="AA267" s="34"/>
      <c r="AB267" s="40"/>
      <c r="AC267" s="34" t="s">
        <v>992</v>
      </c>
      <c r="AD267" s="34" t="s">
        <v>859</v>
      </c>
      <c r="AE267" s="34"/>
      <c r="AF267" s="34" t="s">
        <v>860</v>
      </c>
      <c r="AG267" s="41">
        <v>2</v>
      </c>
      <c r="AH267" s="41">
        <v>2</v>
      </c>
      <c r="AI267" s="33">
        <f t="shared" si="38"/>
        <v>4</v>
      </c>
      <c r="AJ267" s="33" t="str">
        <f t="shared" si="39"/>
        <v>BAJO</v>
      </c>
      <c r="AK267" s="33">
        <v>25</v>
      </c>
      <c r="AL267" s="33">
        <f t="shared" si="37"/>
        <v>100</v>
      </c>
      <c r="AM267" s="33" t="str">
        <f t="shared" si="40"/>
        <v>RIESGO ACEPTABLE</v>
      </c>
      <c r="AN267" s="34"/>
      <c r="AO267" s="40"/>
      <c r="AP267" s="34" t="s">
        <v>993</v>
      </c>
      <c r="AQ267" s="34" t="s">
        <v>896</v>
      </c>
      <c r="AR267" s="34"/>
      <c r="AS267" s="61" t="s">
        <v>860</v>
      </c>
      <c r="EQ267" s="15"/>
      <c r="ER267" s="15"/>
      <c r="ES267" s="15"/>
      <c r="ET267" s="15"/>
      <c r="EU267" s="15"/>
      <c r="EV267" s="15"/>
    </row>
    <row r="268" spans="1:152" s="8" customFormat="1" ht="48" x14ac:dyDescent="0.25">
      <c r="A268" s="213"/>
      <c r="B268" s="197"/>
      <c r="C268" s="166"/>
      <c r="D268" s="204"/>
      <c r="E268" s="32" t="s">
        <v>87</v>
      </c>
      <c r="F268" s="152"/>
      <c r="G268" s="32" t="s">
        <v>987</v>
      </c>
      <c r="H268" s="34" t="s">
        <v>183</v>
      </c>
      <c r="I268" s="48" t="s">
        <v>173</v>
      </c>
      <c r="J268" s="34" t="s">
        <v>994</v>
      </c>
      <c r="K268" s="34" t="s">
        <v>104</v>
      </c>
      <c r="L268" s="68" t="s">
        <v>185</v>
      </c>
      <c r="M268" s="73" t="s">
        <v>332</v>
      </c>
      <c r="N268" s="73" t="s">
        <v>84</v>
      </c>
      <c r="O268" s="73" t="s">
        <v>491</v>
      </c>
      <c r="P268" s="70">
        <v>2</v>
      </c>
      <c r="Q268" s="41">
        <v>3</v>
      </c>
      <c r="R268" s="33">
        <f t="shared" si="32"/>
        <v>6</v>
      </c>
      <c r="S268" s="33" t="str">
        <f t="shared" si="33"/>
        <v>MEDIO</v>
      </c>
      <c r="T268" s="33">
        <v>10</v>
      </c>
      <c r="U268" s="75">
        <f t="shared" si="34"/>
        <v>60</v>
      </c>
      <c r="V268" s="33" t="str">
        <f t="shared" si="35"/>
        <v>lll</v>
      </c>
      <c r="W268" s="74" t="str">
        <f t="shared" si="36"/>
        <v>SI</v>
      </c>
      <c r="X268" s="33">
        <v>45</v>
      </c>
      <c r="Y268" s="31" t="s">
        <v>178</v>
      </c>
      <c r="Z268" s="33" t="s">
        <v>87</v>
      </c>
      <c r="AA268" s="34"/>
      <c r="AB268" s="40"/>
      <c r="AC268" s="40" t="s">
        <v>898</v>
      </c>
      <c r="AD268" s="34" t="s">
        <v>899</v>
      </c>
      <c r="AE268" s="34" t="s">
        <v>900</v>
      </c>
      <c r="AF268" s="34" t="s">
        <v>901</v>
      </c>
      <c r="AG268" s="41">
        <v>2</v>
      </c>
      <c r="AH268" s="41">
        <v>2</v>
      </c>
      <c r="AI268" s="33">
        <f t="shared" si="38"/>
        <v>4</v>
      </c>
      <c r="AJ268" s="33" t="str">
        <f t="shared" si="39"/>
        <v>BAJO</v>
      </c>
      <c r="AK268" s="33">
        <v>25</v>
      </c>
      <c r="AL268" s="33">
        <f t="shared" si="37"/>
        <v>100</v>
      </c>
      <c r="AM268" s="33" t="str">
        <f t="shared" si="40"/>
        <v>RIESGO ACEPTABLE</v>
      </c>
      <c r="AN268" s="34"/>
      <c r="AO268" s="40"/>
      <c r="AP268" s="40" t="s">
        <v>902</v>
      </c>
      <c r="AQ268" s="34" t="s">
        <v>903</v>
      </c>
      <c r="AR268" s="34" t="s">
        <v>900</v>
      </c>
      <c r="AS268" s="61" t="s">
        <v>901</v>
      </c>
      <c r="EQ268" s="15"/>
      <c r="ER268" s="15"/>
      <c r="ES268" s="15"/>
      <c r="ET268" s="15"/>
      <c r="EU268" s="15"/>
      <c r="EV268" s="15"/>
    </row>
    <row r="269" spans="1:152" s="8" customFormat="1" ht="38.4" x14ac:dyDescent="0.25">
      <c r="A269" s="213"/>
      <c r="B269" s="197"/>
      <c r="C269" s="166"/>
      <c r="D269" s="204"/>
      <c r="E269" s="32" t="s">
        <v>87</v>
      </c>
      <c r="F269" s="152"/>
      <c r="G269" s="32" t="s">
        <v>987</v>
      </c>
      <c r="H269" s="34" t="s">
        <v>114</v>
      </c>
      <c r="I269" s="32" t="s">
        <v>115</v>
      </c>
      <c r="J269" s="47" t="s">
        <v>973</v>
      </c>
      <c r="K269" s="32" t="s">
        <v>104</v>
      </c>
      <c r="L269" s="68" t="s">
        <v>117</v>
      </c>
      <c r="M269" s="73" t="s">
        <v>332</v>
      </c>
      <c r="N269" s="73" t="s">
        <v>332</v>
      </c>
      <c r="O269" s="73" t="s">
        <v>936</v>
      </c>
      <c r="P269" s="70">
        <v>2</v>
      </c>
      <c r="Q269" s="41">
        <v>2</v>
      </c>
      <c r="R269" s="33">
        <f t="shared" si="32"/>
        <v>4</v>
      </c>
      <c r="S269" s="33" t="str">
        <f t="shared" si="33"/>
        <v>BAJO</v>
      </c>
      <c r="T269" s="33">
        <v>10</v>
      </c>
      <c r="U269" s="75">
        <f t="shared" si="34"/>
        <v>40</v>
      </c>
      <c r="V269" s="33" t="str">
        <f t="shared" si="35"/>
        <v>lll</v>
      </c>
      <c r="W269" s="74" t="str">
        <f t="shared" si="36"/>
        <v>SI</v>
      </c>
      <c r="X269" s="33">
        <v>45</v>
      </c>
      <c r="Y269" s="31" t="s">
        <v>119</v>
      </c>
      <c r="Z269" s="33" t="s">
        <v>87</v>
      </c>
      <c r="AA269" s="34"/>
      <c r="AB269" s="40"/>
      <c r="AC269" s="40" t="s">
        <v>120</v>
      </c>
      <c r="AD269" s="34" t="s">
        <v>121</v>
      </c>
      <c r="AE269" s="34" t="s">
        <v>844</v>
      </c>
      <c r="AF269" s="34" t="s">
        <v>845</v>
      </c>
      <c r="AG269" s="41">
        <v>2</v>
      </c>
      <c r="AH269" s="41">
        <v>2</v>
      </c>
      <c r="AI269" s="33">
        <f t="shared" si="38"/>
        <v>4</v>
      </c>
      <c r="AJ269" s="33" t="str">
        <f t="shared" si="39"/>
        <v>BAJO</v>
      </c>
      <c r="AK269" s="33">
        <v>25</v>
      </c>
      <c r="AL269" s="33">
        <f t="shared" si="37"/>
        <v>100</v>
      </c>
      <c r="AM269" s="33" t="str">
        <f t="shared" si="40"/>
        <v>RIESGO ACEPTABLE</v>
      </c>
      <c r="AN269" s="34"/>
      <c r="AO269" s="40"/>
      <c r="AP269" s="40" t="s">
        <v>995</v>
      </c>
      <c r="AQ269" s="34" t="s">
        <v>846</v>
      </c>
      <c r="AR269" s="34" t="s">
        <v>847</v>
      </c>
      <c r="AS269" s="61" t="s">
        <v>845</v>
      </c>
      <c r="EQ269" s="15"/>
      <c r="ER269" s="15"/>
      <c r="ES269" s="15"/>
      <c r="ET269" s="15"/>
      <c r="EU269" s="15"/>
      <c r="EV269" s="15"/>
    </row>
    <row r="270" spans="1:152" s="8" customFormat="1" ht="48" x14ac:dyDescent="0.25">
      <c r="A270" s="213"/>
      <c r="B270" s="197"/>
      <c r="C270" s="166"/>
      <c r="D270" s="204"/>
      <c r="E270" s="32" t="s">
        <v>87</v>
      </c>
      <c r="F270" s="152"/>
      <c r="G270" s="32" t="s">
        <v>987</v>
      </c>
      <c r="H270" s="34" t="s">
        <v>246</v>
      </c>
      <c r="I270" s="32" t="s">
        <v>115</v>
      </c>
      <c r="J270" s="32" t="s">
        <v>247</v>
      </c>
      <c r="K270" s="32" t="s">
        <v>248</v>
      </c>
      <c r="L270" s="68" t="s">
        <v>249</v>
      </c>
      <c r="M270" s="73" t="s">
        <v>332</v>
      </c>
      <c r="N270" s="73" t="s">
        <v>978</v>
      </c>
      <c r="O270" s="73" t="s">
        <v>250</v>
      </c>
      <c r="P270" s="70">
        <v>2</v>
      </c>
      <c r="Q270" s="41">
        <v>2</v>
      </c>
      <c r="R270" s="33">
        <f t="shared" si="32"/>
        <v>4</v>
      </c>
      <c r="S270" s="33" t="str">
        <f t="shared" si="33"/>
        <v>BAJO</v>
      </c>
      <c r="T270" s="33">
        <v>10</v>
      </c>
      <c r="U270" s="75">
        <f t="shared" si="34"/>
        <v>40</v>
      </c>
      <c r="V270" s="33" t="str">
        <f t="shared" si="35"/>
        <v>lll</v>
      </c>
      <c r="W270" s="74" t="str">
        <f t="shared" si="36"/>
        <v>SI</v>
      </c>
      <c r="X270" s="33">
        <v>45</v>
      </c>
      <c r="Y270" s="31" t="s">
        <v>251</v>
      </c>
      <c r="Z270" s="33" t="s">
        <v>87</v>
      </c>
      <c r="AA270" s="34"/>
      <c r="AB270" s="40"/>
      <c r="AC270" s="40"/>
      <c r="AD270" s="34" t="s">
        <v>252</v>
      </c>
      <c r="AE270" s="34"/>
      <c r="AF270" s="34"/>
      <c r="AG270" s="41">
        <v>2</v>
      </c>
      <c r="AH270" s="41">
        <v>3</v>
      </c>
      <c r="AI270" s="33">
        <f t="shared" si="38"/>
        <v>6</v>
      </c>
      <c r="AJ270" s="33" t="str">
        <f t="shared" si="39"/>
        <v>MEDIO</v>
      </c>
      <c r="AK270" s="33">
        <v>10</v>
      </c>
      <c r="AL270" s="33">
        <f t="shared" si="37"/>
        <v>60</v>
      </c>
      <c r="AM270" s="33" t="str">
        <f t="shared" si="40"/>
        <v>RIESGO ACEPTABLE</v>
      </c>
      <c r="AN270" s="34"/>
      <c r="AO270" s="40"/>
      <c r="AP270" s="40"/>
      <c r="AQ270" s="34" t="s">
        <v>252</v>
      </c>
      <c r="AR270" s="34"/>
      <c r="AS270" s="61"/>
      <c r="EQ270" s="15"/>
      <c r="ER270" s="15"/>
      <c r="ES270" s="15"/>
      <c r="ET270" s="15"/>
      <c r="EU270" s="15"/>
      <c r="EV270" s="15"/>
    </row>
    <row r="271" spans="1:152" s="8" customFormat="1" ht="67.2" x14ac:dyDescent="0.25">
      <c r="A271" s="213"/>
      <c r="B271" s="197"/>
      <c r="C271" s="166"/>
      <c r="D271" s="204"/>
      <c r="E271" s="32" t="s">
        <v>87</v>
      </c>
      <c r="F271" s="152"/>
      <c r="G271" s="32" t="s">
        <v>987</v>
      </c>
      <c r="H271" s="34" t="s">
        <v>550</v>
      </c>
      <c r="I271" s="32" t="s">
        <v>102</v>
      </c>
      <c r="J271" s="57" t="s">
        <v>996</v>
      </c>
      <c r="K271" s="34" t="s">
        <v>104</v>
      </c>
      <c r="L271" s="68" t="s">
        <v>552</v>
      </c>
      <c r="M271" s="73" t="s">
        <v>332</v>
      </c>
      <c r="N271" s="73" t="s">
        <v>106</v>
      </c>
      <c r="O271" s="73" t="s">
        <v>522</v>
      </c>
      <c r="P271" s="70">
        <v>2</v>
      </c>
      <c r="Q271" s="41">
        <v>3</v>
      </c>
      <c r="R271" s="33">
        <f t="shared" si="32"/>
        <v>6</v>
      </c>
      <c r="S271" s="33" t="str">
        <f t="shared" si="33"/>
        <v>MEDIO</v>
      </c>
      <c r="T271" s="33">
        <v>10</v>
      </c>
      <c r="U271" s="75">
        <f t="shared" si="34"/>
        <v>60</v>
      </c>
      <c r="V271" s="33" t="str">
        <f t="shared" si="35"/>
        <v>lll</v>
      </c>
      <c r="W271" s="74" t="str">
        <f t="shared" si="36"/>
        <v>SI</v>
      </c>
      <c r="X271" s="33">
        <v>45</v>
      </c>
      <c r="Y271" s="31" t="s">
        <v>108</v>
      </c>
      <c r="Z271" s="33" t="s">
        <v>87</v>
      </c>
      <c r="AA271" s="34"/>
      <c r="AB271" s="40"/>
      <c r="AC271" s="34" t="s">
        <v>849</v>
      </c>
      <c r="AD271" s="34" t="s">
        <v>109</v>
      </c>
      <c r="AE271" s="34" t="s">
        <v>274</v>
      </c>
      <c r="AF271" s="34" t="s">
        <v>320</v>
      </c>
      <c r="AG271" s="41">
        <v>2</v>
      </c>
      <c r="AH271" s="41">
        <v>2</v>
      </c>
      <c r="AI271" s="33">
        <f t="shared" si="38"/>
        <v>4</v>
      </c>
      <c r="AJ271" s="33" t="str">
        <f t="shared" si="39"/>
        <v>BAJO</v>
      </c>
      <c r="AK271" s="33">
        <v>25</v>
      </c>
      <c r="AL271" s="33">
        <f t="shared" si="37"/>
        <v>100</v>
      </c>
      <c r="AM271" s="33" t="str">
        <f t="shared" si="40"/>
        <v>RIESGO ACEPTABLE</v>
      </c>
      <c r="AN271" s="34"/>
      <c r="AO271" s="40"/>
      <c r="AP271" s="34" t="s">
        <v>965</v>
      </c>
      <c r="AQ271" s="34" t="s">
        <v>966</v>
      </c>
      <c r="AR271" s="34" t="s">
        <v>274</v>
      </c>
      <c r="AS271" s="61" t="s">
        <v>320</v>
      </c>
      <c r="EQ271" s="15"/>
      <c r="ER271" s="15"/>
      <c r="ES271" s="15"/>
      <c r="ET271" s="15"/>
      <c r="EU271" s="15"/>
      <c r="EV271" s="15"/>
    </row>
    <row r="272" spans="1:152" s="8" customFormat="1" ht="57.6" x14ac:dyDescent="0.25">
      <c r="A272" s="213"/>
      <c r="B272" s="197"/>
      <c r="C272" s="166"/>
      <c r="D272" s="204"/>
      <c r="E272" s="32" t="s">
        <v>87</v>
      </c>
      <c r="F272" s="152"/>
      <c r="G272" s="32" t="s">
        <v>987</v>
      </c>
      <c r="H272" s="34" t="s">
        <v>128</v>
      </c>
      <c r="I272" s="32" t="s">
        <v>129</v>
      </c>
      <c r="J272" s="32" t="s">
        <v>910</v>
      </c>
      <c r="K272" s="32" t="s">
        <v>248</v>
      </c>
      <c r="L272" s="68" t="s">
        <v>131</v>
      </c>
      <c r="M272" s="73" t="s">
        <v>332</v>
      </c>
      <c r="N272" s="73" t="s">
        <v>978</v>
      </c>
      <c r="O272" s="73" t="s">
        <v>132</v>
      </c>
      <c r="P272" s="70">
        <v>2</v>
      </c>
      <c r="Q272" s="41">
        <v>3</v>
      </c>
      <c r="R272" s="33">
        <f t="shared" si="32"/>
        <v>6</v>
      </c>
      <c r="S272" s="33" t="str">
        <f t="shared" si="33"/>
        <v>MEDIO</v>
      </c>
      <c r="T272" s="33">
        <v>10</v>
      </c>
      <c r="U272" s="75">
        <f t="shared" si="34"/>
        <v>60</v>
      </c>
      <c r="V272" s="33" t="str">
        <f t="shared" si="35"/>
        <v>lll</v>
      </c>
      <c r="W272" s="74" t="str">
        <f t="shared" si="36"/>
        <v>SI</v>
      </c>
      <c r="X272" s="33">
        <v>45</v>
      </c>
      <c r="Y272" s="31" t="s">
        <v>133</v>
      </c>
      <c r="Z272" s="33" t="s">
        <v>87</v>
      </c>
      <c r="AA272" s="34"/>
      <c r="AB272" s="40"/>
      <c r="AC272" s="40"/>
      <c r="AD272" s="34" t="s">
        <v>911</v>
      </c>
      <c r="AE272" s="34"/>
      <c r="AF272" s="34" t="s">
        <v>912</v>
      </c>
      <c r="AG272" s="41">
        <v>2</v>
      </c>
      <c r="AH272" s="41">
        <v>3</v>
      </c>
      <c r="AI272" s="33">
        <f t="shared" si="38"/>
        <v>6</v>
      </c>
      <c r="AJ272" s="33" t="str">
        <f t="shared" si="39"/>
        <v>MEDIO</v>
      </c>
      <c r="AK272" s="33">
        <v>10</v>
      </c>
      <c r="AL272" s="33">
        <f t="shared" si="37"/>
        <v>60</v>
      </c>
      <c r="AM272" s="33" t="str">
        <f t="shared" si="40"/>
        <v>RIESGO ACEPTABLE</v>
      </c>
      <c r="AN272" s="34"/>
      <c r="AO272" s="40"/>
      <c r="AP272" s="40"/>
      <c r="AQ272" s="34" t="s">
        <v>136</v>
      </c>
      <c r="AR272" s="34" t="s">
        <v>913</v>
      </c>
      <c r="AS272" s="61" t="s">
        <v>880</v>
      </c>
      <c r="EQ272" s="15"/>
      <c r="ER272" s="15"/>
      <c r="ES272" s="15"/>
      <c r="ET272" s="15"/>
      <c r="EU272" s="15"/>
      <c r="EV272" s="15"/>
    </row>
    <row r="273" spans="1:152" s="8" customFormat="1" ht="38.4" x14ac:dyDescent="0.25">
      <c r="A273" s="213"/>
      <c r="B273" s="197"/>
      <c r="C273" s="166" t="s">
        <v>997</v>
      </c>
      <c r="D273" s="196" t="s">
        <v>998</v>
      </c>
      <c r="E273" s="32" t="s">
        <v>87</v>
      </c>
      <c r="F273" s="152" t="s">
        <v>999</v>
      </c>
      <c r="G273" s="32" t="s">
        <v>1000</v>
      </c>
      <c r="H273" s="34" t="s">
        <v>631</v>
      </c>
      <c r="I273" s="32" t="s">
        <v>291</v>
      </c>
      <c r="J273" s="32" t="s">
        <v>1001</v>
      </c>
      <c r="K273" s="34" t="s">
        <v>104</v>
      </c>
      <c r="L273" s="68" t="s">
        <v>633</v>
      </c>
      <c r="M273" s="73" t="s">
        <v>332</v>
      </c>
      <c r="N273" s="73" t="s">
        <v>1002</v>
      </c>
      <c r="O273" s="73" t="s">
        <v>318</v>
      </c>
      <c r="P273" s="70">
        <v>2</v>
      </c>
      <c r="Q273" s="41">
        <v>3</v>
      </c>
      <c r="R273" s="33">
        <f t="shared" si="32"/>
        <v>6</v>
      </c>
      <c r="S273" s="33" t="str">
        <f t="shared" si="33"/>
        <v>MEDIO</v>
      </c>
      <c r="T273" s="33">
        <v>10</v>
      </c>
      <c r="U273" s="75">
        <f t="shared" si="34"/>
        <v>60</v>
      </c>
      <c r="V273" s="33" t="str">
        <f t="shared" si="35"/>
        <v>lll</v>
      </c>
      <c r="W273" s="74" t="str">
        <f t="shared" si="36"/>
        <v>SI</v>
      </c>
      <c r="X273" s="33">
        <v>45</v>
      </c>
      <c r="Y273" s="31" t="s">
        <v>634</v>
      </c>
      <c r="Z273" s="33" t="s">
        <v>87</v>
      </c>
      <c r="AA273" s="34"/>
      <c r="AB273" s="40"/>
      <c r="AC273" s="40" t="s">
        <v>1003</v>
      </c>
      <c r="AD273" s="34" t="s">
        <v>1004</v>
      </c>
      <c r="AE273" s="34"/>
      <c r="AF273" s="34" t="s">
        <v>182</v>
      </c>
      <c r="AG273" s="41">
        <v>2</v>
      </c>
      <c r="AH273" s="41">
        <v>3</v>
      </c>
      <c r="AI273" s="33">
        <f t="shared" si="38"/>
        <v>6</v>
      </c>
      <c r="AJ273" s="33" t="str">
        <f t="shared" si="39"/>
        <v>MEDIO</v>
      </c>
      <c r="AK273" s="33">
        <v>60</v>
      </c>
      <c r="AL273" s="33">
        <f t="shared" si="37"/>
        <v>360</v>
      </c>
      <c r="AM273" s="33" t="str">
        <f t="shared" si="40"/>
        <v>RIESGO ALTO</v>
      </c>
      <c r="AN273" s="34"/>
      <c r="AO273" s="40"/>
      <c r="AP273" s="40" t="s">
        <v>1003</v>
      </c>
      <c r="AQ273" s="102" t="s">
        <v>1005</v>
      </c>
      <c r="AR273" s="34"/>
      <c r="AS273" s="61" t="s">
        <v>182</v>
      </c>
      <c r="EQ273" s="15"/>
      <c r="ER273" s="15"/>
      <c r="ES273" s="15"/>
      <c r="ET273" s="15"/>
      <c r="EU273" s="15"/>
      <c r="EV273" s="15"/>
    </row>
    <row r="274" spans="1:152" s="8" customFormat="1" ht="38.4" x14ac:dyDescent="0.25">
      <c r="A274" s="213"/>
      <c r="B274" s="197"/>
      <c r="C274" s="166"/>
      <c r="D274" s="196"/>
      <c r="E274" s="32" t="s">
        <v>87</v>
      </c>
      <c r="F274" s="152"/>
      <c r="G274" s="32" t="s">
        <v>1000</v>
      </c>
      <c r="H274" s="34" t="s">
        <v>114</v>
      </c>
      <c r="I274" s="32" t="s">
        <v>115</v>
      </c>
      <c r="J274" s="47" t="s">
        <v>973</v>
      </c>
      <c r="K274" s="32" t="s">
        <v>104</v>
      </c>
      <c r="L274" s="68" t="s">
        <v>117</v>
      </c>
      <c r="M274" s="73" t="s">
        <v>332</v>
      </c>
      <c r="N274" s="73" t="s">
        <v>1002</v>
      </c>
      <c r="O274" s="73" t="s">
        <v>936</v>
      </c>
      <c r="P274" s="70">
        <v>2</v>
      </c>
      <c r="Q274" s="41">
        <v>3</v>
      </c>
      <c r="R274" s="33">
        <f t="shared" si="32"/>
        <v>6</v>
      </c>
      <c r="S274" s="33" t="str">
        <f t="shared" si="33"/>
        <v>MEDIO</v>
      </c>
      <c r="T274" s="33">
        <v>10</v>
      </c>
      <c r="U274" s="75">
        <f t="shared" si="34"/>
        <v>60</v>
      </c>
      <c r="V274" s="33" t="str">
        <f t="shared" si="35"/>
        <v>lll</v>
      </c>
      <c r="W274" s="74" t="str">
        <f t="shared" si="36"/>
        <v>SI</v>
      </c>
      <c r="X274" s="33">
        <v>45</v>
      </c>
      <c r="Y274" s="31" t="s">
        <v>119</v>
      </c>
      <c r="Z274" s="33" t="s">
        <v>87</v>
      </c>
      <c r="AA274" s="34"/>
      <c r="AB274" s="40"/>
      <c r="AC274" s="40" t="s">
        <v>120</v>
      </c>
      <c r="AD274" s="34" t="s">
        <v>121</v>
      </c>
      <c r="AE274" s="34" t="s">
        <v>844</v>
      </c>
      <c r="AF274" s="34" t="s">
        <v>845</v>
      </c>
      <c r="AG274" s="41">
        <v>2</v>
      </c>
      <c r="AH274" s="41">
        <v>3</v>
      </c>
      <c r="AI274" s="33">
        <f t="shared" si="38"/>
        <v>6</v>
      </c>
      <c r="AJ274" s="33" t="str">
        <f t="shared" si="39"/>
        <v>MEDIO</v>
      </c>
      <c r="AK274" s="33">
        <v>10</v>
      </c>
      <c r="AL274" s="33">
        <f t="shared" si="37"/>
        <v>60</v>
      </c>
      <c r="AM274" s="33" t="str">
        <f t="shared" si="40"/>
        <v>RIESGO ACEPTABLE</v>
      </c>
      <c r="AN274" s="34"/>
      <c r="AO274" s="40"/>
      <c r="AP274" s="40"/>
      <c r="AQ274" s="34" t="s">
        <v>846</v>
      </c>
      <c r="AR274" s="34" t="s">
        <v>847</v>
      </c>
      <c r="AS274" s="61" t="s">
        <v>845</v>
      </c>
      <c r="EQ274" s="15"/>
      <c r="ER274" s="15"/>
      <c r="ES274" s="15"/>
      <c r="ET274" s="15"/>
      <c r="EU274" s="15"/>
      <c r="EV274" s="15"/>
    </row>
    <row r="275" spans="1:152" s="8" customFormat="1" ht="67.2" x14ac:dyDescent="0.25">
      <c r="A275" s="213"/>
      <c r="B275" s="197"/>
      <c r="C275" s="166"/>
      <c r="D275" s="196"/>
      <c r="E275" s="32" t="s">
        <v>87</v>
      </c>
      <c r="F275" s="152"/>
      <c r="G275" s="32" t="s">
        <v>1000</v>
      </c>
      <c r="H275" s="34" t="s">
        <v>1006</v>
      </c>
      <c r="I275" s="32" t="s">
        <v>102</v>
      </c>
      <c r="J275" s="32" t="s">
        <v>1007</v>
      </c>
      <c r="K275" s="32" t="s">
        <v>104</v>
      </c>
      <c r="L275" s="68" t="s">
        <v>1008</v>
      </c>
      <c r="M275" s="73" t="s">
        <v>332</v>
      </c>
      <c r="N275" s="73" t="s">
        <v>106</v>
      </c>
      <c r="O275" s="73" t="s">
        <v>608</v>
      </c>
      <c r="P275" s="70">
        <v>2</v>
      </c>
      <c r="Q275" s="41">
        <v>3</v>
      </c>
      <c r="R275" s="33">
        <f t="shared" si="32"/>
        <v>6</v>
      </c>
      <c r="S275" s="33" t="str">
        <f t="shared" si="33"/>
        <v>MEDIO</v>
      </c>
      <c r="T275" s="33">
        <v>10</v>
      </c>
      <c r="U275" s="75">
        <f t="shared" si="34"/>
        <v>60</v>
      </c>
      <c r="V275" s="33" t="str">
        <f t="shared" si="35"/>
        <v>lll</v>
      </c>
      <c r="W275" s="74" t="str">
        <f t="shared" si="36"/>
        <v>SI</v>
      </c>
      <c r="X275" s="33">
        <v>45</v>
      </c>
      <c r="Y275" s="31" t="s">
        <v>108</v>
      </c>
      <c r="Z275" s="33" t="s">
        <v>87</v>
      </c>
      <c r="AA275" s="34"/>
      <c r="AB275" s="40"/>
      <c r="AC275" s="34" t="s">
        <v>1009</v>
      </c>
      <c r="AD275" s="34" t="s">
        <v>1010</v>
      </c>
      <c r="AE275" s="34" t="s">
        <v>1011</v>
      </c>
      <c r="AF275" s="34" t="s">
        <v>1012</v>
      </c>
      <c r="AG275" s="41">
        <v>2</v>
      </c>
      <c r="AH275" s="41">
        <v>4</v>
      </c>
      <c r="AI275" s="33">
        <f t="shared" si="38"/>
        <v>8</v>
      </c>
      <c r="AJ275" s="33" t="str">
        <f t="shared" si="39"/>
        <v>MEDIO</v>
      </c>
      <c r="AK275" s="33">
        <v>10</v>
      </c>
      <c r="AL275" s="33">
        <f t="shared" si="37"/>
        <v>80</v>
      </c>
      <c r="AM275" s="33" t="str">
        <f t="shared" si="40"/>
        <v>RIESGO ACEPTABLE</v>
      </c>
      <c r="AN275" s="34"/>
      <c r="AO275" s="40"/>
      <c r="AP275" s="34" t="s">
        <v>1013</v>
      </c>
      <c r="AQ275" s="34" t="s">
        <v>1014</v>
      </c>
      <c r="AR275" s="34" t="s">
        <v>1011</v>
      </c>
      <c r="AS275" s="61" t="s">
        <v>1012</v>
      </c>
      <c r="EQ275" s="15"/>
      <c r="ER275" s="15"/>
      <c r="ES275" s="15"/>
      <c r="ET275" s="15"/>
      <c r="EU275" s="15"/>
      <c r="EV275" s="15"/>
    </row>
    <row r="276" spans="1:152" s="8" customFormat="1" ht="38.4" x14ac:dyDescent="0.25">
      <c r="A276" s="213"/>
      <c r="B276" s="197"/>
      <c r="C276" s="166"/>
      <c r="D276" s="196"/>
      <c r="E276" s="32" t="s">
        <v>87</v>
      </c>
      <c r="F276" s="152"/>
      <c r="G276" s="32" t="s">
        <v>1000</v>
      </c>
      <c r="H276" s="34" t="s">
        <v>183</v>
      </c>
      <c r="I276" s="48" t="s">
        <v>173</v>
      </c>
      <c r="J276" s="34" t="s">
        <v>1015</v>
      </c>
      <c r="K276" s="34" t="s">
        <v>104</v>
      </c>
      <c r="L276" s="68" t="s">
        <v>185</v>
      </c>
      <c r="M276" s="73" t="s">
        <v>332</v>
      </c>
      <c r="N276" s="73" t="s">
        <v>1002</v>
      </c>
      <c r="O276" s="73" t="s">
        <v>491</v>
      </c>
      <c r="P276" s="70">
        <v>2</v>
      </c>
      <c r="Q276" s="41">
        <v>3</v>
      </c>
      <c r="R276" s="33">
        <f t="shared" si="32"/>
        <v>6</v>
      </c>
      <c r="S276" s="33" t="str">
        <f t="shared" ref="S276:S339" si="41">IF(AND(R276&gt;=0,R276&lt;=4),"BAJO",IF(AND(R276&gt;=6,R276&lt;=8),"MEDIO",IF(AND(R276&gt;=10,R276&lt;=20),"ALTO",IF(AND(R276&gt;=24,R276&lt;=40),"MUY ALTO"))))</f>
        <v>MEDIO</v>
      </c>
      <c r="T276" s="33">
        <v>10</v>
      </c>
      <c r="U276" s="75">
        <f t="shared" si="34"/>
        <v>60</v>
      </c>
      <c r="V276" s="33" t="str">
        <f t="shared" si="35"/>
        <v>lll</v>
      </c>
      <c r="W276" s="74" t="str">
        <f t="shared" si="36"/>
        <v>SI</v>
      </c>
      <c r="X276" s="33">
        <v>45</v>
      </c>
      <c r="Y276" s="31" t="s">
        <v>178</v>
      </c>
      <c r="Z276" s="33" t="s">
        <v>87</v>
      </c>
      <c r="AA276" s="34"/>
      <c r="AB276" s="40"/>
      <c r="AC276" s="40" t="s">
        <v>898</v>
      </c>
      <c r="AD276" s="34" t="s">
        <v>899</v>
      </c>
      <c r="AE276" s="34" t="s">
        <v>1016</v>
      </c>
      <c r="AF276" s="34" t="s">
        <v>901</v>
      </c>
      <c r="AG276" s="41">
        <v>2</v>
      </c>
      <c r="AH276" s="41">
        <v>3</v>
      </c>
      <c r="AI276" s="33">
        <f t="shared" si="38"/>
        <v>6</v>
      </c>
      <c r="AJ276" s="33" t="str">
        <f t="shared" si="39"/>
        <v>MEDIO</v>
      </c>
      <c r="AK276" s="33">
        <v>10</v>
      </c>
      <c r="AL276" s="33">
        <f t="shared" si="37"/>
        <v>60</v>
      </c>
      <c r="AM276" s="33" t="str">
        <f t="shared" si="40"/>
        <v>RIESGO ACEPTABLE</v>
      </c>
      <c r="AN276" s="34"/>
      <c r="AO276" s="40"/>
      <c r="AP276" s="40" t="s">
        <v>1017</v>
      </c>
      <c r="AQ276" s="34" t="s">
        <v>1018</v>
      </c>
      <c r="AR276" s="34" t="s">
        <v>1016</v>
      </c>
      <c r="AS276" s="61" t="s">
        <v>901</v>
      </c>
      <c r="EQ276" s="15"/>
      <c r="ER276" s="15"/>
      <c r="ES276" s="15"/>
      <c r="ET276" s="15"/>
      <c r="EU276" s="15"/>
      <c r="EV276" s="15"/>
    </row>
    <row r="277" spans="1:152" s="8" customFormat="1" ht="38.4" x14ac:dyDescent="0.25">
      <c r="A277" s="213"/>
      <c r="B277" s="197"/>
      <c r="C277" s="166"/>
      <c r="D277" s="196"/>
      <c r="E277" s="32" t="s">
        <v>87</v>
      </c>
      <c r="F277" s="152"/>
      <c r="G277" s="32" t="s">
        <v>1000</v>
      </c>
      <c r="H277" s="34" t="s">
        <v>380</v>
      </c>
      <c r="I277" s="32" t="s">
        <v>381</v>
      </c>
      <c r="J277" s="32" t="s">
        <v>1019</v>
      </c>
      <c r="K277" s="32" t="s">
        <v>104</v>
      </c>
      <c r="L277" s="68" t="s">
        <v>383</v>
      </c>
      <c r="M277" s="73" t="s">
        <v>332</v>
      </c>
      <c r="N277" s="73" t="s">
        <v>1002</v>
      </c>
      <c r="O277" s="73" t="s">
        <v>1020</v>
      </c>
      <c r="P277" s="70">
        <v>2</v>
      </c>
      <c r="Q277" s="41">
        <v>2</v>
      </c>
      <c r="R277" s="33">
        <f t="shared" si="32"/>
        <v>4</v>
      </c>
      <c r="S277" s="33" t="str">
        <f t="shared" si="41"/>
        <v>BAJO</v>
      </c>
      <c r="T277" s="33">
        <v>10</v>
      </c>
      <c r="U277" s="75">
        <f t="shared" ref="U277:U340" si="42">R277*T277</f>
        <v>40</v>
      </c>
      <c r="V277" s="33" t="str">
        <f t="shared" ref="V277:V340" si="43">IF(AND(U277&gt;=0,U277&lt;=20),"IV ",IF(AND(U277&gt;=40,U277&lt;=120),"lll",IF(AND(U277&gt;=150,U277&lt;=500),"ll",IF(AND(U277&gt;=600,U277&lt;=4000),"l"))))</f>
        <v>lll</v>
      </c>
      <c r="W277" s="74" t="str">
        <f t="shared" ref="W277:W340" si="44">IF(AND(V277="lV"),"SI",IF(AND(V277="lll"),"SI",IF(AND(V277="ll"),"NO",IF(AND(V277="l"),"NO"))))</f>
        <v>SI</v>
      </c>
      <c r="X277" s="33">
        <v>45</v>
      </c>
      <c r="Y277" s="31" t="s">
        <v>385</v>
      </c>
      <c r="Z277" s="33" t="s">
        <v>87</v>
      </c>
      <c r="AA277" s="45"/>
      <c r="AB277" s="32"/>
      <c r="AC277" s="34" t="s">
        <v>1021</v>
      </c>
      <c r="AD277" s="34" t="s">
        <v>1022</v>
      </c>
      <c r="AE277" s="34" t="s">
        <v>1023</v>
      </c>
      <c r="AF277" s="34" t="s">
        <v>1024</v>
      </c>
      <c r="AG277" s="41">
        <v>2</v>
      </c>
      <c r="AH277" s="41">
        <v>3</v>
      </c>
      <c r="AI277" s="33">
        <f t="shared" si="38"/>
        <v>6</v>
      </c>
      <c r="AJ277" s="33" t="str">
        <f t="shared" si="39"/>
        <v>MEDIO</v>
      </c>
      <c r="AK277" s="33">
        <v>10</v>
      </c>
      <c r="AL277" s="33">
        <f t="shared" si="37"/>
        <v>60</v>
      </c>
      <c r="AM277" s="33" t="str">
        <f t="shared" si="40"/>
        <v>RIESGO ACEPTABLE</v>
      </c>
      <c r="AN277" s="33"/>
      <c r="AO277" s="32"/>
      <c r="AP277" s="34"/>
      <c r="AQ277" s="34" t="s">
        <v>1025</v>
      </c>
      <c r="AR277" s="34" t="s">
        <v>1026</v>
      </c>
      <c r="AS277" s="61" t="s">
        <v>1027</v>
      </c>
      <c r="EQ277" s="15"/>
      <c r="ER277" s="15"/>
      <c r="ES277" s="15"/>
      <c r="ET277" s="15"/>
      <c r="EU277" s="15"/>
      <c r="EV277" s="15"/>
    </row>
    <row r="278" spans="1:152" s="8" customFormat="1" ht="38.4" x14ac:dyDescent="0.25">
      <c r="A278" s="213"/>
      <c r="B278" s="197"/>
      <c r="C278" s="166"/>
      <c r="D278" s="196"/>
      <c r="E278" s="32" t="s">
        <v>87</v>
      </c>
      <c r="F278" s="152"/>
      <c r="G278" s="32" t="s">
        <v>1000</v>
      </c>
      <c r="H278" s="34" t="s">
        <v>246</v>
      </c>
      <c r="I278" s="32" t="s">
        <v>115</v>
      </c>
      <c r="J278" s="32" t="s">
        <v>1028</v>
      </c>
      <c r="K278" s="32" t="s">
        <v>248</v>
      </c>
      <c r="L278" s="68" t="s">
        <v>249</v>
      </c>
      <c r="M278" s="73" t="s">
        <v>332</v>
      </c>
      <c r="N278" s="73" t="s">
        <v>1002</v>
      </c>
      <c r="O278" s="73" t="s">
        <v>250</v>
      </c>
      <c r="P278" s="70">
        <v>2</v>
      </c>
      <c r="Q278" s="41">
        <v>2</v>
      </c>
      <c r="R278" s="33">
        <f t="shared" si="32"/>
        <v>4</v>
      </c>
      <c r="S278" s="33" t="str">
        <f t="shared" si="41"/>
        <v>BAJO</v>
      </c>
      <c r="T278" s="33">
        <v>10</v>
      </c>
      <c r="U278" s="75">
        <f t="shared" si="42"/>
        <v>40</v>
      </c>
      <c r="V278" s="33" t="str">
        <f t="shared" si="43"/>
        <v>lll</v>
      </c>
      <c r="W278" s="74" t="str">
        <f t="shared" si="44"/>
        <v>SI</v>
      </c>
      <c r="X278" s="33">
        <v>45</v>
      </c>
      <c r="Y278" s="31" t="s">
        <v>251</v>
      </c>
      <c r="Z278" s="33" t="s">
        <v>87</v>
      </c>
      <c r="AA278" s="34"/>
      <c r="AB278" s="40"/>
      <c r="AC278" s="40"/>
      <c r="AD278" s="34" t="s">
        <v>252</v>
      </c>
      <c r="AE278" s="34" t="s">
        <v>1029</v>
      </c>
      <c r="AF278" s="34"/>
      <c r="AG278" s="41">
        <v>2</v>
      </c>
      <c r="AH278" s="41">
        <v>1</v>
      </c>
      <c r="AI278" s="33">
        <f t="shared" si="38"/>
        <v>2</v>
      </c>
      <c r="AJ278" s="33" t="str">
        <f t="shared" si="39"/>
        <v>BAJO</v>
      </c>
      <c r="AK278" s="33">
        <v>25</v>
      </c>
      <c r="AL278" s="33">
        <f t="shared" si="37"/>
        <v>50</v>
      </c>
      <c r="AM278" s="33" t="str">
        <f t="shared" si="40"/>
        <v>RIESGO ACEPTABLE</v>
      </c>
      <c r="AN278" s="34"/>
      <c r="AO278" s="40"/>
      <c r="AP278" s="40"/>
      <c r="AQ278" s="34" t="s">
        <v>1030</v>
      </c>
      <c r="AR278" s="34" t="s">
        <v>1029</v>
      </c>
      <c r="AS278" s="61"/>
      <c r="EQ278" s="15"/>
      <c r="ER278" s="15"/>
      <c r="ES278" s="15"/>
      <c r="ET278" s="15"/>
      <c r="EU278" s="15"/>
      <c r="EV278" s="15"/>
    </row>
    <row r="279" spans="1:152" s="8" customFormat="1" ht="76.8" x14ac:dyDescent="0.25">
      <c r="A279" s="213"/>
      <c r="B279" s="197"/>
      <c r="C279" s="166"/>
      <c r="D279" s="196"/>
      <c r="E279" s="32" t="s">
        <v>87</v>
      </c>
      <c r="F279" s="152"/>
      <c r="G279" s="32" t="s">
        <v>1000</v>
      </c>
      <c r="H279" s="34" t="s">
        <v>79</v>
      </c>
      <c r="I279" s="32" t="s">
        <v>80</v>
      </c>
      <c r="J279" s="47" t="s">
        <v>447</v>
      </c>
      <c r="K279" s="32" t="s">
        <v>104</v>
      </c>
      <c r="L279" s="68" t="s">
        <v>448</v>
      </c>
      <c r="M279" s="73" t="s">
        <v>332</v>
      </c>
      <c r="N279" s="73" t="s">
        <v>1002</v>
      </c>
      <c r="O279" s="7" t="s">
        <v>85</v>
      </c>
      <c r="P279" s="70">
        <v>2</v>
      </c>
      <c r="Q279" s="41">
        <v>3</v>
      </c>
      <c r="R279" s="33">
        <f t="shared" si="32"/>
        <v>6</v>
      </c>
      <c r="S279" s="33" t="str">
        <f t="shared" si="41"/>
        <v>MEDIO</v>
      </c>
      <c r="T279" s="33">
        <v>10</v>
      </c>
      <c r="U279" s="75">
        <f t="shared" si="42"/>
        <v>60</v>
      </c>
      <c r="V279" s="33" t="str">
        <f t="shared" si="43"/>
        <v>lll</v>
      </c>
      <c r="W279" s="74" t="str">
        <f t="shared" si="44"/>
        <v>SI</v>
      </c>
      <c r="X279" s="33">
        <v>45</v>
      </c>
      <c r="Y279" s="31" t="s">
        <v>86</v>
      </c>
      <c r="Z279" s="33" t="s">
        <v>87</v>
      </c>
      <c r="AA279" s="34"/>
      <c r="AB279" s="40"/>
      <c r="AC279" s="34"/>
      <c r="AD279" s="34" t="s">
        <v>1031</v>
      </c>
      <c r="AE279" s="34" t="s">
        <v>882</v>
      </c>
      <c r="AF279" s="34" t="s">
        <v>883</v>
      </c>
      <c r="AG279" s="41">
        <v>2</v>
      </c>
      <c r="AH279" s="41">
        <v>3</v>
      </c>
      <c r="AI279" s="33">
        <f t="shared" si="38"/>
        <v>6</v>
      </c>
      <c r="AJ279" s="33" t="str">
        <f t="shared" si="39"/>
        <v>MEDIO</v>
      </c>
      <c r="AK279" s="33">
        <v>10</v>
      </c>
      <c r="AL279" s="33">
        <f t="shared" si="37"/>
        <v>60</v>
      </c>
      <c r="AM279" s="33" t="str">
        <f t="shared" si="40"/>
        <v>RIESGO ACEPTABLE</v>
      </c>
      <c r="AN279" s="34"/>
      <c r="AO279" s="40"/>
      <c r="AP279" s="40"/>
      <c r="AQ279" s="34" t="s">
        <v>1032</v>
      </c>
      <c r="AR279" s="34" t="s">
        <v>882</v>
      </c>
      <c r="AS279" s="61" t="s">
        <v>883</v>
      </c>
      <c r="EQ279" s="15"/>
      <c r="ER279" s="15"/>
      <c r="ES279" s="15"/>
      <c r="ET279" s="15"/>
      <c r="EU279" s="15"/>
      <c r="EV279" s="15"/>
    </row>
    <row r="280" spans="1:152" s="8" customFormat="1" ht="38.4" x14ac:dyDescent="0.25">
      <c r="A280" s="213"/>
      <c r="B280" s="197"/>
      <c r="C280" s="166"/>
      <c r="D280" s="196"/>
      <c r="E280" s="32" t="s">
        <v>87</v>
      </c>
      <c r="F280" s="152"/>
      <c r="G280" s="32" t="s">
        <v>1000</v>
      </c>
      <c r="H280" s="34" t="s">
        <v>246</v>
      </c>
      <c r="I280" s="32" t="s">
        <v>115</v>
      </c>
      <c r="J280" s="32" t="s">
        <v>435</v>
      </c>
      <c r="K280" s="32" t="s">
        <v>248</v>
      </c>
      <c r="L280" s="68" t="s">
        <v>249</v>
      </c>
      <c r="M280" s="73" t="s">
        <v>332</v>
      </c>
      <c r="N280" s="73" t="s">
        <v>1002</v>
      </c>
      <c r="O280" s="73" t="s">
        <v>250</v>
      </c>
      <c r="P280" s="70">
        <v>2</v>
      </c>
      <c r="Q280" s="41">
        <v>2</v>
      </c>
      <c r="R280" s="33">
        <f t="shared" si="32"/>
        <v>4</v>
      </c>
      <c r="S280" s="33" t="str">
        <f t="shared" si="41"/>
        <v>BAJO</v>
      </c>
      <c r="T280" s="33">
        <v>10</v>
      </c>
      <c r="U280" s="75">
        <f t="shared" si="42"/>
        <v>40</v>
      </c>
      <c r="V280" s="33" t="str">
        <f t="shared" si="43"/>
        <v>lll</v>
      </c>
      <c r="W280" s="74" t="str">
        <f t="shared" si="44"/>
        <v>SI</v>
      </c>
      <c r="X280" s="33">
        <v>45</v>
      </c>
      <c r="Y280" s="31" t="s">
        <v>251</v>
      </c>
      <c r="Z280" s="33" t="s">
        <v>87</v>
      </c>
      <c r="AA280" s="34"/>
      <c r="AB280" s="40"/>
      <c r="AC280" s="40"/>
      <c r="AD280" s="34" t="s">
        <v>1033</v>
      </c>
      <c r="AE280" s="34" t="s">
        <v>1034</v>
      </c>
      <c r="AF280" s="34" t="s">
        <v>707</v>
      </c>
      <c r="AG280" s="41">
        <v>2</v>
      </c>
      <c r="AH280" s="41">
        <v>3</v>
      </c>
      <c r="AI280" s="33">
        <f t="shared" si="38"/>
        <v>6</v>
      </c>
      <c r="AJ280" s="33" t="str">
        <f t="shared" si="39"/>
        <v>MEDIO</v>
      </c>
      <c r="AK280" s="33">
        <v>10</v>
      </c>
      <c r="AL280" s="33">
        <f t="shared" si="37"/>
        <v>60</v>
      </c>
      <c r="AM280" s="33" t="str">
        <f t="shared" si="40"/>
        <v>RIESGO ACEPTABLE</v>
      </c>
      <c r="AN280" s="34"/>
      <c r="AO280" s="40"/>
      <c r="AP280" s="40"/>
      <c r="AQ280" s="34" t="s">
        <v>1035</v>
      </c>
      <c r="AR280" s="34" t="s">
        <v>1034</v>
      </c>
      <c r="AS280" s="61" t="s">
        <v>707</v>
      </c>
      <c r="EQ280" s="15"/>
      <c r="ER280" s="15"/>
      <c r="ES280" s="15"/>
      <c r="ET280" s="15"/>
      <c r="EU280" s="15"/>
      <c r="EV280" s="15"/>
    </row>
    <row r="281" spans="1:152" s="8" customFormat="1" ht="48" x14ac:dyDescent="0.25">
      <c r="A281" s="213"/>
      <c r="B281" s="197"/>
      <c r="C281" s="166"/>
      <c r="D281" s="196"/>
      <c r="E281" s="32" t="s">
        <v>87</v>
      </c>
      <c r="F281" s="152"/>
      <c r="G281" s="32" t="s">
        <v>1000</v>
      </c>
      <c r="H281" s="34" t="s">
        <v>863</v>
      </c>
      <c r="I281" s="32" t="s">
        <v>139</v>
      </c>
      <c r="J281" s="47" t="s">
        <v>1036</v>
      </c>
      <c r="K281" s="32" t="s">
        <v>104</v>
      </c>
      <c r="L281" s="68" t="s">
        <v>141</v>
      </c>
      <c r="M281" s="73" t="s">
        <v>332</v>
      </c>
      <c r="N281" s="73" t="s">
        <v>161</v>
      </c>
      <c r="O281" s="73" t="s">
        <v>152</v>
      </c>
      <c r="P281" s="70">
        <v>2</v>
      </c>
      <c r="Q281" s="41">
        <v>3</v>
      </c>
      <c r="R281" s="33">
        <f t="shared" si="32"/>
        <v>6</v>
      </c>
      <c r="S281" s="33" t="str">
        <f t="shared" si="41"/>
        <v>MEDIO</v>
      </c>
      <c r="T281" s="33">
        <v>10</v>
      </c>
      <c r="U281" s="75">
        <f t="shared" si="42"/>
        <v>60</v>
      </c>
      <c r="V281" s="33" t="str">
        <f t="shared" si="43"/>
        <v>lll</v>
      </c>
      <c r="W281" s="74" t="str">
        <f t="shared" si="44"/>
        <v>SI</v>
      </c>
      <c r="X281" s="33">
        <v>45</v>
      </c>
      <c r="Y281" s="31" t="s">
        <v>218</v>
      </c>
      <c r="Z281" s="33" t="s">
        <v>87</v>
      </c>
      <c r="AA281" s="34"/>
      <c r="AB281" s="40"/>
      <c r="AC281" s="40"/>
      <c r="AD281" s="34" t="s">
        <v>1037</v>
      </c>
      <c r="AE281" s="34" t="s">
        <v>900</v>
      </c>
      <c r="AF281" s="34" t="s">
        <v>1038</v>
      </c>
      <c r="AG281" s="41">
        <v>2</v>
      </c>
      <c r="AH281" s="41">
        <v>3</v>
      </c>
      <c r="AI281" s="33">
        <f t="shared" si="38"/>
        <v>6</v>
      </c>
      <c r="AJ281" s="33" t="str">
        <f t="shared" si="39"/>
        <v>MEDIO</v>
      </c>
      <c r="AK281" s="33">
        <v>10</v>
      </c>
      <c r="AL281" s="33">
        <f t="shared" si="37"/>
        <v>60</v>
      </c>
      <c r="AM281" s="33" t="str">
        <f t="shared" si="40"/>
        <v>RIESGO ACEPTABLE</v>
      </c>
      <c r="AN281" s="34"/>
      <c r="AO281" s="40"/>
      <c r="AP281" s="40"/>
      <c r="AQ281" s="34" t="s">
        <v>1039</v>
      </c>
      <c r="AR281" s="34" t="s">
        <v>900</v>
      </c>
      <c r="AS281" s="61" t="s">
        <v>148</v>
      </c>
      <c r="EQ281" s="15"/>
      <c r="ER281" s="15"/>
      <c r="ES281" s="15"/>
      <c r="ET281" s="15"/>
      <c r="EU281" s="15"/>
      <c r="EV281" s="15"/>
    </row>
    <row r="282" spans="1:152" s="8" customFormat="1" ht="38.4" x14ac:dyDescent="0.25">
      <c r="A282" s="213"/>
      <c r="B282" s="197"/>
      <c r="C282" s="166"/>
      <c r="D282" s="196"/>
      <c r="E282" s="32" t="s">
        <v>87</v>
      </c>
      <c r="F282" s="152"/>
      <c r="G282" s="32" t="s">
        <v>1000</v>
      </c>
      <c r="H282" s="34" t="s">
        <v>138</v>
      </c>
      <c r="I282" s="32" t="s">
        <v>139</v>
      </c>
      <c r="J282" s="32" t="s">
        <v>858</v>
      </c>
      <c r="K282" s="32" t="s">
        <v>104</v>
      </c>
      <c r="L282" s="68" t="s">
        <v>475</v>
      </c>
      <c r="M282" s="73" t="s">
        <v>332</v>
      </c>
      <c r="N282" s="73" t="s">
        <v>161</v>
      </c>
      <c r="O282" s="73" t="s">
        <v>142</v>
      </c>
      <c r="P282" s="70">
        <v>2</v>
      </c>
      <c r="Q282" s="41">
        <v>2</v>
      </c>
      <c r="R282" s="33">
        <f t="shared" si="32"/>
        <v>4</v>
      </c>
      <c r="S282" s="33" t="str">
        <f t="shared" si="41"/>
        <v>BAJO</v>
      </c>
      <c r="T282" s="33">
        <v>10</v>
      </c>
      <c r="U282" s="75">
        <f t="shared" si="42"/>
        <v>40</v>
      </c>
      <c r="V282" s="33" t="str">
        <f t="shared" si="43"/>
        <v>lll</v>
      </c>
      <c r="W282" s="74" t="str">
        <f t="shared" si="44"/>
        <v>SI</v>
      </c>
      <c r="X282" s="33">
        <v>45</v>
      </c>
      <c r="Y282" s="31" t="s">
        <v>143</v>
      </c>
      <c r="Z282" s="33" t="s">
        <v>87</v>
      </c>
      <c r="AA282" s="34"/>
      <c r="AB282" s="40"/>
      <c r="AC282" s="34" t="s">
        <v>1040</v>
      </c>
      <c r="AD282" s="34" t="s">
        <v>990</v>
      </c>
      <c r="AE282" s="34" t="s">
        <v>900</v>
      </c>
      <c r="AF282" s="34" t="s">
        <v>148</v>
      </c>
      <c r="AG282" s="41">
        <v>2</v>
      </c>
      <c r="AH282" s="41">
        <v>3</v>
      </c>
      <c r="AI282" s="33">
        <f t="shared" si="38"/>
        <v>6</v>
      </c>
      <c r="AJ282" s="33" t="str">
        <f t="shared" si="39"/>
        <v>MEDIO</v>
      </c>
      <c r="AK282" s="33">
        <v>10</v>
      </c>
      <c r="AL282" s="33">
        <f t="shared" si="37"/>
        <v>60</v>
      </c>
      <c r="AM282" s="33" t="str">
        <f t="shared" si="40"/>
        <v>RIESGO ACEPTABLE</v>
      </c>
      <c r="AN282" s="34"/>
      <c r="AO282" s="40"/>
      <c r="AP282" s="40"/>
      <c r="AQ282" s="34" t="s">
        <v>1039</v>
      </c>
      <c r="AR282" s="34" t="s">
        <v>900</v>
      </c>
      <c r="AS282" s="61" t="s">
        <v>148</v>
      </c>
      <c r="EQ282" s="15"/>
      <c r="ER282" s="15"/>
      <c r="ES282" s="15"/>
      <c r="ET282" s="15"/>
      <c r="EU282" s="15"/>
      <c r="EV282" s="15"/>
    </row>
    <row r="283" spans="1:152" s="8" customFormat="1" ht="57.6" x14ac:dyDescent="0.25">
      <c r="A283" s="193" t="s">
        <v>95</v>
      </c>
      <c r="B283" s="208" t="s">
        <v>835</v>
      </c>
      <c r="C283" s="166" t="s">
        <v>1041</v>
      </c>
      <c r="D283" s="196" t="s">
        <v>1042</v>
      </c>
      <c r="E283" s="165" t="s">
        <v>496</v>
      </c>
      <c r="F283" s="152" t="s">
        <v>1043</v>
      </c>
      <c r="G283" s="165" t="s">
        <v>1044</v>
      </c>
      <c r="H283" s="34" t="s">
        <v>172</v>
      </c>
      <c r="I283" s="32" t="s">
        <v>173</v>
      </c>
      <c r="J283" s="32" t="s">
        <v>1045</v>
      </c>
      <c r="K283" s="34" t="s">
        <v>248</v>
      </c>
      <c r="L283" s="68" t="s">
        <v>175</v>
      </c>
      <c r="M283" s="73" t="s">
        <v>332</v>
      </c>
      <c r="N283" s="73" t="s">
        <v>311</v>
      </c>
      <c r="O283" s="73" t="s">
        <v>177</v>
      </c>
      <c r="P283" s="70">
        <v>2</v>
      </c>
      <c r="Q283" s="41">
        <v>3</v>
      </c>
      <c r="R283" s="33">
        <f t="shared" si="32"/>
        <v>6</v>
      </c>
      <c r="S283" s="33" t="str">
        <f t="shared" si="41"/>
        <v>MEDIO</v>
      </c>
      <c r="T283" s="33">
        <v>10</v>
      </c>
      <c r="U283" s="75">
        <f t="shared" si="42"/>
        <v>60</v>
      </c>
      <c r="V283" s="33" t="str">
        <f t="shared" si="43"/>
        <v>lll</v>
      </c>
      <c r="W283" s="74" t="str">
        <f t="shared" si="44"/>
        <v>SI</v>
      </c>
      <c r="X283" s="33">
        <v>30</v>
      </c>
      <c r="Y283" s="31" t="s">
        <v>178</v>
      </c>
      <c r="Z283" s="33" t="s">
        <v>87</v>
      </c>
      <c r="AA283" s="34"/>
      <c r="AB283" s="40"/>
      <c r="AC283" s="40"/>
      <c r="AD283" s="34" t="s">
        <v>1046</v>
      </c>
      <c r="AE283" s="34" t="s">
        <v>93</v>
      </c>
      <c r="AF283" s="34" t="s">
        <v>182</v>
      </c>
      <c r="AG283" s="41">
        <v>2</v>
      </c>
      <c r="AH283" s="41">
        <v>3</v>
      </c>
      <c r="AI283" s="33">
        <f t="shared" si="38"/>
        <v>6</v>
      </c>
      <c r="AJ283" s="33" t="str">
        <f t="shared" si="39"/>
        <v>MEDIO</v>
      </c>
      <c r="AK283" s="33">
        <v>25</v>
      </c>
      <c r="AL283" s="33">
        <f t="shared" si="37"/>
        <v>150</v>
      </c>
      <c r="AM283" s="33" t="str">
        <f t="shared" si="40"/>
        <v>RIESGO ALTO</v>
      </c>
      <c r="AN283" s="34"/>
      <c r="AO283" s="40"/>
      <c r="AP283" s="40"/>
      <c r="AQ283" s="34" t="s">
        <v>1047</v>
      </c>
      <c r="AR283" s="34"/>
      <c r="AS283" s="61" t="s">
        <v>1048</v>
      </c>
    </row>
    <row r="284" spans="1:152" s="8" customFormat="1" ht="57.6" x14ac:dyDescent="0.25">
      <c r="A284" s="193"/>
      <c r="B284" s="208"/>
      <c r="C284" s="166"/>
      <c r="D284" s="200"/>
      <c r="E284" s="165"/>
      <c r="F284" s="152"/>
      <c r="G284" s="165"/>
      <c r="H284" s="34" t="s">
        <v>114</v>
      </c>
      <c r="I284" s="32" t="s">
        <v>115</v>
      </c>
      <c r="J284" s="34" t="s">
        <v>1049</v>
      </c>
      <c r="K284" s="34" t="s">
        <v>248</v>
      </c>
      <c r="L284" s="68" t="s">
        <v>117</v>
      </c>
      <c r="M284" s="73" t="s">
        <v>332</v>
      </c>
      <c r="N284" s="73" t="s">
        <v>324</v>
      </c>
      <c r="O284" s="73" t="s">
        <v>264</v>
      </c>
      <c r="P284" s="70">
        <v>2</v>
      </c>
      <c r="Q284" s="44">
        <v>3</v>
      </c>
      <c r="R284" s="33">
        <f t="shared" si="32"/>
        <v>6</v>
      </c>
      <c r="S284" s="33" t="str">
        <f t="shared" si="41"/>
        <v>MEDIO</v>
      </c>
      <c r="T284" s="33">
        <v>10</v>
      </c>
      <c r="U284" s="75">
        <f t="shared" si="42"/>
        <v>60</v>
      </c>
      <c r="V284" s="33" t="str">
        <f t="shared" si="43"/>
        <v>lll</v>
      </c>
      <c r="W284" s="74" t="str">
        <f t="shared" si="44"/>
        <v>SI</v>
      </c>
      <c r="X284" s="33">
        <v>30</v>
      </c>
      <c r="Y284" s="31" t="s">
        <v>119</v>
      </c>
      <c r="Z284" s="33" t="s">
        <v>87</v>
      </c>
      <c r="AA284" s="45"/>
      <c r="AB284" s="32"/>
      <c r="AC284" s="40"/>
      <c r="AD284" s="34" t="s">
        <v>1050</v>
      </c>
      <c r="AE284" s="34" t="s">
        <v>93</v>
      </c>
      <c r="AF284" s="34" t="s">
        <v>1051</v>
      </c>
      <c r="AG284" s="44">
        <v>2</v>
      </c>
      <c r="AH284" s="44">
        <v>3</v>
      </c>
      <c r="AI284" s="33">
        <f t="shared" si="38"/>
        <v>6</v>
      </c>
      <c r="AJ284" s="33" t="str">
        <f t="shared" si="39"/>
        <v>MEDIO</v>
      </c>
      <c r="AK284" s="33">
        <v>10</v>
      </c>
      <c r="AL284" s="33">
        <f t="shared" si="37"/>
        <v>60</v>
      </c>
      <c r="AM284" s="33" t="str">
        <f t="shared" si="40"/>
        <v>RIESGO ACEPTABLE</v>
      </c>
      <c r="AN284" s="33"/>
      <c r="AO284" s="32"/>
      <c r="AP284" s="40"/>
      <c r="AQ284" s="34" t="s">
        <v>1052</v>
      </c>
      <c r="AR284" s="34" t="s">
        <v>1053</v>
      </c>
      <c r="AS284" s="61" t="s">
        <v>127</v>
      </c>
    </row>
    <row r="285" spans="1:152" s="8" customFormat="1" ht="67.2" x14ac:dyDescent="0.25">
      <c r="A285" s="193"/>
      <c r="B285" s="208"/>
      <c r="C285" s="166"/>
      <c r="D285" s="196"/>
      <c r="E285" s="165"/>
      <c r="F285" s="152"/>
      <c r="G285" s="165"/>
      <c r="H285" s="34" t="s">
        <v>316</v>
      </c>
      <c r="I285" s="32" t="s">
        <v>102</v>
      </c>
      <c r="J285" s="32" t="s">
        <v>1054</v>
      </c>
      <c r="K285" s="34" t="s">
        <v>248</v>
      </c>
      <c r="L285" s="68" t="s">
        <v>83</v>
      </c>
      <c r="M285" s="73" t="s">
        <v>332</v>
      </c>
      <c r="N285" s="73" t="s">
        <v>106</v>
      </c>
      <c r="O285" s="73" t="s">
        <v>626</v>
      </c>
      <c r="P285" s="70">
        <v>2</v>
      </c>
      <c r="Q285" s="41">
        <v>3</v>
      </c>
      <c r="R285" s="33">
        <f t="shared" si="32"/>
        <v>6</v>
      </c>
      <c r="S285" s="33" t="str">
        <f t="shared" si="41"/>
        <v>MEDIO</v>
      </c>
      <c r="T285" s="33">
        <v>10</v>
      </c>
      <c r="U285" s="75">
        <f t="shared" si="42"/>
        <v>60</v>
      </c>
      <c r="V285" s="33" t="str">
        <f t="shared" si="43"/>
        <v>lll</v>
      </c>
      <c r="W285" s="74" t="str">
        <f t="shared" si="44"/>
        <v>SI</v>
      </c>
      <c r="X285" s="33">
        <v>30</v>
      </c>
      <c r="Y285" s="31" t="s">
        <v>108</v>
      </c>
      <c r="Z285" s="33" t="s">
        <v>87</v>
      </c>
      <c r="AA285" s="34"/>
      <c r="AB285" s="40"/>
      <c r="AC285" s="40"/>
      <c r="AD285" s="34"/>
      <c r="AE285" s="34" t="s">
        <v>471</v>
      </c>
      <c r="AF285" s="34" t="s">
        <v>320</v>
      </c>
      <c r="AG285" s="41">
        <v>2</v>
      </c>
      <c r="AH285" s="41">
        <v>3</v>
      </c>
      <c r="AI285" s="33">
        <f t="shared" si="38"/>
        <v>6</v>
      </c>
      <c r="AJ285" s="33" t="str">
        <f t="shared" si="39"/>
        <v>MEDIO</v>
      </c>
      <c r="AK285" s="33">
        <v>10</v>
      </c>
      <c r="AL285" s="33">
        <f t="shared" si="37"/>
        <v>60</v>
      </c>
      <c r="AM285" s="33" t="str">
        <f t="shared" si="40"/>
        <v>RIESGO ACEPTABLE</v>
      </c>
      <c r="AN285" s="34"/>
      <c r="AO285" s="40"/>
      <c r="AP285" s="40"/>
      <c r="AQ285" s="34"/>
      <c r="AR285" s="34" t="s">
        <v>471</v>
      </c>
      <c r="AS285" s="61" t="s">
        <v>320</v>
      </c>
      <c r="AX285" s="8">
        <v>6108579</v>
      </c>
    </row>
    <row r="286" spans="1:152" s="8" customFormat="1" ht="76.8" x14ac:dyDescent="0.25">
      <c r="A286" s="193"/>
      <c r="B286" s="208"/>
      <c r="C286" s="166"/>
      <c r="D286" s="196"/>
      <c r="E286" s="165"/>
      <c r="F286" s="152"/>
      <c r="G286" s="165"/>
      <c r="H286" s="34" t="s">
        <v>79</v>
      </c>
      <c r="I286" s="32" t="s">
        <v>80</v>
      </c>
      <c r="J286" s="47" t="s">
        <v>447</v>
      </c>
      <c r="K286" s="34" t="s">
        <v>248</v>
      </c>
      <c r="L286" s="68" t="s">
        <v>448</v>
      </c>
      <c r="M286" s="73" t="s">
        <v>332</v>
      </c>
      <c r="N286" s="73" t="s">
        <v>324</v>
      </c>
      <c r="O286" s="7" t="s">
        <v>85</v>
      </c>
      <c r="P286" s="70">
        <v>2</v>
      </c>
      <c r="Q286" s="41">
        <v>3</v>
      </c>
      <c r="R286" s="33">
        <f t="shared" ref="R286:R349" si="45">P286*Q286</f>
        <v>6</v>
      </c>
      <c r="S286" s="33" t="str">
        <f t="shared" si="41"/>
        <v>MEDIO</v>
      </c>
      <c r="T286" s="33">
        <v>10</v>
      </c>
      <c r="U286" s="75">
        <f t="shared" si="42"/>
        <v>60</v>
      </c>
      <c r="V286" s="33" t="str">
        <f t="shared" si="43"/>
        <v>lll</v>
      </c>
      <c r="W286" s="74" t="str">
        <f t="shared" si="44"/>
        <v>SI</v>
      </c>
      <c r="X286" s="33">
        <v>30</v>
      </c>
      <c r="Y286" s="31" t="s">
        <v>86</v>
      </c>
      <c r="Z286" s="33" t="s">
        <v>87</v>
      </c>
      <c r="AA286" s="45"/>
      <c r="AB286" s="33"/>
      <c r="AC286" s="34"/>
      <c r="AD286" s="34" t="s">
        <v>1055</v>
      </c>
      <c r="AE286" s="34" t="s">
        <v>93</v>
      </c>
      <c r="AF286" s="34" t="s">
        <v>1056</v>
      </c>
      <c r="AG286" s="41">
        <v>2</v>
      </c>
      <c r="AH286" s="41">
        <v>3</v>
      </c>
      <c r="AI286" s="33">
        <f t="shared" si="38"/>
        <v>6</v>
      </c>
      <c r="AJ286" s="33" t="str">
        <f t="shared" si="39"/>
        <v>MEDIO</v>
      </c>
      <c r="AK286" s="33">
        <v>10</v>
      </c>
      <c r="AL286" s="33">
        <f t="shared" si="37"/>
        <v>60</v>
      </c>
      <c r="AM286" s="33" t="str">
        <f t="shared" si="40"/>
        <v>RIESGO ACEPTABLE</v>
      </c>
      <c r="AN286" s="34"/>
      <c r="AO286" s="34"/>
      <c r="AP286" s="34"/>
      <c r="AQ286" s="34" t="s">
        <v>1057</v>
      </c>
      <c r="AR286" s="34" t="s">
        <v>495</v>
      </c>
      <c r="AS286" s="61" t="s">
        <v>1056</v>
      </c>
      <c r="AX286" s="8" t="s">
        <v>1058</v>
      </c>
    </row>
    <row r="287" spans="1:152" s="8" customFormat="1" ht="57.6" x14ac:dyDescent="0.25">
      <c r="A287" s="193"/>
      <c r="B287" s="208"/>
      <c r="C287" s="166"/>
      <c r="D287" s="200"/>
      <c r="E287" s="165"/>
      <c r="F287" s="152"/>
      <c r="G287" s="165"/>
      <c r="H287" s="34" t="s">
        <v>149</v>
      </c>
      <c r="I287" s="32" t="s">
        <v>139</v>
      </c>
      <c r="J287" s="32" t="s">
        <v>1059</v>
      </c>
      <c r="K287" s="34" t="s">
        <v>248</v>
      </c>
      <c r="L287" s="68" t="s">
        <v>327</v>
      </c>
      <c r="M287" s="73" t="s">
        <v>332</v>
      </c>
      <c r="N287" s="73" t="s">
        <v>324</v>
      </c>
      <c r="O287" s="73" t="s">
        <v>556</v>
      </c>
      <c r="P287" s="70">
        <v>2</v>
      </c>
      <c r="Q287" s="41">
        <v>3</v>
      </c>
      <c r="R287" s="33">
        <f t="shared" si="45"/>
        <v>6</v>
      </c>
      <c r="S287" s="33" t="str">
        <f t="shared" si="41"/>
        <v>MEDIO</v>
      </c>
      <c r="T287" s="33">
        <v>10</v>
      </c>
      <c r="U287" s="75">
        <f t="shared" si="42"/>
        <v>60</v>
      </c>
      <c r="V287" s="33" t="str">
        <f t="shared" si="43"/>
        <v>lll</v>
      </c>
      <c r="W287" s="74" t="str">
        <f t="shared" si="44"/>
        <v>SI</v>
      </c>
      <c r="X287" s="33">
        <v>30</v>
      </c>
      <c r="Y287" s="31" t="s">
        <v>143</v>
      </c>
      <c r="Z287" s="33" t="s">
        <v>87</v>
      </c>
      <c r="AA287" s="34"/>
      <c r="AB287" s="34"/>
      <c r="AC287" s="42"/>
      <c r="AD287" s="42" t="s">
        <v>224</v>
      </c>
      <c r="AE287" s="42"/>
      <c r="AF287" s="34" t="s">
        <v>146</v>
      </c>
      <c r="AG287" s="41">
        <v>2</v>
      </c>
      <c r="AH287" s="41">
        <v>3</v>
      </c>
      <c r="AI287" s="33">
        <f t="shared" si="38"/>
        <v>6</v>
      </c>
      <c r="AJ287" s="33" t="str">
        <f t="shared" si="39"/>
        <v>MEDIO</v>
      </c>
      <c r="AK287" s="33">
        <v>10</v>
      </c>
      <c r="AL287" s="33">
        <f t="shared" si="37"/>
        <v>60</v>
      </c>
      <c r="AM287" s="33" t="str">
        <f t="shared" si="40"/>
        <v>RIESGO ACEPTABLE</v>
      </c>
      <c r="AN287" s="34"/>
      <c r="AO287" s="34"/>
      <c r="AP287" s="42"/>
      <c r="AQ287" s="43" t="s">
        <v>1060</v>
      </c>
      <c r="AR287" s="34"/>
      <c r="AS287" s="61" t="s">
        <v>1061</v>
      </c>
    </row>
    <row r="288" spans="1:152" s="8" customFormat="1" ht="57.6" x14ac:dyDescent="0.25">
      <c r="A288" s="193"/>
      <c r="B288" s="208"/>
      <c r="C288" s="166"/>
      <c r="D288" s="196"/>
      <c r="E288" s="165"/>
      <c r="F288" s="152"/>
      <c r="G288" s="165"/>
      <c r="H288" s="34" t="s">
        <v>1062</v>
      </c>
      <c r="I288" s="32" t="s">
        <v>129</v>
      </c>
      <c r="J288" s="32" t="s">
        <v>1063</v>
      </c>
      <c r="K288" s="34" t="s">
        <v>248</v>
      </c>
      <c r="L288" s="68" t="s">
        <v>1064</v>
      </c>
      <c r="M288" s="73" t="s">
        <v>332</v>
      </c>
      <c r="N288" s="73" t="s">
        <v>324</v>
      </c>
      <c r="O288" s="73" t="s">
        <v>132</v>
      </c>
      <c r="P288" s="70">
        <v>2</v>
      </c>
      <c r="Q288" s="41">
        <v>3</v>
      </c>
      <c r="R288" s="33">
        <f t="shared" si="45"/>
        <v>6</v>
      </c>
      <c r="S288" s="33" t="str">
        <f t="shared" si="41"/>
        <v>MEDIO</v>
      </c>
      <c r="T288" s="33">
        <v>10</v>
      </c>
      <c r="U288" s="75">
        <f t="shared" si="42"/>
        <v>60</v>
      </c>
      <c r="V288" s="33" t="str">
        <f t="shared" si="43"/>
        <v>lll</v>
      </c>
      <c r="W288" s="74" t="str">
        <f t="shared" si="44"/>
        <v>SI</v>
      </c>
      <c r="X288" s="33">
        <v>30</v>
      </c>
      <c r="Y288" s="31" t="s">
        <v>133</v>
      </c>
      <c r="Z288" s="33" t="s">
        <v>87</v>
      </c>
      <c r="AA288" s="46"/>
      <c r="AB288" s="33"/>
      <c r="AC288" s="34"/>
      <c r="AD288" s="34" t="s">
        <v>134</v>
      </c>
      <c r="AE288" s="34"/>
      <c r="AF288" s="34" t="s">
        <v>1065</v>
      </c>
      <c r="AG288" s="41">
        <v>2</v>
      </c>
      <c r="AH288" s="41">
        <v>3</v>
      </c>
      <c r="AI288" s="33">
        <f t="shared" si="38"/>
        <v>6</v>
      </c>
      <c r="AJ288" s="33" t="str">
        <f t="shared" si="39"/>
        <v>MEDIO</v>
      </c>
      <c r="AK288" s="33">
        <v>10</v>
      </c>
      <c r="AL288" s="33">
        <f t="shared" si="37"/>
        <v>60</v>
      </c>
      <c r="AM288" s="33" t="str">
        <f t="shared" si="40"/>
        <v>RIESGO ACEPTABLE</v>
      </c>
      <c r="AN288" s="34"/>
      <c r="AO288" s="34"/>
      <c r="AP288" s="34"/>
      <c r="AQ288" s="34" t="s">
        <v>136</v>
      </c>
      <c r="AR288" s="34" t="s">
        <v>93</v>
      </c>
      <c r="AS288" s="61" t="s">
        <v>1066</v>
      </c>
    </row>
    <row r="289" spans="1:45" s="8" customFormat="1" ht="38.4" x14ac:dyDescent="0.25">
      <c r="A289" s="193"/>
      <c r="B289" s="208"/>
      <c r="C289" s="166"/>
      <c r="D289" s="196"/>
      <c r="E289" s="165"/>
      <c r="F289" s="152"/>
      <c r="G289" s="165"/>
      <c r="H289" s="34" t="s">
        <v>157</v>
      </c>
      <c r="I289" s="32" t="s">
        <v>158</v>
      </c>
      <c r="J289" s="32" t="s">
        <v>1067</v>
      </c>
      <c r="K289" s="34" t="s">
        <v>248</v>
      </c>
      <c r="L289" s="68" t="s">
        <v>160</v>
      </c>
      <c r="M289" s="73" t="s">
        <v>332</v>
      </c>
      <c r="N289" s="73" t="s">
        <v>161</v>
      </c>
      <c r="O289" s="73" t="s">
        <v>1068</v>
      </c>
      <c r="P289" s="70">
        <v>2</v>
      </c>
      <c r="Q289" s="41">
        <v>3</v>
      </c>
      <c r="R289" s="33">
        <f t="shared" si="45"/>
        <v>6</v>
      </c>
      <c r="S289" s="33" t="str">
        <f t="shared" si="41"/>
        <v>MEDIO</v>
      </c>
      <c r="T289" s="33">
        <v>10</v>
      </c>
      <c r="U289" s="75">
        <f t="shared" si="42"/>
        <v>60</v>
      </c>
      <c r="V289" s="33" t="str">
        <f t="shared" si="43"/>
        <v>lll</v>
      </c>
      <c r="W289" s="74" t="str">
        <f t="shared" si="44"/>
        <v>SI</v>
      </c>
      <c r="X289" s="33">
        <v>30</v>
      </c>
      <c r="Y289" s="31" t="s">
        <v>163</v>
      </c>
      <c r="Z289" s="33" t="s">
        <v>87</v>
      </c>
      <c r="AA289" s="46"/>
      <c r="AB289" s="33"/>
      <c r="AC289" s="34"/>
      <c r="AD289" s="34" t="s">
        <v>1069</v>
      </c>
      <c r="AE289" s="34"/>
      <c r="AF289" s="34"/>
      <c r="AG289" s="41">
        <v>2</v>
      </c>
      <c r="AH289" s="41">
        <v>3</v>
      </c>
      <c r="AI289" s="33">
        <f t="shared" si="38"/>
        <v>6</v>
      </c>
      <c r="AJ289" s="33" t="str">
        <f t="shared" si="39"/>
        <v>MEDIO</v>
      </c>
      <c r="AK289" s="33">
        <v>10</v>
      </c>
      <c r="AL289" s="33">
        <f t="shared" si="37"/>
        <v>60</v>
      </c>
      <c r="AM289" s="33" t="str">
        <f t="shared" si="40"/>
        <v>RIESGO ACEPTABLE</v>
      </c>
      <c r="AN289" s="34"/>
      <c r="AO289" s="34"/>
      <c r="AP289" s="34"/>
      <c r="AQ289" s="34" t="s">
        <v>1069</v>
      </c>
      <c r="AR289" s="34"/>
      <c r="AS289" s="61"/>
    </row>
    <row r="290" spans="1:45" s="8" customFormat="1" ht="38.4" x14ac:dyDescent="0.25">
      <c r="A290" s="193"/>
      <c r="B290" s="208"/>
      <c r="C290" s="166"/>
      <c r="D290" s="196"/>
      <c r="E290" s="165"/>
      <c r="F290" s="152"/>
      <c r="G290" s="165"/>
      <c r="H290" s="34" t="s">
        <v>1070</v>
      </c>
      <c r="I290" s="34" t="s">
        <v>744</v>
      </c>
      <c r="J290" s="32" t="s">
        <v>1071</v>
      </c>
      <c r="K290" s="34" t="s">
        <v>248</v>
      </c>
      <c r="L290" s="68" t="s">
        <v>1072</v>
      </c>
      <c r="M290" s="73" t="s">
        <v>332</v>
      </c>
      <c r="N290" s="73" t="s">
        <v>747</v>
      </c>
      <c r="O290" s="73" t="s">
        <v>748</v>
      </c>
      <c r="P290" s="70">
        <v>2</v>
      </c>
      <c r="Q290" s="41">
        <v>3</v>
      </c>
      <c r="R290" s="33">
        <f t="shared" si="45"/>
        <v>6</v>
      </c>
      <c r="S290" s="33" t="str">
        <f t="shared" si="41"/>
        <v>MEDIO</v>
      </c>
      <c r="T290" s="33">
        <v>10</v>
      </c>
      <c r="U290" s="75">
        <f t="shared" si="42"/>
        <v>60</v>
      </c>
      <c r="V290" s="33" t="str">
        <f t="shared" si="43"/>
        <v>lll</v>
      </c>
      <c r="W290" s="74" t="str">
        <f t="shared" si="44"/>
        <v>SI</v>
      </c>
      <c r="X290" s="33">
        <v>30</v>
      </c>
      <c r="Y290" s="31" t="s">
        <v>1073</v>
      </c>
      <c r="Z290" s="33" t="s">
        <v>87</v>
      </c>
      <c r="AA290" s="34"/>
      <c r="AB290" s="40"/>
      <c r="AC290" s="40"/>
      <c r="AD290" s="34" t="s">
        <v>1074</v>
      </c>
      <c r="AE290" s="34"/>
      <c r="AF290" s="34"/>
      <c r="AG290" s="41">
        <v>2</v>
      </c>
      <c r="AH290" s="41">
        <v>3</v>
      </c>
      <c r="AI290" s="33">
        <f>AG290*AH290</f>
        <v>6</v>
      </c>
      <c r="AJ290" s="33" t="str">
        <f>IF(AND(AI290&gt;=0,AI290&lt;=4),"BAJO",IF(AND(AI290&gt;=6,AI290&lt;=8),"MEDIO",IF(AND(AI290&gt;=10,AI290&lt;=20),"ALTO",IF(AND(AI290&gt;=24,AI290&lt;=40),"MUY ALTO"))))</f>
        <v>MEDIO</v>
      </c>
      <c r="AK290" s="33">
        <v>10</v>
      </c>
      <c r="AL290" s="33">
        <f t="shared" si="37"/>
        <v>60</v>
      </c>
      <c r="AM290" s="33" t="str">
        <f>IF(AND(AL290&gt;=0,AL290&lt;=120),"RIESGO ACEPTABLE",IF(AND(AL290&gt;=150,AL290&lt;=500),"RIESGO ALTO",IF(AND(AL290&gt;=600,AL290&lt;=4000),"RIESGO NO ACEPTABLE")))</f>
        <v>RIESGO ACEPTABLE</v>
      </c>
      <c r="AN290" s="34"/>
      <c r="AO290" s="40"/>
      <c r="AP290" s="40"/>
      <c r="AQ290" s="34" t="s">
        <v>1074</v>
      </c>
      <c r="AR290" s="34"/>
      <c r="AS290" s="61"/>
    </row>
    <row r="291" spans="1:45" s="8" customFormat="1" ht="57.6" x14ac:dyDescent="0.25">
      <c r="A291" s="193"/>
      <c r="B291" s="208"/>
      <c r="C291" s="166"/>
      <c r="D291" s="196"/>
      <c r="E291" s="165"/>
      <c r="F291" s="152"/>
      <c r="G291" s="165"/>
      <c r="H291" s="34" t="s">
        <v>308</v>
      </c>
      <c r="I291" s="168" t="s">
        <v>291</v>
      </c>
      <c r="J291" s="47" t="s">
        <v>1075</v>
      </c>
      <c r="K291" s="34" t="s">
        <v>248</v>
      </c>
      <c r="L291" s="68" t="s">
        <v>310</v>
      </c>
      <c r="M291" s="73" t="s">
        <v>332</v>
      </c>
      <c r="N291" s="73" t="s">
        <v>324</v>
      </c>
      <c r="O291" s="73" t="s">
        <v>312</v>
      </c>
      <c r="P291" s="70">
        <v>2</v>
      </c>
      <c r="Q291" s="41">
        <v>3</v>
      </c>
      <c r="R291" s="33">
        <f t="shared" si="45"/>
        <v>6</v>
      </c>
      <c r="S291" s="33" t="str">
        <f t="shared" si="41"/>
        <v>MEDIO</v>
      </c>
      <c r="T291" s="33">
        <v>10</v>
      </c>
      <c r="U291" s="75">
        <f t="shared" si="42"/>
        <v>60</v>
      </c>
      <c r="V291" s="33" t="str">
        <f t="shared" si="43"/>
        <v>lll</v>
      </c>
      <c r="W291" s="74" t="str">
        <f t="shared" si="44"/>
        <v>SI</v>
      </c>
      <c r="X291" s="33">
        <v>30</v>
      </c>
      <c r="Y291" s="31" t="s">
        <v>313</v>
      </c>
      <c r="Z291" s="33" t="s">
        <v>87</v>
      </c>
      <c r="AA291" s="46"/>
      <c r="AB291" s="33"/>
      <c r="AC291" s="34"/>
      <c r="AD291" s="34" t="s">
        <v>1076</v>
      </c>
      <c r="AE291" s="34"/>
      <c r="AF291" s="34"/>
      <c r="AG291" s="41">
        <v>2</v>
      </c>
      <c r="AH291" s="41">
        <v>3</v>
      </c>
      <c r="AI291" s="33">
        <f t="shared" ref="AI291:AI351" si="46">AG291*AH291</f>
        <v>6</v>
      </c>
      <c r="AJ291" s="33" t="str">
        <f>IF(AND(AI291&gt;=0,AI291&lt;=4),"BAJO",IF(AND(AI291&gt;=6,AI291&lt;=8),"MEDIO",IF(AND(AI291&gt;=10,AI291&lt;=20),"ALTO",IF(AND(AI291&gt;=24,AI291&lt;=40),"MUY ALTO"))))</f>
        <v>MEDIO</v>
      </c>
      <c r="AK291" s="33">
        <v>25</v>
      </c>
      <c r="AL291" s="33">
        <f t="shared" si="37"/>
        <v>150</v>
      </c>
      <c r="AM291" s="33" t="str">
        <f>IF(AND(AL291&gt;=0,AL291&lt;=120),"RIESGO ACEPTABLE",IF(AND(AL291&gt;=150,AL291&lt;=500),"RIESGO ALTO",IF(AND(AL291&gt;=600,AL291&lt;=4000),"RIESGO NO ACEPTABLE")))</f>
        <v>RIESGO ALTO</v>
      </c>
      <c r="AN291" s="34"/>
      <c r="AO291" s="34"/>
      <c r="AP291" s="34" t="s">
        <v>1077</v>
      </c>
      <c r="AQ291" s="34" t="s">
        <v>1078</v>
      </c>
      <c r="AR291" s="34"/>
      <c r="AS291" s="61" t="s">
        <v>464</v>
      </c>
    </row>
    <row r="292" spans="1:45" s="8" customFormat="1" ht="67.2" x14ac:dyDescent="0.25">
      <c r="A292" s="193"/>
      <c r="B292" s="208"/>
      <c r="C292" s="166"/>
      <c r="D292" s="196"/>
      <c r="E292" s="165"/>
      <c r="F292" s="152"/>
      <c r="G292" s="165"/>
      <c r="H292" s="34" t="s">
        <v>631</v>
      </c>
      <c r="I292" s="168"/>
      <c r="J292" s="47" t="s">
        <v>1079</v>
      </c>
      <c r="K292" s="34" t="s">
        <v>248</v>
      </c>
      <c r="L292" s="68" t="s">
        <v>633</v>
      </c>
      <c r="M292" s="73" t="s">
        <v>332</v>
      </c>
      <c r="N292" s="73" t="s">
        <v>106</v>
      </c>
      <c r="O292" s="73" t="s">
        <v>294</v>
      </c>
      <c r="P292" s="70">
        <v>2</v>
      </c>
      <c r="Q292" s="41">
        <v>3</v>
      </c>
      <c r="R292" s="33">
        <f t="shared" si="45"/>
        <v>6</v>
      </c>
      <c r="S292" s="33" t="str">
        <f t="shared" si="41"/>
        <v>MEDIO</v>
      </c>
      <c r="T292" s="33">
        <v>10</v>
      </c>
      <c r="U292" s="75">
        <f t="shared" si="42"/>
        <v>60</v>
      </c>
      <c r="V292" s="33" t="str">
        <f t="shared" si="43"/>
        <v>lll</v>
      </c>
      <c r="W292" s="74" t="str">
        <f t="shared" si="44"/>
        <v>SI</v>
      </c>
      <c r="X292" s="33">
        <v>30</v>
      </c>
      <c r="Y292" s="31" t="s">
        <v>634</v>
      </c>
      <c r="Z292" s="33" t="s">
        <v>87</v>
      </c>
      <c r="AA292" s="46"/>
      <c r="AB292" s="33"/>
      <c r="AC292" s="34" t="s">
        <v>351</v>
      </c>
      <c r="AD292" s="34" t="s">
        <v>1080</v>
      </c>
      <c r="AE292" s="34" t="s">
        <v>93</v>
      </c>
      <c r="AF292" s="34"/>
      <c r="AG292" s="41">
        <v>2</v>
      </c>
      <c r="AH292" s="41">
        <v>3</v>
      </c>
      <c r="AI292" s="33">
        <f t="shared" si="46"/>
        <v>6</v>
      </c>
      <c r="AJ292" s="33" t="str">
        <f>IF(AND(AI292&gt;=0,AI292&lt;=4),"BAJO",IF(AND(AI292&gt;=6,AI292&lt;=8),"MEDIO",IF(AND(AI292&gt;=10,AI292&lt;=20),"ALTO",IF(AND(AI292&gt;=24,AI292&lt;=40),"MUY ALTO"))))</f>
        <v>MEDIO</v>
      </c>
      <c r="AK292" s="33">
        <v>10</v>
      </c>
      <c r="AL292" s="33">
        <f t="shared" si="37"/>
        <v>60</v>
      </c>
      <c r="AM292" s="33" t="str">
        <f>IF(AND(AL292&gt;=0,AL292&lt;=120),"RIESGO ACEPTABLE",IF(AND(AL292&gt;=150,AL292&lt;=500),"RIESGO ALTO",IF(AND(AL292&gt;=600,AL292&lt;=4000),"RIESGO NO ACEPTABLE")))</f>
        <v>RIESGO ACEPTABLE</v>
      </c>
      <c r="AN292" s="34"/>
      <c r="AO292" s="34"/>
      <c r="AP292" s="34" t="s">
        <v>351</v>
      </c>
      <c r="AQ292" s="34" t="s">
        <v>1080</v>
      </c>
      <c r="AR292" s="34" t="s">
        <v>93</v>
      </c>
      <c r="AS292" s="61" t="s">
        <v>182</v>
      </c>
    </row>
    <row r="293" spans="1:45" s="8" customFormat="1" ht="38.4" x14ac:dyDescent="0.25">
      <c r="A293" s="193"/>
      <c r="B293" s="208"/>
      <c r="C293" s="166"/>
      <c r="D293" s="216"/>
      <c r="E293" s="165"/>
      <c r="F293" s="152"/>
      <c r="G293" s="165"/>
      <c r="H293" s="34" t="s">
        <v>354</v>
      </c>
      <c r="I293" s="168"/>
      <c r="J293" s="32" t="s">
        <v>1081</v>
      </c>
      <c r="K293" s="34" t="s">
        <v>248</v>
      </c>
      <c r="L293" s="68" t="s">
        <v>356</v>
      </c>
      <c r="M293" s="73" t="s">
        <v>332</v>
      </c>
      <c r="N293" s="73" t="s">
        <v>1082</v>
      </c>
      <c r="O293" s="73" t="s">
        <v>357</v>
      </c>
      <c r="P293" s="70">
        <v>2</v>
      </c>
      <c r="Q293" s="41">
        <v>3</v>
      </c>
      <c r="R293" s="33">
        <f t="shared" si="45"/>
        <v>6</v>
      </c>
      <c r="S293" s="33" t="str">
        <f t="shared" si="41"/>
        <v>MEDIO</v>
      </c>
      <c r="T293" s="33">
        <v>10</v>
      </c>
      <c r="U293" s="75">
        <f t="shared" si="42"/>
        <v>60</v>
      </c>
      <c r="V293" s="33" t="str">
        <f t="shared" si="43"/>
        <v>lll</v>
      </c>
      <c r="W293" s="74" t="str">
        <f t="shared" si="44"/>
        <v>SI</v>
      </c>
      <c r="X293" s="33">
        <v>30</v>
      </c>
      <c r="Y293" s="31" t="s">
        <v>358</v>
      </c>
      <c r="Z293" s="33" t="s">
        <v>87</v>
      </c>
      <c r="AA293" s="34"/>
      <c r="AB293" s="40"/>
      <c r="AC293" s="40"/>
      <c r="AD293" s="34" t="s">
        <v>1083</v>
      </c>
      <c r="AE293" s="34" t="s">
        <v>93</v>
      </c>
      <c r="AF293" s="34"/>
      <c r="AG293" s="41">
        <v>2</v>
      </c>
      <c r="AH293" s="41">
        <v>3</v>
      </c>
      <c r="AI293" s="33">
        <f t="shared" si="46"/>
        <v>6</v>
      </c>
      <c r="AJ293" s="33" t="str">
        <f>IF(AND(AI293&gt;=0,AI293&lt;=4),"BAJO",IF(AND(AI293&gt;=6,AI293&lt;=8),"MEDIO",IF(AND(AI293&gt;=10,AI293&lt;=20),"ALTO",IF(AND(AI293&gt;=24,AI293&lt;=40),"MUY ALTO"))))</f>
        <v>MEDIO</v>
      </c>
      <c r="AK293" s="33">
        <v>10</v>
      </c>
      <c r="AL293" s="33">
        <f t="shared" si="37"/>
        <v>60</v>
      </c>
      <c r="AM293" s="33" t="str">
        <f>IF(AND(AL293&gt;=0,AL293&lt;=120),"RIESGO ACEPTABLE",IF(AND(AL293&gt;=150,AL293&lt;=500),"RIESGO ALTO",IF(AND(AL293&gt;=600,AL293&lt;=4000),"RIESGO NO ACEPTABLE")))</f>
        <v>RIESGO ACEPTABLE</v>
      </c>
      <c r="AN293" s="34"/>
      <c r="AO293" s="40"/>
      <c r="AP293" s="40"/>
      <c r="AQ293" s="34" t="s">
        <v>1084</v>
      </c>
      <c r="AR293" s="34"/>
      <c r="AS293" s="61"/>
    </row>
    <row r="294" spans="1:45" s="8" customFormat="1" ht="57.6" x14ac:dyDescent="0.25">
      <c r="A294" s="193"/>
      <c r="B294" s="208"/>
      <c r="C294" s="214" t="s">
        <v>1085</v>
      </c>
      <c r="D294" s="196" t="s">
        <v>1086</v>
      </c>
      <c r="E294" s="203" t="s">
        <v>496</v>
      </c>
      <c r="F294" s="152" t="s">
        <v>1087</v>
      </c>
      <c r="G294" s="165" t="s">
        <v>1088</v>
      </c>
      <c r="H294" s="34" t="s">
        <v>172</v>
      </c>
      <c r="I294" s="32" t="s">
        <v>173</v>
      </c>
      <c r="J294" s="32" t="s">
        <v>1089</v>
      </c>
      <c r="K294" s="34" t="s">
        <v>248</v>
      </c>
      <c r="L294" s="68" t="s">
        <v>175</v>
      </c>
      <c r="M294" s="73" t="s">
        <v>332</v>
      </c>
      <c r="N294" s="73" t="s">
        <v>311</v>
      </c>
      <c r="O294" s="73" t="s">
        <v>177</v>
      </c>
      <c r="P294" s="70">
        <v>2</v>
      </c>
      <c r="Q294" s="41">
        <v>3</v>
      </c>
      <c r="R294" s="33">
        <f t="shared" si="45"/>
        <v>6</v>
      </c>
      <c r="S294" s="33" t="str">
        <f t="shared" si="41"/>
        <v>MEDIO</v>
      </c>
      <c r="T294" s="33">
        <v>10</v>
      </c>
      <c r="U294" s="75">
        <f t="shared" si="42"/>
        <v>60</v>
      </c>
      <c r="V294" s="33" t="str">
        <f t="shared" si="43"/>
        <v>lll</v>
      </c>
      <c r="W294" s="74" t="str">
        <f t="shared" si="44"/>
        <v>SI</v>
      </c>
      <c r="X294" s="33">
        <v>30</v>
      </c>
      <c r="Y294" s="31" t="s">
        <v>178</v>
      </c>
      <c r="Z294" s="33" t="s">
        <v>87</v>
      </c>
      <c r="AA294" s="34"/>
      <c r="AB294" s="40"/>
      <c r="AC294" s="40"/>
      <c r="AD294" s="34" t="s">
        <v>1090</v>
      </c>
      <c r="AE294" s="34"/>
      <c r="AF294" s="34" t="s">
        <v>1091</v>
      </c>
      <c r="AG294" s="41">
        <v>2</v>
      </c>
      <c r="AH294" s="41">
        <v>3</v>
      </c>
      <c r="AI294" s="33">
        <f t="shared" si="46"/>
        <v>6</v>
      </c>
      <c r="AJ294" s="33" t="str">
        <f t="shared" ref="AJ294:AJ351" si="47">IF(AND(AI294&gt;=0,AI294&lt;=4),"BAJO",IF(AND(AI294&gt;=6,AI294&lt;=8),"MEDIO",IF(AND(AI294&gt;=10,AI294&lt;=20),"ALTO",IF(AND(AI294&gt;=24,AI294&lt;=40),"MUY ALTO"))))</f>
        <v>MEDIO</v>
      </c>
      <c r="AK294" s="33">
        <v>25</v>
      </c>
      <c r="AL294" s="33">
        <f t="shared" ref="AL294:AL307" si="48">AI294*AK294</f>
        <v>150</v>
      </c>
      <c r="AM294" s="33" t="str">
        <f t="shared" ref="AM294:AM351" si="49">IF(AND(AL294&gt;=0,AL294&lt;=120),"RIESGO ACEPTABLE",IF(AND(AL294&gt;=150,AL294&lt;=500),"RIESGO ALTO",IF(AND(AL294&gt;=600,AL294&lt;=4000),"RIESGO NO ACEPTABLE")))</f>
        <v>RIESGO ALTO</v>
      </c>
      <c r="AN294" s="34"/>
      <c r="AO294" s="40"/>
      <c r="AP294" s="40"/>
      <c r="AQ294" s="34" t="s">
        <v>1092</v>
      </c>
      <c r="AR294" s="34"/>
      <c r="AS294" s="61" t="s">
        <v>1091</v>
      </c>
    </row>
    <row r="295" spans="1:45" s="8" customFormat="1" ht="57.6" x14ac:dyDescent="0.25">
      <c r="A295" s="193"/>
      <c r="B295" s="208"/>
      <c r="C295" s="214"/>
      <c r="D295" s="196"/>
      <c r="E295" s="203"/>
      <c r="F295" s="152"/>
      <c r="G295" s="165"/>
      <c r="H295" s="34" t="s">
        <v>393</v>
      </c>
      <c r="I295" s="32" t="s">
        <v>115</v>
      </c>
      <c r="J295" s="34" t="s">
        <v>1093</v>
      </c>
      <c r="K295" s="34" t="s">
        <v>104</v>
      </c>
      <c r="L295" s="68" t="s">
        <v>395</v>
      </c>
      <c r="M295" s="73" t="s">
        <v>332</v>
      </c>
      <c r="N295" s="73" t="s">
        <v>324</v>
      </c>
      <c r="O295" s="73" t="s">
        <v>396</v>
      </c>
      <c r="P295" s="71">
        <v>2</v>
      </c>
      <c r="Q295" s="44">
        <v>1</v>
      </c>
      <c r="R295" s="33">
        <f>P295*Q295</f>
        <v>2</v>
      </c>
      <c r="S295" s="33" t="str">
        <f t="shared" si="41"/>
        <v>BAJO</v>
      </c>
      <c r="T295" s="33">
        <v>10</v>
      </c>
      <c r="U295" s="75">
        <f t="shared" si="42"/>
        <v>20</v>
      </c>
      <c r="V295" s="33" t="str">
        <f t="shared" si="43"/>
        <v xml:space="preserve">IV </v>
      </c>
      <c r="W295" s="74" t="b">
        <f t="shared" si="44"/>
        <v>0</v>
      </c>
      <c r="X295" s="33">
        <v>30</v>
      </c>
      <c r="Y295" s="31" t="s">
        <v>397</v>
      </c>
      <c r="Z295" s="33" t="s">
        <v>87</v>
      </c>
      <c r="AA295" s="45"/>
      <c r="AB295" s="32"/>
      <c r="AC295" s="40"/>
      <c r="AD295" s="34" t="s">
        <v>431</v>
      </c>
      <c r="AE295" s="34"/>
      <c r="AF295" s="34" t="s">
        <v>434</v>
      </c>
      <c r="AG295" s="44">
        <v>2</v>
      </c>
      <c r="AH295" s="44">
        <v>3</v>
      </c>
      <c r="AI295" s="33">
        <f t="shared" si="46"/>
        <v>6</v>
      </c>
      <c r="AJ295" s="33" t="str">
        <f t="shared" si="47"/>
        <v>MEDIO</v>
      </c>
      <c r="AK295" s="33">
        <v>10</v>
      </c>
      <c r="AL295" s="33">
        <f t="shared" si="48"/>
        <v>60</v>
      </c>
      <c r="AM295" s="33" t="str">
        <f t="shared" si="49"/>
        <v>RIESGO ACEPTABLE</v>
      </c>
      <c r="AN295" s="33"/>
      <c r="AO295" s="32"/>
      <c r="AP295" s="40"/>
      <c r="AQ295" s="34" t="s">
        <v>1094</v>
      </c>
      <c r="AR295" s="34"/>
      <c r="AS295" s="61" t="s">
        <v>434</v>
      </c>
    </row>
    <row r="296" spans="1:45" s="8" customFormat="1" ht="57.6" x14ac:dyDescent="0.25">
      <c r="A296" s="193"/>
      <c r="B296" s="208"/>
      <c r="C296" s="214"/>
      <c r="D296" s="196"/>
      <c r="E296" s="203"/>
      <c r="F296" s="152"/>
      <c r="G296" s="165"/>
      <c r="H296" s="34" t="s">
        <v>114</v>
      </c>
      <c r="I296" s="32" t="s">
        <v>115</v>
      </c>
      <c r="J296" s="34" t="s">
        <v>1095</v>
      </c>
      <c r="K296" s="34" t="s">
        <v>248</v>
      </c>
      <c r="L296" s="68" t="s">
        <v>117</v>
      </c>
      <c r="M296" s="73" t="s">
        <v>332</v>
      </c>
      <c r="N296" s="73" t="s">
        <v>324</v>
      </c>
      <c r="O296" s="73" t="s">
        <v>264</v>
      </c>
      <c r="P296" s="70">
        <v>2</v>
      </c>
      <c r="Q296" s="41">
        <v>3</v>
      </c>
      <c r="R296" s="33">
        <f t="shared" si="45"/>
        <v>6</v>
      </c>
      <c r="S296" s="33" t="str">
        <f t="shared" si="41"/>
        <v>MEDIO</v>
      </c>
      <c r="T296" s="33">
        <v>10</v>
      </c>
      <c r="U296" s="75">
        <f t="shared" si="42"/>
        <v>60</v>
      </c>
      <c r="V296" s="33" t="str">
        <f t="shared" si="43"/>
        <v>lll</v>
      </c>
      <c r="W296" s="74" t="str">
        <f t="shared" si="44"/>
        <v>SI</v>
      </c>
      <c r="X296" s="33">
        <v>30</v>
      </c>
      <c r="Y296" s="31" t="s">
        <v>119</v>
      </c>
      <c r="Z296" s="33" t="s">
        <v>87</v>
      </c>
      <c r="AA296" s="45"/>
      <c r="AB296" s="32"/>
      <c r="AC296" s="40"/>
      <c r="AD296" s="34" t="s">
        <v>1050</v>
      </c>
      <c r="AE296" s="34" t="s">
        <v>93</v>
      </c>
      <c r="AF296" s="34" t="s">
        <v>1051</v>
      </c>
      <c r="AG296" s="44">
        <v>2</v>
      </c>
      <c r="AH296" s="44">
        <v>3</v>
      </c>
      <c r="AI296" s="33">
        <f t="shared" si="46"/>
        <v>6</v>
      </c>
      <c r="AJ296" s="33" t="str">
        <f t="shared" si="47"/>
        <v>MEDIO</v>
      </c>
      <c r="AK296" s="33">
        <v>10</v>
      </c>
      <c r="AL296" s="33">
        <f t="shared" si="48"/>
        <v>60</v>
      </c>
      <c r="AM296" s="33" t="str">
        <f t="shared" si="49"/>
        <v>RIESGO ACEPTABLE</v>
      </c>
      <c r="AN296" s="33"/>
      <c r="AO296" s="32"/>
      <c r="AP296" s="40"/>
      <c r="AQ296" s="34" t="s">
        <v>1096</v>
      </c>
      <c r="AR296" s="34" t="s">
        <v>1053</v>
      </c>
      <c r="AS296" s="61" t="s">
        <v>127</v>
      </c>
    </row>
    <row r="297" spans="1:45" s="8" customFormat="1" ht="67.2" x14ac:dyDescent="0.25">
      <c r="A297" s="193"/>
      <c r="B297" s="208"/>
      <c r="C297" s="214"/>
      <c r="D297" s="196"/>
      <c r="E297" s="203"/>
      <c r="F297" s="152"/>
      <c r="G297" s="165"/>
      <c r="H297" s="34" t="s">
        <v>316</v>
      </c>
      <c r="I297" s="165" t="s">
        <v>102</v>
      </c>
      <c r="J297" s="32" t="s">
        <v>1054</v>
      </c>
      <c r="K297" s="34" t="s">
        <v>248</v>
      </c>
      <c r="L297" s="68" t="s">
        <v>83</v>
      </c>
      <c r="M297" s="73" t="s">
        <v>332</v>
      </c>
      <c r="N297" s="73" t="s">
        <v>106</v>
      </c>
      <c r="O297" s="73" t="s">
        <v>522</v>
      </c>
      <c r="P297" s="70">
        <v>2</v>
      </c>
      <c r="Q297" s="41">
        <v>3</v>
      </c>
      <c r="R297" s="33">
        <f t="shared" si="45"/>
        <v>6</v>
      </c>
      <c r="S297" s="33" t="str">
        <f t="shared" si="41"/>
        <v>MEDIO</v>
      </c>
      <c r="T297" s="33">
        <v>10</v>
      </c>
      <c r="U297" s="75">
        <f t="shared" si="42"/>
        <v>60</v>
      </c>
      <c r="V297" s="33" t="str">
        <f t="shared" si="43"/>
        <v>lll</v>
      </c>
      <c r="W297" s="74" t="str">
        <f t="shared" si="44"/>
        <v>SI</v>
      </c>
      <c r="X297" s="33">
        <v>30</v>
      </c>
      <c r="Y297" s="31" t="s">
        <v>108</v>
      </c>
      <c r="Z297" s="33" t="s">
        <v>87</v>
      </c>
      <c r="AA297" s="34"/>
      <c r="AB297" s="40"/>
      <c r="AC297" s="40"/>
      <c r="AD297" s="34"/>
      <c r="AE297" s="34" t="s">
        <v>471</v>
      </c>
      <c r="AF297" s="34"/>
      <c r="AG297" s="41">
        <v>2</v>
      </c>
      <c r="AH297" s="41">
        <v>3</v>
      </c>
      <c r="AI297" s="33">
        <f t="shared" si="46"/>
        <v>6</v>
      </c>
      <c r="AJ297" s="33" t="str">
        <f t="shared" si="47"/>
        <v>MEDIO</v>
      </c>
      <c r="AK297" s="33">
        <v>10</v>
      </c>
      <c r="AL297" s="33">
        <f t="shared" si="48"/>
        <v>60</v>
      </c>
      <c r="AM297" s="33" t="str">
        <f t="shared" si="49"/>
        <v>RIESGO ACEPTABLE</v>
      </c>
      <c r="AN297" s="34"/>
      <c r="AO297" s="40"/>
      <c r="AP297" s="40"/>
      <c r="AQ297" s="34" t="s">
        <v>113</v>
      </c>
      <c r="AR297" s="34" t="s">
        <v>471</v>
      </c>
      <c r="AS297" s="61"/>
    </row>
    <row r="298" spans="1:45" s="8" customFormat="1" ht="57.6" x14ac:dyDescent="0.25">
      <c r="A298" s="193"/>
      <c r="B298" s="208"/>
      <c r="C298" s="214"/>
      <c r="D298" s="196"/>
      <c r="E298" s="203"/>
      <c r="F298" s="152"/>
      <c r="G298" s="165"/>
      <c r="H298" s="34" t="s">
        <v>205</v>
      </c>
      <c r="I298" s="165"/>
      <c r="J298" s="32" t="s">
        <v>1097</v>
      </c>
      <c r="K298" s="34" t="s">
        <v>248</v>
      </c>
      <c r="L298" s="68" t="s">
        <v>207</v>
      </c>
      <c r="M298" s="73" t="s">
        <v>332</v>
      </c>
      <c r="N298" s="73" t="s">
        <v>324</v>
      </c>
      <c r="O298" s="73" t="s">
        <v>415</v>
      </c>
      <c r="P298" s="70">
        <v>2</v>
      </c>
      <c r="Q298" s="41">
        <v>3</v>
      </c>
      <c r="R298" s="33">
        <f t="shared" si="45"/>
        <v>6</v>
      </c>
      <c r="S298" s="33" t="str">
        <f t="shared" si="41"/>
        <v>MEDIO</v>
      </c>
      <c r="T298" s="33">
        <v>10</v>
      </c>
      <c r="U298" s="75">
        <f t="shared" si="42"/>
        <v>60</v>
      </c>
      <c r="V298" s="33" t="str">
        <f t="shared" si="43"/>
        <v>lll</v>
      </c>
      <c r="W298" s="74" t="str">
        <f t="shared" si="44"/>
        <v>SI</v>
      </c>
      <c r="X298" s="33">
        <v>30</v>
      </c>
      <c r="Y298" s="31" t="s">
        <v>209</v>
      </c>
      <c r="Z298" s="33" t="s">
        <v>87</v>
      </c>
      <c r="AA298" s="34"/>
      <c r="AB298" s="40"/>
      <c r="AC298" s="40"/>
      <c r="AD298" s="34" t="s">
        <v>1098</v>
      </c>
      <c r="AE298" s="34"/>
      <c r="AF298" s="34" t="s">
        <v>113</v>
      </c>
      <c r="AG298" s="41">
        <v>2</v>
      </c>
      <c r="AH298" s="41">
        <v>3</v>
      </c>
      <c r="AI298" s="33">
        <f t="shared" si="46"/>
        <v>6</v>
      </c>
      <c r="AJ298" s="33" t="str">
        <f t="shared" si="47"/>
        <v>MEDIO</v>
      </c>
      <c r="AK298" s="33">
        <v>10</v>
      </c>
      <c r="AL298" s="33">
        <f t="shared" si="48"/>
        <v>60</v>
      </c>
      <c r="AM298" s="33" t="str">
        <f t="shared" si="49"/>
        <v>RIESGO ACEPTABLE</v>
      </c>
      <c r="AN298" s="34"/>
      <c r="AO298" s="40"/>
      <c r="AP298" s="40"/>
      <c r="AQ298" s="34" t="s">
        <v>1098</v>
      </c>
      <c r="AR298" s="34"/>
      <c r="AS298" s="61" t="s">
        <v>113</v>
      </c>
    </row>
    <row r="299" spans="1:45" s="8" customFormat="1" ht="76.8" x14ac:dyDescent="0.25">
      <c r="A299" s="193"/>
      <c r="B299" s="208"/>
      <c r="C299" s="214"/>
      <c r="D299" s="196"/>
      <c r="E299" s="203"/>
      <c r="F299" s="152"/>
      <c r="G299" s="165"/>
      <c r="H299" s="34" t="s">
        <v>79</v>
      </c>
      <c r="I299" s="32" t="s">
        <v>80</v>
      </c>
      <c r="J299" s="47" t="s">
        <v>447</v>
      </c>
      <c r="K299" s="34" t="s">
        <v>248</v>
      </c>
      <c r="L299" s="68" t="s">
        <v>448</v>
      </c>
      <c r="M299" s="73" t="s">
        <v>332</v>
      </c>
      <c r="N299" s="73" t="s">
        <v>324</v>
      </c>
      <c r="O299" s="7" t="s">
        <v>85</v>
      </c>
      <c r="P299" s="70">
        <v>2</v>
      </c>
      <c r="Q299" s="41">
        <v>3</v>
      </c>
      <c r="R299" s="33">
        <f t="shared" si="45"/>
        <v>6</v>
      </c>
      <c r="S299" s="33" t="str">
        <f t="shared" si="41"/>
        <v>MEDIO</v>
      </c>
      <c r="T299" s="33">
        <v>10</v>
      </c>
      <c r="U299" s="75">
        <f t="shared" si="42"/>
        <v>60</v>
      </c>
      <c r="V299" s="33" t="str">
        <f t="shared" si="43"/>
        <v>lll</v>
      </c>
      <c r="W299" s="74" t="str">
        <f t="shared" si="44"/>
        <v>SI</v>
      </c>
      <c r="X299" s="33">
        <v>30</v>
      </c>
      <c r="Y299" s="31" t="s">
        <v>86</v>
      </c>
      <c r="Z299" s="33" t="s">
        <v>87</v>
      </c>
      <c r="AA299" s="45"/>
      <c r="AB299" s="33"/>
      <c r="AC299" s="34" t="s">
        <v>449</v>
      </c>
      <c r="AD299" s="34" t="s">
        <v>450</v>
      </c>
      <c r="AE299" s="34" t="s">
        <v>93</v>
      </c>
      <c r="AF299" s="34"/>
      <c r="AG299" s="41">
        <v>2</v>
      </c>
      <c r="AH299" s="41">
        <v>3</v>
      </c>
      <c r="AI299" s="33">
        <f t="shared" si="46"/>
        <v>6</v>
      </c>
      <c r="AJ299" s="33" t="str">
        <f t="shared" si="47"/>
        <v>MEDIO</v>
      </c>
      <c r="AK299" s="33">
        <v>10</v>
      </c>
      <c r="AL299" s="33">
        <f t="shared" si="48"/>
        <v>60</v>
      </c>
      <c r="AM299" s="33" t="str">
        <f t="shared" si="49"/>
        <v>RIESGO ACEPTABLE</v>
      </c>
      <c r="AN299" s="34"/>
      <c r="AO299" s="34"/>
      <c r="AP299" s="34" t="s">
        <v>449</v>
      </c>
      <c r="AQ299" s="34" t="s">
        <v>452</v>
      </c>
      <c r="AR299" s="34"/>
      <c r="AS299" s="61" t="s">
        <v>453</v>
      </c>
    </row>
    <row r="300" spans="1:45" s="8" customFormat="1" ht="57.6" x14ac:dyDescent="0.25">
      <c r="A300" s="193"/>
      <c r="B300" s="208"/>
      <c r="C300" s="214"/>
      <c r="D300" s="196"/>
      <c r="E300" s="203"/>
      <c r="F300" s="152"/>
      <c r="G300" s="165"/>
      <c r="H300" s="34" t="s">
        <v>149</v>
      </c>
      <c r="I300" s="32" t="s">
        <v>139</v>
      </c>
      <c r="J300" s="32" t="s">
        <v>1059</v>
      </c>
      <c r="K300" s="34" t="s">
        <v>248</v>
      </c>
      <c r="L300" s="68" t="s">
        <v>327</v>
      </c>
      <c r="M300" s="73" t="s">
        <v>332</v>
      </c>
      <c r="N300" s="73" t="s">
        <v>324</v>
      </c>
      <c r="O300" s="73" t="s">
        <v>556</v>
      </c>
      <c r="P300" s="70">
        <v>2</v>
      </c>
      <c r="Q300" s="41">
        <v>3</v>
      </c>
      <c r="R300" s="33">
        <f t="shared" si="45"/>
        <v>6</v>
      </c>
      <c r="S300" s="33" t="str">
        <f t="shared" si="41"/>
        <v>MEDIO</v>
      </c>
      <c r="T300" s="33">
        <v>10</v>
      </c>
      <c r="U300" s="75">
        <f t="shared" si="42"/>
        <v>60</v>
      </c>
      <c r="V300" s="33" t="str">
        <f t="shared" si="43"/>
        <v>lll</v>
      </c>
      <c r="W300" s="74" t="str">
        <f t="shared" si="44"/>
        <v>SI</v>
      </c>
      <c r="X300" s="33">
        <v>30</v>
      </c>
      <c r="Y300" s="31" t="s">
        <v>143</v>
      </c>
      <c r="Z300" s="33" t="s">
        <v>87</v>
      </c>
      <c r="AA300" s="34"/>
      <c r="AB300" s="34"/>
      <c r="AC300" s="42"/>
      <c r="AD300" s="42" t="s">
        <v>224</v>
      </c>
      <c r="AE300" s="42"/>
      <c r="AF300" s="34" t="s">
        <v>146</v>
      </c>
      <c r="AG300" s="41">
        <v>2</v>
      </c>
      <c r="AH300" s="41">
        <v>3</v>
      </c>
      <c r="AI300" s="33">
        <f t="shared" si="46"/>
        <v>6</v>
      </c>
      <c r="AJ300" s="33" t="str">
        <f t="shared" si="47"/>
        <v>MEDIO</v>
      </c>
      <c r="AK300" s="33">
        <v>10</v>
      </c>
      <c r="AL300" s="33">
        <f t="shared" si="48"/>
        <v>60</v>
      </c>
      <c r="AM300" s="33" t="str">
        <f t="shared" si="49"/>
        <v>RIESGO ACEPTABLE</v>
      </c>
      <c r="AN300" s="34"/>
      <c r="AO300" s="34"/>
      <c r="AP300" s="42"/>
      <c r="AQ300" s="43" t="s">
        <v>1060</v>
      </c>
      <c r="AR300" s="34"/>
      <c r="AS300" s="61" t="s">
        <v>1061</v>
      </c>
    </row>
    <row r="301" spans="1:45" s="8" customFormat="1" ht="57.6" x14ac:dyDescent="0.25">
      <c r="A301" s="193"/>
      <c r="B301" s="208"/>
      <c r="C301" s="214"/>
      <c r="D301" s="196"/>
      <c r="E301" s="203"/>
      <c r="F301" s="152"/>
      <c r="G301" s="165"/>
      <c r="H301" s="34" t="s">
        <v>1062</v>
      </c>
      <c r="I301" s="32" t="s">
        <v>129</v>
      </c>
      <c r="J301" s="32" t="s">
        <v>1099</v>
      </c>
      <c r="K301" s="34" t="s">
        <v>248</v>
      </c>
      <c r="L301" s="68" t="s">
        <v>1064</v>
      </c>
      <c r="M301" s="73" t="s">
        <v>332</v>
      </c>
      <c r="N301" s="73" t="s">
        <v>324</v>
      </c>
      <c r="O301" s="73" t="s">
        <v>132</v>
      </c>
      <c r="P301" s="70">
        <v>2</v>
      </c>
      <c r="Q301" s="41">
        <v>3</v>
      </c>
      <c r="R301" s="33">
        <f t="shared" si="45"/>
        <v>6</v>
      </c>
      <c r="S301" s="33" t="str">
        <f t="shared" si="41"/>
        <v>MEDIO</v>
      </c>
      <c r="T301" s="33">
        <v>10</v>
      </c>
      <c r="U301" s="75">
        <f t="shared" si="42"/>
        <v>60</v>
      </c>
      <c r="V301" s="33" t="str">
        <f t="shared" si="43"/>
        <v>lll</v>
      </c>
      <c r="W301" s="74" t="str">
        <f t="shared" si="44"/>
        <v>SI</v>
      </c>
      <c r="X301" s="33">
        <v>30</v>
      </c>
      <c r="Y301" s="31" t="s">
        <v>133</v>
      </c>
      <c r="Z301" s="33" t="s">
        <v>87</v>
      </c>
      <c r="AA301" s="46"/>
      <c r="AB301" s="33"/>
      <c r="AC301" s="34"/>
      <c r="AD301" s="34" t="s">
        <v>134</v>
      </c>
      <c r="AE301" s="34"/>
      <c r="AF301" s="34" t="s">
        <v>135</v>
      </c>
      <c r="AG301" s="41">
        <v>2</v>
      </c>
      <c r="AH301" s="41">
        <v>3</v>
      </c>
      <c r="AI301" s="33">
        <f t="shared" si="46"/>
        <v>6</v>
      </c>
      <c r="AJ301" s="33" t="str">
        <f t="shared" si="47"/>
        <v>MEDIO</v>
      </c>
      <c r="AK301" s="33">
        <v>10</v>
      </c>
      <c r="AL301" s="33">
        <f t="shared" si="48"/>
        <v>60</v>
      </c>
      <c r="AM301" s="33" t="str">
        <f t="shared" si="49"/>
        <v>RIESGO ACEPTABLE</v>
      </c>
      <c r="AN301" s="34"/>
      <c r="AO301" s="34"/>
      <c r="AP301" s="34"/>
      <c r="AQ301" s="34" t="s">
        <v>1100</v>
      </c>
      <c r="AR301" s="34" t="s">
        <v>93</v>
      </c>
      <c r="AS301" s="61" t="s">
        <v>1101</v>
      </c>
    </row>
    <row r="302" spans="1:45" s="8" customFormat="1" ht="57.6" x14ac:dyDescent="0.25">
      <c r="A302" s="193"/>
      <c r="B302" s="208"/>
      <c r="C302" s="214"/>
      <c r="D302" s="196"/>
      <c r="E302" s="203"/>
      <c r="F302" s="152"/>
      <c r="G302" s="165"/>
      <c r="H302" s="34" t="s">
        <v>157</v>
      </c>
      <c r="I302" s="32" t="s">
        <v>158</v>
      </c>
      <c r="J302" s="32" t="s">
        <v>1102</v>
      </c>
      <c r="K302" s="34" t="s">
        <v>248</v>
      </c>
      <c r="L302" s="68" t="s">
        <v>160</v>
      </c>
      <c r="M302" s="73" t="s">
        <v>84</v>
      </c>
      <c r="N302" s="73" t="s">
        <v>324</v>
      </c>
      <c r="O302" s="73" t="s">
        <v>1103</v>
      </c>
      <c r="P302" s="70">
        <v>2</v>
      </c>
      <c r="Q302" s="41">
        <v>3</v>
      </c>
      <c r="R302" s="33">
        <f t="shared" si="45"/>
        <v>6</v>
      </c>
      <c r="S302" s="33" t="str">
        <f t="shared" si="41"/>
        <v>MEDIO</v>
      </c>
      <c r="T302" s="33">
        <v>10</v>
      </c>
      <c r="U302" s="75">
        <f t="shared" si="42"/>
        <v>60</v>
      </c>
      <c r="V302" s="33" t="str">
        <f t="shared" si="43"/>
        <v>lll</v>
      </c>
      <c r="W302" s="74" t="str">
        <f t="shared" si="44"/>
        <v>SI</v>
      </c>
      <c r="X302" s="33">
        <v>30</v>
      </c>
      <c r="Y302" s="31" t="s">
        <v>163</v>
      </c>
      <c r="Z302" s="33" t="s">
        <v>87</v>
      </c>
      <c r="AA302" s="46"/>
      <c r="AB302" s="33"/>
      <c r="AC302" s="34"/>
      <c r="AD302" s="34" t="s">
        <v>1104</v>
      </c>
      <c r="AE302" s="34"/>
      <c r="AF302" s="34"/>
      <c r="AG302" s="41">
        <v>2</v>
      </c>
      <c r="AH302" s="41">
        <v>3</v>
      </c>
      <c r="AI302" s="33">
        <f t="shared" si="46"/>
        <v>6</v>
      </c>
      <c r="AJ302" s="33" t="str">
        <f t="shared" si="47"/>
        <v>MEDIO</v>
      </c>
      <c r="AK302" s="33">
        <v>10</v>
      </c>
      <c r="AL302" s="33">
        <f t="shared" si="48"/>
        <v>60</v>
      </c>
      <c r="AM302" s="33" t="str">
        <f t="shared" si="49"/>
        <v>RIESGO ACEPTABLE</v>
      </c>
      <c r="AN302" s="34"/>
      <c r="AO302" s="34"/>
      <c r="AP302" s="34"/>
      <c r="AQ302" s="34" t="s">
        <v>1105</v>
      </c>
      <c r="AR302" s="34"/>
      <c r="AS302" s="61"/>
    </row>
    <row r="303" spans="1:45" s="8" customFormat="1" ht="38.4" x14ac:dyDescent="0.25">
      <c r="A303" s="193"/>
      <c r="B303" s="208"/>
      <c r="C303" s="214"/>
      <c r="D303" s="196"/>
      <c r="E303" s="203"/>
      <c r="F303" s="152"/>
      <c r="G303" s="165"/>
      <c r="H303" s="34" t="s">
        <v>1070</v>
      </c>
      <c r="I303" s="34" t="s">
        <v>744</v>
      </c>
      <c r="J303" s="32" t="s">
        <v>1071</v>
      </c>
      <c r="K303" s="34" t="s">
        <v>248</v>
      </c>
      <c r="L303" s="68" t="s">
        <v>1072</v>
      </c>
      <c r="M303" s="73" t="s">
        <v>84</v>
      </c>
      <c r="N303" s="73" t="s">
        <v>747</v>
      </c>
      <c r="O303" s="73" t="s">
        <v>748</v>
      </c>
      <c r="P303" s="70">
        <v>2</v>
      </c>
      <c r="Q303" s="41">
        <v>3</v>
      </c>
      <c r="R303" s="33">
        <f t="shared" si="45"/>
        <v>6</v>
      </c>
      <c r="S303" s="33" t="str">
        <f t="shared" si="41"/>
        <v>MEDIO</v>
      </c>
      <c r="T303" s="33">
        <v>10</v>
      </c>
      <c r="U303" s="75">
        <f t="shared" si="42"/>
        <v>60</v>
      </c>
      <c r="V303" s="33" t="str">
        <f t="shared" si="43"/>
        <v>lll</v>
      </c>
      <c r="W303" s="74" t="str">
        <f t="shared" si="44"/>
        <v>SI</v>
      </c>
      <c r="X303" s="33">
        <v>30</v>
      </c>
      <c r="Y303" s="31" t="s">
        <v>1073</v>
      </c>
      <c r="Z303" s="33" t="s">
        <v>87</v>
      </c>
      <c r="AA303" s="34"/>
      <c r="AB303" s="40"/>
      <c r="AC303" s="40"/>
      <c r="AD303" s="34" t="s">
        <v>1074</v>
      </c>
      <c r="AE303" s="34"/>
      <c r="AF303" s="34"/>
      <c r="AG303" s="41">
        <v>6</v>
      </c>
      <c r="AH303" s="41">
        <v>3</v>
      </c>
      <c r="AI303" s="33">
        <f t="shared" si="46"/>
        <v>18</v>
      </c>
      <c r="AJ303" s="33" t="str">
        <f t="shared" si="47"/>
        <v>ALTO</v>
      </c>
      <c r="AK303" s="33">
        <v>10</v>
      </c>
      <c r="AL303" s="33">
        <f t="shared" si="48"/>
        <v>180</v>
      </c>
      <c r="AM303" s="33" t="str">
        <f t="shared" si="49"/>
        <v>RIESGO ALTO</v>
      </c>
      <c r="AN303" s="34"/>
      <c r="AO303" s="40"/>
      <c r="AP303" s="40"/>
      <c r="AQ303" s="34" t="s">
        <v>1074</v>
      </c>
      <c r="AR303" s="34"/>
      <c r="AS303" s="61"/>
    </row>
    <row r="304" spans="1:45" s="8" customFormat="1" ht="57.6" x14ac:dyDescent="0.25">
      <c r="A304" s="193"/>
      <c r="B304" s="208"/>
      <c r="C304" s="214"/>
      <c r="D304" s="196"/>
      <c r="E304" s="203"/>
      <c r="F304" s="152"/>
      <c r="G304" s="165"/>
      <c r="H304" s="34" t="s">
        <v>308</v>
      </c>
      <c r="I304" s="168" t="s">
        <v>291</v>
      </c>
      <c r="J304" s="47" t="s">
        <v>1075</v>
      </c>
      <c r="K304" s="34" t="s">
        <v>248</v>
      </c>
      <c r="L304" s="68" t="s">
        <v>310</v>
      </c>
      <c r="M304" s="73" t="s">
        <v>84</v>
      </c>
      <c r="N304" s="73" t="s">
        <v>324</v>
      </c>
      <c r="O304" s="73" t="s">
        <v>312</v>
      </c>
      <c r="P304" s="70">
        <v>2</v>
      </c>
      <c r="Q304" s="41">
        <v>3</v>
      </c>
      <c r="R304" s="33">
        <f t="shared" si="45"/>
        <v>6</v>
      </c>
      <c r="S304" s="33" t="str">
        <f t="shared" si="41"/>
        <v>MEDIO</v>
      </c>
      <c r="T304" s="33">
        <v>10</v>
      </c>
      <c r="U304" s="75">
        <f t="shared" si="42"/>
        <v>60</v>
      </c>
      <c r="V304" s="33" t="str">
        <f t="shared" si="43"/>
        <v>lll</v>
      </c>
      <c r="W304" s="74" t="str">
        <f t="shared" si="44"/>
        <v>SI</v>
      </c>
      <c r="X304" s="33">
        <v>30</v>
      </c>
      <c r="Y304" s="31" t="s">
        <v>313</v>
      </c>
      <c r="Z304" s="33" t="s">
        <v>87</v>
      </c>
      <c r="AA304" s="46"/>
      <c r="AB304" s="33"/>
      <c r="AC304" s="34"/>
      <c r="AD304" s="34" t="s">
        <v>1106</v>
      </c>
      <c r="AE304" s="34"/>
      <c r="AF304" s="34" t="s">
        <v>1107</v>
      </c>
      <c r="AG304" s="41">
        <v>2</v>
      </c>
      <c r="AH304" s="41">
        <v>3</v>
      </c>
      <c r="AI304" s="33">
        <f t="shared" si="46"/>
        <v>6</v>
      </c>
      <c r="AJ304" s="33" t="str">
        <f t="shared" si="47"/>
        <v>MEDIO</v>
      </c>
      <c r="AK304" s="33">
        <v>10</v>
      </c>
      <c r="AL304" s="33">
        <f t="shared" si="48"/>
        <v>60</v>
      </c>
      <c r="AM304" s="33" t="str">
        <f t="shared" si="49"/>
        <v>RIESGO ACEPTABLE</v>
      </c>
      <c r="AN304" s="34"/>
      <c r="AO304" s="34"/>
      <c r="AP304" s="34"/>
      <c r="AQ304" s="34" t="s">
        <v>1108</v>
      </c>
      <c r="AR304" s="34"/>
      <c r="AS304" s="61" t="s">
        <v>1107</v>
      </c>
    </row>
    <row r="305" spans="1:45" s="8" customFormat="1" ht="67.2" x14ac:dyDescent="0.25">
      <c r="A305" s="193"/>
      <c r="B305" s="208"/>
      <c r="C305" s="214"/>
      <c r="D305" s="196"/>
      <c r="E305" s="203"/>
      <c r="F305" s="152"/>
      <c r="G305" s="165"/>
      <c r="H305" s="34" t="s">
        <v>631</v>
      </c>
      <c r="I305" s="202"/>
      <c r="J305" s="47" t="s">
        <v>1109</v>
      </c>
      <c r="K305" s="34" t="s">
        <v>248</v>
      </c>
      <c r="L305" s="68" t="s">
        <v>633</v>
      </c>
      <c r="M305" s="73" t="s">
        <v>84</v>
      </c>
      <c r="N305" s="73" t="s">
        <v>106</v>
      </c>
      <c r="O305" s="73" t="s">
        <v>294</v>
      </c>
      <c r="P305" s="70">
        <v>2</v>
      </c>
      <c r="Q305" s="41">
        <v>3</v>
      </c>
      <c r="R305" s="33">
        <f t="shared" si="45"/>
        <v>6</v>
      </c>
      <c r="S305" s="33" t="str">
        <f t="shared" si="41"/>
        <v>MEDIO</v>
      </c>
      <c r="T305" s="33">
        <v>10</v>
      </c>
      <c r="U305" s="75">
        <f t="shared" si="42"/>
        <v>60</v>
      </c>
      <c r="V305" s="33" t="str">
        <f t="shared" si="43"/>
        <v>lll</v>
      </c>
      <c r="W305" s="74" t="str">
        <f t="shared" si="44"/>
        <v>SI</v>
      </c>
      <c r="X305" s="33">
        <v>30</v>
      </c>
      <c r="Y305" s="31" t="s">
        <v>634</v>
      </c>
      <c r="Z305" s="33" t="s">
        <v>87</v>
      </c>
      <c r="AA305" s="46"/>
      <c r="AB305" s="33"/>
      <c r="AC305" s="34" t="s">
        <v>351</v>
      </c>
      <c r="AD305" s="34" t="s">
        <v>1110</v>
      </c>
      <c r="AE305" s="34" t="s">
        <v>93</v>
      </c>
      <c r="AF305" s="34"/>
      <c r="AG305" s="41">
        <v>2</v>
      </c>
      <c r="AH305" s="41">
        <v>3</v>
      </c>
      <c r="AI305" s="33">
        <f t="shared" si="46"/>
        <v>6</v>
      </c>
      <c r="AJ305" s="33" t="str">
        <f t="shared" si="47"/>
        <v>MEDIO</v>
      </c>
      <c r="AK305" s="33">
        <v>10</v>
      </c>
      <c r="AL305" s="33">
        <f t="shared" si="48"/>
        <v>60</v>
      </c>
      <c r="AM305" s="33" t="str">
        <f t="shared" si="49"/>
        <v>RIESGO ACEPTABLE</v>
      </c>
      <c r="AN305" s="34"/>
      <c r="AO305" s="34"/>
      <c r="AP305" s="34" t="s">
        <v>351</v>
      </c>
      <c r="AQ305" s="34" t="s">
        <v>1110</v>
      </c>
      <c r="AR305" s="34" t="s">
        <v>93</v>
      </c>
      <c r="AS305" s="61" t="s">
        <v>182</v>
      </c>
    </row>
    <row r="306" spans="1:45" s="8" customFormat="1" ht="57.6" x14ac:dyDescent="0.25">
      <c r="A306" s="193"/>
      <c r="B306" s="208"/>
      <c r="C306" s="215"/>
      <c r="D306" s="196"/>
      <c r="E306" s="203"/>
      <c r="F306" s="152"/>
      <c r="G306" s="165"/>
      <c r="H306" s="34" t="s">
        <v>354</v>
      </c>
      <c r="I306" s="202"/>
      <c r="J306" s="32" t="s">
        <v>1111</v>
      </c>
      <c r="K306" s="34" t="s">
        <v>248</v>
      </c>
      <c r="L306" s="68" t="s">
        <v>356</v>
      </c>
      <c r="M306" s="73" t="s">
        <v>84</v>
      </c>
      <c r="N306" s="73" t="s">
        <v>324</v>
      </c>
      <c r="O306" s="73" t="s">
        <v>357</v>
      </c>
      <c r="P306" s="70">
        <v>2</v>
      </c>
      <c r="Q306" s="41">
        <v>3</v>
      </c>
      <c r="R306" s="33">
        <f t="shared" si="45"/>
        <v>6</v>
      </c>
      <c r="S306" s="33" t="str">
        <f t="shared" si="41"/>
        <v>MEDIO</v>
      </c>
      <c r="T306" s="33">
        <v>10</v>
      </c>
      <c r="U306" s="75">
        <f t="shared" si="42"/>
        <v>60</v>
      </c>
      <c r="V306" s="33" t="str">
        <f t="shared" si="43"/>
        <v>lll</v>
      </c>
      <c r="W306" s="74" t="str">
        <f t="shared" si="44"/>
        <v>SI</v>
      </c>
      <c r="X306" s="33">
        <v>30</v>
      </c>
      <c r="Y306" s="31" t="s">
        <v>358</v>
      </c>
      <c r="Z306" s="33" t="s">
        <v>87</v>
      </c>
      <c r="AA306" s="34"/>
      <c r="AB306" s="40"/>
      <c r="AC306" s="40"/>
      <c r="AD306" s="34" t="s">
        <v>1112</v>
      </c>
      <c r="AE306" s="34" t="s">
        <v>93</v>
      </c>
      <c r="AF306" s="34"/>
      <c r="AG306" s="41">
        <v>2</v>
      </c>
      <c r="AH306" s="41">
        <v>3</v>
      </c>
      <c r="AI306" s="33">
        <f t="shared" si="46"/>
        <v>6</v>
      </c>
      <c r="AJ306" s="33" t="str">
        <f t="shared" si="47"/>
        <v>MEDIO</v>
      </c>
      <c r="AK306" s="33">
        <v>10</v>
      </c>
      <c r="AL306" s="33">
        <f t="shared" si="48"/>
        <v>60</v>
      </c>
      <c r="AM306" s="33" t="str">
        <f t="shared" si="49"/>
        <v>RIESGO ACEPTABLE</v>
      </c>
      <c r="AN306" s="34"/>
      <c r="AO306" s="40"/>
      <c r="AP306" s="40"/>
      <c r="AQ306" s="34" t="s">
        <v>1113</v>
      </c>
      <c r="AR306" s="34"/>
      <c r="AS306" s="61"/>
    </row>
    <row r="307" spans="1:45" ht="38.4" x14ac:dyDescent="0.25">
      <c r="A307" s="124" t="s">
        <v>1114</v>
      </c>
      <c r="B307" s="159" t="s">
        <v>1115</v>
      </c>
      <c r="C307" s="121" t="s">
        <v>1116</v>
      </c>
      <c r="D307" s="160" t="s">
        <v>1117</v>
      </c>
      <c r="E307" s="31" t="s">
        <v>1118</v>
      </c>
      <c r="F307" s="138" t="s">
        <v>1119</v>
      </c>
      <c r="G307" s="138" t="s">
        <v>1120</v>
      </c>
      <c r="H307" s="31" t="s">
        <v>1121</v>
      </c>
      <c r="I307" s="31" t="s">
        <v>1122</v>
      </c>
      <c r="J307" s="31" t="s">
        <v>1123</v>
      </c>
      <c r="K307" s="31" t="s">
        <v>1124</v>
      </c>
      <c r="L307" s="68" t="s">
        <v>327</v>
      </c>
      <c r="M307" s="73" t="s">
        <v>84</v>
      </c>
      <c r="N307" s="73" t="s">
        <v>84</v>
      </c>
      <c r="O307" s="73" t="s">
        <v>1125</v>
      </c>
      <c r="P307" s="70">
        <v>2</v>
      </c>
      <c r="Q307" s="31">
        <v>4</v>
      </c>
      <c r="R307" s="33">
        <f t="shared" si="45"/>
        <v>8</v>
      </c>
      <c r="S307" s="33" t="str">
        <f t="shared" si="41"/>
        <v>MEDIO</v>
      </c>
      <c r="T307" s="33">
        <v>10</v>
      </c>
      <c r="U307" s="75">
        <f t="shared" si="42"/>
        <v>80</v>
      </c>
      <c r="V307" s="33" t="str">
        <f t="shared" si="43"/>
        <v>lll</v>
      </c>
      <c r="W307" s="74" t="str">
        <f t="shared" si="44"/>
        <v>SI</v>
      </c>
      <c r="X307" s="33">
        <v>10</v>
      </c>
      <c r="Y307" s="31" t="s">
        <v>133</v>
      </c>
      <c r="Z307" s="33" t="s">
        <v>87</v>
      </c>
      <c r="AA307" s="31"/>
      <c r="AB307" s="31"/>
      <c r="AC307" s="31" t="s">
        <v>1126</v>
      </c>
      <c r="AD307" s="31" t="s">
        <v>1127</v>
      </c>
      <c r="AE307" s="31"/>
      <c r="AF307" s="34" t="s">
        <v>146</v>
      </c>
      <c r="AG307" s="31">
        <v>0</v>
      </c>
      <c r="AH307" s="31">
        <v>4</v>
      </c>
      <c r="AI307" s="33">
        <f t="shared" si="46"/>
        <v>0</v>
      </c>
      <c r="AJ307" s="33" t="str">
        <f t="shared" si="47"/>
        <v>BAJO</v>
      </c>
      <c r="AK307" s="33">
        <v>10</v>
      </c>
      <c r="AL307" s="33">
        <f t="shared" si="48"/>
        <v>0</v>
      </c>
      <c r="AM307" s="33" t="str">
        <f t="shared" si="49"/>
        <v>RIESGO ACEPTABLE</v>
      </c>
      <c r="AN307" s="31" t="s">
        <v>1128</v>
      </c>
      <c r="AO307" s="31"/>
      <c r="AP307" s="31"/>
      <c r="AQ307" s="31" t="s">
        <v>1129</v>
      </c>
      <c r="AR307" s="31"/>
      <c r="AS307" s="63" t="s">
        <v>1130</v>
      </c>
    </row>
    <row r="308" spans="1:45" ht="38.4" x14ac:dyDescent="0.25">
      <c r="A308" s="124"/>
      <c r="B308" s="159"/>
      <c r="C308" s="121"/>
      <c r="D308" s="161"/>
      <c r="E308" s="31" t="s">
        <v>98</v>
      </c>
      <c r="F308" s="138"/>
      <c r="G308" s="138"/>
      <c r="H308" s="31" t="s">
        <v>1131</v>
      </c>
      <c r="I308" s="32" t="s">
        <v>129</v>
      </c>
      <c r="J308" s="32" t="s">
        <v>130</v>
      </c>
      <c r="K308" s="32" t="s">
        <v>104</v>
      </c>
      <c r="L308" s="68" t="s">
        <v>131</v>
      </c>
      <c r="M308" s="73" t="s">
        <v>84</v>
      </c>
      <c r="N308" s="73" t="s">
        <v>1132</v>
      </c>
      <c r="O308" s="73" t="s">
        <v>132</v>
      </c>
      <c r="P308" s="70">
        <v>2</v>
      </c>
      <c r="Q308" s="31">
        <v>3</v>
      </c>
      <c r="R308" s="33">
        <f t="shared" si="45"/>
        <v>6</v>
      </c>
      <c r="S308" s="33" t="str">
        <f t="shared" si="41"/>
        <v>MEDIO</v>
      </c>
      <c r="T308" s="33">
        <v>10</v>
      </c>
      <c r="U308" s="75">
        <f t="shared" si="42"/>
        <v>60</v>
      </c>
      <c r="V308" s="33" t="str">
        <f t="shared" si="43"/>
        <v>lll</v>
      </c>
      <c r="W308" s="74" t="str">
        <f t="shared" si="44"/>
        <v>SI</v>
      </c>
      <c r="X308" s="33">
        <v>10</v>
      </c>
      <c r="Y308" s="31" t="s">
        <v>133</v>
      </c>
      <c r="Z308" s="33" t="s">
        <v>87</v>
      </c>
      <c r="AA308" s="31"/>
      <c r="AB308" s="31"/>
      <c r="AC308" s="31"/>
      <c r="AD308" s="31" t="s">
        <v>134</v>
      </c>
      <c r="AE308" s="31"/>
      <c r="AF308" s="34" t="s">
        <v>135</v>
      </c>
      <c r="AG308" s="31">
        <v>2</v>
      </c>
      <c r="AH308" s="31">
        <v>3</v>
      </c>
      <c r="AI308" s="33">
        <f t="shared" si="46"/>
        <v>6</v>
      </c>
      <c r="AJ308" s="33" t="str">
        <f t="shared" si="47"/>
        <v>MEDIO</v>
      </c>
      <c r="AK308" s="33">
        <v>10</v>
      </c>
      <c r="AL308" s="33">
        <f>AI308*AK308</f>
        <v>60</v>
      </c>
      <c r="AM308" s="33" t="str">
        <f t="shared" si="49"/>
        <v>RIESGO ACEPTABLE</v>
      </c>
      <c r="AN308" s="31"/>
      <c r="AO308" s="31"/>
      <c r="AP308" s="31"/>
      <c r="AQ308" s="31" t="s">
        <v>136</v>
      </c>
      <c r="AR308" s="31" t="s">
        <v>93</v>
      </c>
      <c r="AS308" s="63" t="s">
        <v>137</v>
      </c>
    </row>
    <row r="309" spans="1:45" ht="96" x14ac:dyDescent="0.25">
      <c r="A309" s="124"/>
      <c r="B309" s="159"/>
      <c r="C309" s="121"/>
      <c r="D309" s="161"/>
      <c r="E309" s="31" t="s">
        <v>98</v>
      </c>
      <c r="F309" s="138"/>
      <c r="G309" s="138"/>
      <c r="H309" s="31" t="s">
        <v>79</v>
      </c>
      <c r="I309" s="31" t="s">
        <v>80</v>
      </c>
      <c r="J309" s="31" t="s">
        <v>81</v>
      </c>
      <c r="K309" s="31" t="s">
        <v>82</v>
      </c>
      <c r="L309" s="68" t="s">
        <v>83</v>
      </c>
      <c r="M309" s="73" t="s">
        <v>84</v>
      </c>
      <c r="N309" s="73" t="s">
        <v>1132</v>
      </c>
      <c r="O309" s="7" t="s">
        <v>85</v>
      </c>
      <c r="P309" s="70">
        <v>2</v>
      </c>
      <c r="Q309" s="31">
        <v>2</v>
      </c>
      <c r="R309" s="33">
        <f t="shared" si="45"/>
        <v>4</v>
      </c>
      <c r="S309" s="33" t="str">
        <f t="shared" si="41"/>
        <v>BAJO</v>
      </c>
      <c r="T309" s="33">
        <v>10</v>
      </c>
      <c r="U309" s="75">
        <f t="shared" si="42"/>
        <v>40</v>
      </c>
      <c r="V309" s="33" t="str">
        <f t="shared" si="43"/>
        <v>lll</v>
      </c>
      <c r="W309" s="74" t="str">
        <f t="shared" si="44"/>
        <v>SI</v>
      </c>
      <c r="X309" s="33">
        <v>10</v>
      </c>
      <c r="Y309" s="31" t="s">
        <v>86</v>
      </c>
      <c r="Z309" s="33" t="s">
        <v>87</v>
      </c>
      <c r="AA309" s="31"/>
      <c r="AB309" s="31"/>
      <c r="AC309" s="31"/>
      <c r="AD309" s="31"/>
      <c r="AE309" s="31" t="s">
        <v>88</v>
      </c>
      <c r="AF309" s="34" t="s">
        <v>89</v>
      </c>
      <c r="AG309" s="31">
        <v>2</v>
      </c>
      <c r="AH309" s="31">
        <v>2</v>
      </c>
      <c r="AI309" s="33">
        <f t="shared" si="46"/>
        <v>4</v>
      </c>
      <c r="AJ309" s="33" t="str">
        <f t="shared" si="47"/>
        <v>BAJO</v>
      </c>
      <c r="AK309" s="33">
        <v>10</v>
      </c>
      <c r="AL309" s="33">
        <f>AI309*AK309</f>
        <v>40</v>
      </c>
      <c r="AM309" s="33" t="str">
        <f t="shared" si="49"/>
        <v>RIESGO ACEPTABLE</v>
      </c>
      <c r="AN309" s="31"/>
      <c r="AO309" s="31"/>
      <c r="AP309" s="31"/>
      <c r="AQ309" s="31" t="s">
        <v>92</v>
      </c>
      <c r="AR309" s="31" t="s">
        <v>93</v>
      </c>
      <c r="AS309" s="63" t="s">
        <v>94</v>
      </c>
    </row>
    <row r="310" spans="1:45" ht="38.4" x14ac:dyDescent="0.25">
      <c r="A310" s="124" t="s">
        <v>1114</v>
      </c>
      <c r="B310" s="123" t="s">
        <v>1133</v>
      </c>
      <c r="C310" s="133" t="s">
        <v>1134</v>
      </c>
      <c r="D310" s="122" t="s">
        <v>1117</v>
      </c>
      <c r="E310" s="31" t="s">
        <v>1118</v>
      </c>
      <c r="F310" s="138" t="s">
        <v>1135</v>
      </c>
      <c r="G310" s="138" t="s">
        <v>1135</v>
      </c>
      <c r="H310" s="31" t="s">
        <v>1121</v>
      </c>
      <c r="I310" s="31" t="s">
        <v>1122</v>
      </c>
      <c r="J310" s="31" t="s">
        <v>1123</v>
      </c>
      <c r="K310" s="31" t="s">
        <v>1124</v>
      </c>
      <c r="L310" s="68" t="s">
        <v>327</v>
      </c>
      <c r="M310" s="73" t="s">
        <v>84</v>
      </c>
      <c r="N310" s="73" t="s">
        <v>84</v>
      </c>
      <c r="O310" s="73" t="s">
        <v>1125</v>
      </c>
      <c r="P310" s="70">
        <v>2</v>
      </c>
      <c r="Q310" s="31">
        <v>4</v>
      </c>
      <c r="R310" s="33">
        <f t="shared" si="45"/>
        <v>8</v>
      </c>
      <c r="S310" s="33" t="str">
        <f t="shared" si="41"/>
        <v>MEDIO</v>
      </c>
      <c r="T310" s="33">
        <v>10</v>
      </c>
      <c r="U310" s="75">
        <f t="shared" si="42"/>
        <v>80</v>
      </c>
      <c r="V310" s="33" t="str">
        <f t="shared" si="43"/>
        <v>lll</v>
      </c>
      <c r="W310" s="74" t="str">
        <f t="shared" si="44"/>
        <v>SI</v>
      </c>
      <c r="X310" s="33">
        <v>10</v>
      </c>
      <c r="Y310" s="31" t="s">
        <v>133</v>
      </c>
      <c r="Z310" s="33" t="s">
        <v>87</v>
      </c>
      <c r="AA310" s="31"/>
      <c r="AB310" s="31"/>
      <c r="AC310" s="31" t="s">
        <v>1126</v>
      </c>
      <c r="AD310" s="31" t="s">
        <v>1127</v>
      </c>
      <c r="AE310" s="31"/>
      <c r="AF310" s="34" t="s">
        <v>146</v>
      </c>
      <c r="AG310" s="31">
        <v>0</v>
      </c>
      <c r="AH310" s="31">
        <v>4</v>
      </c>
      <c r="AI310" s="33">
        <f t="shared" si="46"/>
        <v>0</v>
      </c>
      <c r="AJ310" s="33" t="str">
        <f t="shared" si="47"/>
        <v>BAJO</v>
      </c>
      <c r="AK310" s="33">
        <v>10</v>
      </c>
      <c r="AL310" s="33">
        <f>AI310*AK310</f>
        <v>0</v>
      </c>
      <c r="AM310" s="33" t="str">
        <f t="shared" si="49"/>
        <v>RIESGO ACEPTABLE</v>
      </c>
      <c r="AN310" s="31" t="s">
        <v>1128</v>
      </c>
      <c r="AO310" s="31"/>
      <c r="AP310" s="31"/>
      <c r="AQ310" s="31" t="s">
        <v>1129</v>
      </c>
      <c r="AR310" s="31"/>
      <c r="AS310" s="63" t="s">
        <v>1130</v>
      </c>
    </row>
    <row r="311" spans="1:45" ht="38.4" x14ac:dyDescent="0.25">
      <c r="A311" s="124"/>
      <c r="B311" s="123"/>
      <c r="C311" s="121"/>
      <c r="D311" s="122"/>
      <c r="E311" s="31" t="s">
        <v>98</v>
      </c>
      <c r="F311" s="138"/>
      <c r="G311" s="138"/>
      <c r="H311" s="31" t="s">
        <v>1131</v>
      </c>
      <c r="I311" s="32" t="s">
        <v>129</v>
      </c>
      <c r="J311" s="32" t="s">
        <v>130</v>
      </c>
      <c r="K311" s="32" t="s">
        <v>104</v>
      </c>
      <c r="L311" s="68" t="s">
        <v>131</v>
      </c>
      <c r="M311" s="73" t="s">
        <v>84</v>
      </c>
      <c r="N311" s="73" t="s">
        <v>1132</v>
      </c>
      <c r="O311" s="73" t="s">
        <v>132</v>
      </c>
      <c r="P311" s="70">
        <v>2</v>
      </c>
      <c r="Q311" s="31">
        <v>3</v>
      </c>
      <c r="R311" s="33">
        <f t="shared" si="45"/>
        <v>6</v>
      </c>
      <c r="S311" s="33" t="str">
        <f t="shared" si="41"/>
        <v>MEDIO</v>
      </c>
      <c r="T311" s="33">
        <v>10</v>
      </c>
      <c r="U311" s="75">
        <f t="shared" si="42"/>
        <v>60</v>
      </c>
      <c r="V311" s="33" t="str">
        <f t="shared" si="43"/>
        <v>lll</v>
      </c>
      <c r="W311" s="74" t="str">
        <f t="shared" si="44"/>
        <v>SI</v>
      </c>
      <c r="X311" s="33">
        <v>10</v>
      </c>
      <c r="Y311" s="31" t="s">
        <v>133</v>
      </c>
      <c r="Z311" s="33" t="s">
        <v>87</v>
      </c>
      <c r="AA311" s="31"/>
      <c r="AB311" s="31"/>
      <c r="AC311" s="31"/>
      <c r="AD311" s="31" t="s">
        <v>134</v>
      </c>
      <c r="AE311" s="31"/>
      <c r="AF311" s="34" t="s">
        <v>135</v>
      </c>
      <c r="AG311" s="31">
        <v>2</v>
      </c>
      <c r="AH311" s="31">
        <v>3</v>
      </c>
      <c r="AI311" s="33">
        <f t="shared" si="46"/>
        <v>6</v>
      </c>
      <c r="AJ311" s="33" t="str">
        <f t="shared" si="47"/>
        <v>MEDIO</v>
      </c>
      <c r="AK311" s="33">
        <v>10</v>
      </c>
      <c r="AL311" s="33">
        <f>AI311*AK311</f>
        <v>60</v>
      </c>
      <c r="AM311" s="33" t="str">
        <f t="shared" si="49"/>
        <v>RIESGO ACEPTABLE</v>
      </c>
      <c r="AN311" s="31"/>
      <c r="AO311" s="31"/>
      <c r="AP311" s="31"/>
      <c r="AQ311" s="31" t="s">
        <v>136</v>
      </c>
      <c r="AR311" s="31" t="s">
        <v>93</v>
      </c>
      <c r="AS311" s="63" t="s">
        <v>137</v>
      </c>
    </row>
    <row r="312" spans="1:45" ht="96" x14ac:dyDescent="0.25">
      <c r="A312" s="124"/>
      <c r="B312" s="123"/>
      <c r="C312" s="121"/>
      <c r="D312" s="122"/>
      <c r="E312" s="31" t="s">
        <v>98</v>
      </c>
      <c r="F312" s="138"/>
      <c r="G312" s="138"/>
      <c r="H312" s="31" t="s">
        <v>79</v>
      </c>
      <c r="I312" s="31" t="s">
        <v>80</v>
      </c>
      <c r="J312" s="31" t="s">
        <v>81</v>
      </c>
      <c r="K312" s="31" t="s">
        <v>82</v>
      </c>
      <c r="L312" s="68" t="s">
        <v>83</v>
      </c>
      <c r="M312" s="73" t="s">
        <v>84</v>
      </c>
      <c r="N312" s="73" t="s">
        <v>1132</v>
      </c>
      <c r="O312" s="7" t="s">
        <v>85</v>
      </c>
      <c r="P312" s="70">
        <v>2</v>
      </c>
      <c r="Q312" s="31">
        <v>2</v>
      </c>
      <c r="R312" s="33">
        <f t="shared" si="45"/>
        <v>4</v>
      </c>
      <c r="S312" s="33" t="str">
        <f t="shared" si="41"/>
        <v>BAJO</v>
      </c>
      <c r="T312" s="33">
        <v>10</v>
      </c>
      <c r="U312" s="75">
        <f t="shared" si="42"/>
        <v>40</v>
      </c>
      <c r="V312" s="33" t="str">
        <f t="shared" si="43"/>
        <v>lll</v>
      </c>
      <c r="W312" s="74" t="str">
        <f t="shared" si="44"/>
        <v>SI</v>
      </c>
      <c r="X312" s="33">
        <v>10</v>
      </c>
      <c r="Y312" s="31" t="s">
        <v>86</v>
      </c>
      <c r="Z312" s="33" t="s">
        <v>87</v>
      </c>
      <c r="AA312" s="31"/>
      <c r="AB312" s="31"/>
      <c r="AC312" s="31"/>
      <c r="AD312" s="31"/>
      <c r="AE312" s="31" t="s">
        <v>88</v>
      </c>
      <c r="AF312" s="34" t="s">
        <v>89</v>
      </c>
      <c r="AG312" s="31">
        <v>2</v>
      </c>
      <c r="AH312" s="31">
        <v>2</v>
      </c>
      <c r="AI312" s="33">
        <f t="shared" si="46"/>
        <v>4</v>
      </c>
      <c r="AJ312" s="33" t="str">
        <f t="shared" si="47"/>
        <v>BAJO</v>
      </c>
      <c r="AK312" s="33">
        <v>10</v>
      </c>
      <c r="AL312" s="33">
        <f>AI312*AK312</f>
        <v>40</v>
      </c>
      <c r="AM312" s="33" t="str">
        <f t="shared" si="49"/>
        <v>RIESGO ACEPTABLE</v>
      </c>
      <c r="AN312" s="31"/>
      <c r="AO312" s="31"/>
      <c r="AP312" s="31"/>
      <c r="AQ312" s="31" t="s">
        <v>92</v>
      </c>
      <c r="AR312" s="31" t="s">
        <v>93</v>
      </c>
      <c r="AS312" s="63" t="s">
        <v>94</v>
      </c>
    </row>
    <row r="313" spans="1:45" ht="38.4" x14ac:dyDescent="0.25">
      <c r="A313" s="124" t="s">
        <v>1114</v>
      </c>
      <c r="B313" s="123" t="s">
        <v>1133</v>
      </c>
      <c r="C313" s="121" t="s">
        <v>1136</v>
      </c>
      <c r="D313" s="122" t="s">
        <v>1117</v>
      </c>
      <c r="E313" s="31" t="s">
        <v>1118</v>
      </c>
      <c r="F313" s="138" t="s">
        <v>1137</v>
      </c>
      <c r="G313" s="138" t="s">
        <v>1138</v>
      </c>
      <c r="H313" s="31" t="s">
        <v>1121</v>
      </c>
      <c r="I313" s="31" t="s">
        <v>1122</v>
      </c>
      <c r="J313" s="31" t="s">
        <v>1123</v>
      </c>
      <c r="K313" s="31" t="s">
        <v>1124</v>
      </c>
      <c r="L313" s="68" t="s">
        <v>327</v>
      </c>
      <c r="M313" s="73" t="s">
        <v>84</v>
      </c>
      <c r="N313" s="73" t="s">
        <v>84</v>
      </c>
      <c r="O313" s="73" t="s">
        <v>1125</v>
      </c>
      <c r="P313" s="70">
        <v>2</v>
      </c>
      <c r="Q313" s="31">
        <v>4</v>
      </c>
      <c r="R313" s="33">
        <f t="shared" si="45"/>
        <v>8</v>
      </c>
      <c r="S313" s="33" t="str">
        <f t="shared" si="41"/>
        <v>MEDIO</v>
      </c>
      <c r="T313" s="33">
        <v>10</v>
      </c>
      <c r="U313" s="75">
        <f t="shared" si="42"/>
        <v>80</v>
      </c>
      <c r="V313" s="33" t="str">
        <f t="shared" si="43"/>
        <v>lll</v>
      </c>
      <c r="W313" s="74" t="str">
        <f t="shared" si="44"/>
        <v>SI</v>
      </c>
      <c r="X313" s="33">
        <v>10</v>
      </c>
      <c r="Y313" s="31" t="s">
        <v>133</v>
      </c>
      <c r="Z313" s="33" t="s">
        <v>87</v>
      </c>
      <c r="AA313" s="31"/>
      <c r="AB313" s="31"/>
      <c r="AC313" s="31" t="s">
        <v>1126</v>
      </c>
      <c r="AD313" s="31" t="s">
        <v>1127</v>
      </c>
      <c r="AE313" s="31"/>
      <c r="AF313" s="34" t="s">
        <v>146</v>
      </c>
      <c r="AG313" s="31">
        <v>0</v>
      </c>
      <c r="AH313" s="31">
        <v>4</v>
      </c>
      <c r="AI313" s="33">
        <f t="shared" si="46"/>
        <v>0</v>
      </c>
      <c r="AJ313" s="33" t="str">
        <f t="shared" si="47"/>
        <v>BAJO</v>
      </c>
      <c r="AK313" s="33">
        <v>10</v>
      </c>
      <c r="AL313" s="33">
        <f t="shared" ref="AL313:AL351" si="50">AI313*AK313</f>
        <v>0</v>
      </c>
      <c r="AM313" s="33" t="str">
        <f t="shared" si="49"/>
        <v>RIESGO ACEPTABLE</v>
      </c>
      <c r="AN313" s="31" t="s">
        <v>1128</v>
      </c>
      <c r="AO313" s="31"/>
      <c r="AP313" s="31"/>
      <c r="AQ313" s="31" t="s">
        <v>1129</v>
      </c>
      <c r="AR313" s="31"/>
      <c r="AS313" s="63" t="s">
        <v>1130</v>
      </c>
    </row>
    <row r="314" spans="1:45" ht="38.4" x14ac:dyDescent="0.25">
      <c r="A314" s="124"/>
      <c r="B314" s="123"/>
      <c r="C314" s="121"/>
      <c r="D314" s="122"/>
      <c r="E314" s="31" t="s">
        <v>98</v>
      </c>
      <c r="F314" s="138"/>
      <c r="G314" s="138"/>
      <c r="H314" s="31" t="s">
        <v>1131</v>
      </c>
      <c r="I314" s="32" t="s">
        <v>129</v>
      </c>
      <c r="J314" s="32" t="s">
        <v>130</v>
      </c>
      <c r="K314" s="32" t="s">
        <v>104</v>
      </c>
      <c r="L314" s="68" t="s">
        <v>131</v>
      </c>
      <c r="M314" s="73" t="s">
        <v>84</v>
      </c>
      <c r="N314" s="73" t="s">
        <v>1139</v>
      </c>
      <c r="O314" s="73" t="s">
        <v>132</v>
      </c>
      <c r="P314" s="70">
        <v>2</v>
      </c>
      <c r="Q314" s="31">
        <v>3</v>
      </c>
      <c r="R314" s="33">
        <f t="shared" si="45"/>
        <v>6</v>
      </c>
      <c r="S314" s="33" t="str">
        <f t="shared" si="41"/>
        <v>MEDIO</v>
      </c>
      <c r="T314" s="33">
        <v>10</v>
      </c>
      <c r="U314" s="75">
        <f t="shared" si="42"/>
        <v>60</v>
      </c>
      <c r="V314" s="33" t="str">
        <f t="shared" si="43"/>
        <v>lll</v>
      </c>
      <c r="W314" s="74" t="str">
        <f t="shared" si="44"/>
        <v>SI</v>
      </c>
      <c r="X314" s="33">
        <v>10</v>
      </c>
      <c r="Y314" s="31" t="s">
        <v>133</v>
      </c>
      <c r="Z314" s="33" t="s">
        <v>87</v>
      </c>
      <c r="AA314" s="31"/>
      <c r="AB314" s="31"/>
      <c r="AC314" s="31"/>
      <c r="AD314" s="31" t="s">
        <v>134</v>
      </c>
      <c r="AE314" s="31"/>
      <c r="AF314" s="34" t="s">
        <v>135</v>
      </c>
      <c r="AG314" s="31">
        <v>2</v>
      </c>
      <c r="AH314" s="31">
        <v>3</v>
      </c>
      <c r="AI314" s="33">
        <f t="shared" si="46"/>
        <v>6</v>
      </c>
      <c r="AJ314" s="33" t="str">
        <f t="shared" si="47"/>
        <v>MEDIO</v>
      </c>
      <c r="AK314" s="33">
        <v>10</v>
      </c>
      <c r="AL314" s="33">
        <f t="shared" si="50"/>
        <v>60</v>
      </c>
      <c r="AM314" s="33" t="str">
        <f t="shared" si="49"/>
        <v>RIESGO ACEPTABLE</v>
      </c>
      <c r="AN314" s="31"/>
      <c r="AO314" s="31"/>
      <c r="AP314" s="31"/>
      <c r="AQ314" s="31" t="s">
        <v>136</v>
      </c>
      <c r="AR314" s="31" t="s">
        <v>93</v>
      </c>
      <c r="AS314" s="63" t="s">
        <v>137</v>
      </c>
    </row>
    <row r="315" spans="1:45" ht="96" x14ac:dyDescent="0.25">
      <c r="A315" s="124"/>
      <c r="B315" s="123"/>
      <c r="C315" s="121"/>
      <c r="D315" s="122"/>
      <c r="E315" s="31" t="s">
        <v>98</v>
      </c>
      <c r="F315" s="138"/>
      <c r="G315" s="138"/>
      <c r="H315" s="31" t="s">
        <v>79</v>
      </c>
      <c r="I315" s="31" t="s">
        <v>80</v>
      </c>
      <c r="J315" s="31" t="s">
        <v>81</v>
      </c>
      <c r="K315" s="31" t="s">
        <v>82</v>
      </c>
      <c r="L315" s="68" t="s">
        <v>83</v>
      </c>
      <c r="M315" s="73" t="s">
        <v>84</v>
      </c>
      <c r="N315" s="73" t="s">
        <v>1139</v>
      </c>
      <c r="O315" s="7" t="s">
        <v>85</v>
      </c>
      <c r="P315" s="70">
        <v>2</v>
      </c>
      <c r="Q315" s="31">
        <v>2</v>
      </c>
      <c r="R315" s="33">
        <f t="shared" si="45"/>
        <v>4</v>
      </c>
      <c r="S315" s="33" t="str">
        <f t="shared" si="41"/>
        <v>BAJO</v>
      </c>
      <c r="T315" s="33">
        <v>10</v>
      </c>
      <c r="U315" s="75">
        <f t="shared" si="42"/>
        <v>40</v>
      </c>
      <c r="V315" s="33" t="str">
        <f t="shared" si="43"/>
        <v>lll</v>
      </c>
      <c r="W315" s="74" t="str">
        <f t="shared" si="44"/>
        <v>SI</v>
      </c>
      <c r="X315" s="33">
        <v>10</v>
      </c>
      <c r="Y315" s="31" t="s">
        <v>86</v>
      </c>
      <c r="Z315" s="33" t="s">
        <v>87</v>
      </c>
      <c r="AA315" s="31"/>
      <c r="AB315" s="31"/>
      <c r="AC315" s="31"/>
      <c r="AD315" s="31"/>
      <c r="AE315" s="31" t="s">
        <v>88</v>
      </c>
      <c r="AF315" s="34" t="s">
        <v>89</v>
      </c>
      <c r="AG315" s="31">
        <v>2</v>
      </c>
      <c r="AH315" s="31">
        <v>2</v>
      </c>
      <c r="AI315" s="33">
        <f t="shared" si="46"/>
        <v>4</v>
      </c>
      <c r="AJ315" s="33" t="str">
        <f t="shared" si="47"/>
        <v>BAJO</v>
      </c>
      <c r="AK315" s="33">
        <v>10</v>
      </c>
      <c r="AL315" s="33">
        <f t="shared" si="50"/>
        <v>40</v>
      </c>
      <c r="AM315" s="33" t="str">
        <f t="shared" si="49"/>
        <v>RIESGO ACEPTABLE</v>
      </c>
      <c r="AN315" s="31"/>
      <c r="AO315" s="31"/>
      <c r="AP315" s="31"/>
      <c r="AQ315" s="31" t="s">
        <v>92</v>
      </c>
      <c r="AR315" s="31" t="s">
        <v>93</v>
      </c>
      <c r="AS315" s="63" t="s">
        <v>94</v>
      </c>
    </row>
    <row r="316" spans="1:45" ht="38.4" x14ac:dyDescent="0.25">
      <c r="A316" s="124" t="s">
        <v>1114</v>
      </c>
      <c r="B316" s="123" t="s">
        <v>1133</v>
      </c>
      <c r="C316" s="121" t="s">
        <v>1140</v>
      </c>
      <c r="D316" s="122" t="s">
        <v>1117</v>
      </c>
      <c r="E316" s="31" t="s">
        <v>1118</v>
      </c>
      <c r="F316" s="138" t="s">
        <v>1141</v>
      </c>
      <c r="G316" s="138" t="s">
        <v>1141</v>
      </c>
      <c r="H316" s="31" t="s">
        <v>1121</v>
      </c>
      <c r="I316" s="31" t="s">
        <v>1122</v>
      </c>
      <c r="J316" s="31" t="s">
        <v>1123</v>
      </c>
      <c r="K316" s="31" t="s">
        <v>1124</v>
      </c>
      <c r="L316" s="68" t="s">
        <v>327</v>
      </c>
      <c r="M316" s="73" t="s">
        <v>84</v>
      </c>
      <c r="N316" s="73" t="s">
        <v>84</v>
      </c>
      <c r="O316" s="73" t="s">
        <v>1125</v>
      </c>
      <c r="P316" s="70">
        <v>2</v>
      </c>
      <c r="Q316" s="31">
        <v>4</v>
      </c>
      <c r="R316" s="33">
        <f t="shared" si="45"/>
        <v>8</v>
      </c>
      <c r="S316" s="33" t="str">
        <f t="shared" si="41"/>
        <v>MEDIO</v>
      </c>
      <c r="T316" s="33">
        <v>10</v>
      </c>
      <c r="U316" s="75">
        <f t="shared" si="42"/>
        <v>80</v>
      </c>
      <c r="V316" s="33" t="str">
        <f t="shared" si="43"/>
        <v>lll</v>
      </c>
      <c r="W316" s="74" t="str">
        <f t="shared" si="44"/>
        <v>SI</v>
      </c>
      <c r="X316" s="33">
        <v>10</v>
      </c>
      <c r="Y316" s="31" t="s">
        <v>133</v>
      </c>
      <c r="Z316" s="33" t="s">
        <v>87</v>
      </c>
      <c r="AA316" s="31"/>
      <c r="AB316" s="31"/>
      <c r="AC316" s="31" t="s">
        <v>1126</v>
      </c>
      <c r="AD316" s="31" t="s">
        <v>1127</v>
      </c>
      <c r="AE316" s="31"/>
      <c r="AF316" s="34" t="s">
        <v>146</v>
      </c>
      <c r="AG316" s="31">
        <v>0</v>
      </c>
      <c r="AH316" s="31">
        <v>4</v>
      </c>
      <c r="AI316" s="33">
        <f t="shared" si="46"/>
        <v>0</v>
      </c>
      <c r="AJ316" s="33" t="str">
        <f t="shared" si="47"/>
        <v>BAJO</v>
      </c>
      <c r="AK316" s="33">
        <v>10</v>
      </c>
      <c r="AL316" s="33">
        <f t="shared" si="50"/>
        <v>0</v>
      </c>
      <c r="AM316" s="33" t="str">
        <f t="shared" si="49"/>
        <v>RIESGO ACEPTABLE</v>
      </c>
      <c r="AN316" s="31" t="s">
        <v>1128</v>
      </c>
      <c r="AO316" s="31"/>
      <c r="AP316" s="31"/>
      <c r="AQ316" s="31" t="s">
        <v>1129</v>
      </c>
      <c r="AR316" s="31"/>
      <c r="AS316" s="63" t="s">
        <v>1130</v>
      </c>
    </row>
    <row r="317" spans="1:45" ht="38.4" x14ac:dyDescent="0.25">
      <c r="A317" s="124"/>
      <c r="B317" s="123"/>
      <c r="C317" s="121"/>
      <c r="D317" s="122"/>
      <c r="E317" s="31" t="s">
        <v>98</v>
      </c>
      <c r="F317" s="138"/>
      <c r="G317" s="138"/>
      <c r="H317" s="31" t="s">
        <v>1131</v>
      </c>
      <c r="I317" s="32" t="s">
        <v>129</v>
      </c>
      <c r="J317" s="32" t="s">
        <v>130</v>
      </c>
      <c r="K317" s="32" t="s">
        <v>104</v>
      </c>
      <c r="L317" s="68" t="s">
        <v>131</v>
      </c>
      <c r="M317" s="73" t="s">
        <v>84</v>
      </c>
      <c r="N317" s="73" t="s">
        <v>84</v>
      </c>
      <c r="O317" s="73" t="s">
        <v>132</v>
      </c>
      <c r="P317" s="70">
        <v>2</v>
      </c>
      <c r="Q317" s="31">
        <v>3</v>
      </c>
      <c r="R317" s="33">
        <f t="shared" si="45"/>
        <v>6</v>
      </c>
      <c r="S317" s="33" t="str">
        <f t="shared" si="41"/>
        <v>MEDIO</v>
      </c>
      <c r="T317" s="33">
        <v>10</v>
      </c>
      <c r="U317" s="75">
        <f t="shared" si="42"/>
        <v>60</v>
      </c>
      <c r="V317" s="33" t="str">
        <f t="shared" si="43"/>
        <v>lll</v>
      </c>
      <c r="W317" s="74" t="str">
        <f t="shared" si="44"/>
        <v>SI</v>
      </c>
      <c r="X317" s="33">
        <v>10</v>
      </c>
      <c r="Y317" s="31" t="s">
        <v>133</v>
      </c>
      <c r="Z317" s="33" t="s">
        <v>87</v>
      </c>
      <c r="AA317" s="31"/>
      <c r="AB317" s="31"/>
      <c r="AC317" s="31"/>
      <c r="AD317" s="31" t="s">
        <v>134</v>
      </c>
      <c r="AE317" s="31"/>
      <c r="AF317" s="34" t="s">
        <v>135</v>
      </c>
      <c r="AG317" s="31">
        <v>2</v>
      </c>
      <c r="AH317" s="31">
        <v>3</v>
      </c>
      <c r="AI317" s="33">
        <f t="shared" si="46"/>
        <v>6</v>
      </c>
      <c r="AJ317" s="33" t="str">
        <f t="shared" si="47"/>
        <v>MEDIO</v>
      </c>
      <c r="AK317" s="33">
        <v>10</v>
      </c>
      <c r="AL317" s="33">
        <f t="shared" si="50"/>
        <v>60</v>
      </c>
      <c r="AM317" s="33" t="str">
        <f t="shared" si="49"/>
        <v>RIESGO ACEPTABLE</v>
      </c>
      <c r="AN317" s="31"/>
      <c r="AO317" s="31"/>
      <c r="AP317" s="31"/>
      <c r="AQ317" s="31" t="s">
        <v>136</v>
      </c>
      <c r="AR317" s="31" t="s">
        <v>93</v>
      </c>
      <c r="AS317" s="63" t="s">
        <v>137</v>
      </c>
    </row>
    <row r="318" spans="1:45" ht="96" x14ac:dyDescent="0.25">
      <c r="A318" s="124"/>
      <c r="B318" s="123"/>
      <c r="C318" s="121"/>
      <c r="D318" s="122"/>
      <c r="E318" s="31" t="s">
        <v>98</v>
      </c>
      <c r="F318" s="138"/>
      <c r="G318" s="138"/>
      <c r="H318" s="31" t="s">
        <v>79</v>
      </c>
      <c r="I318" s="31" t="s">
        <v>80</v>
      </c>
      <c r="J318" s="31" t="s">
        <v>81</v>
      </c>
      <c r="K318" s="31" t="s">
        <v>82</v>
      </c>
      <c r="L318" s="68" t="s">
        <v>83</v>
      </c>
      <c r="M318" s="73" t="s">
        <v>84</v>
      </c>
      <c r="N318" s="73" t="s">
        <v>84</v>
      </c>
      <c r="O318" s="7" t="s">
        <v>85</v>
      </c>
      <c r="P318" s="70">
        <v>2</v>
      </c>
      <c r="Q318" s="31">
        <v>2</v>
      </c>
      <c r="R318" s="33">
        <f t="shared" si="45"/>
        <v>4</v>
      </c>
      <c r="S318" s="33" t="str">
        <f t="shared" si="41"/>
        <v>BAJO</v>
      </c>
      <c r="T318" s="33">
        <v>10</v>
      </c>
      <c r="U318" s="75">
        <f t="shared" si="42"/>
        <v>40</v>
      </c>
      <c r="V318" s="33" t="str">
        <f t="shared" si="43"/>
        <v>lll</v>
      </c>
      <c r="W318" s="74" t="str">
        <f t="shared" si="44"/>
        <v>SI</v>
      </c>
      <c r="X318" s="33">
        <v>10</v>
      </c>
      <c r="Y318" s="31" t="s">
        <v>86</v>
      </c>
      <c r="Z318" s="33" t="s">
        <v>87</v>
      </c>
      <c r="AA318" s="31"/>
      <c r="AB318" s="31"/>
      <c r="AC318" s="31"/>
      <c r="AD318" s="31"/>
      <c r="AE318" s="31" t="s">
        <v>88</v>
      </c>
      <c r="AF318" s="34" t="s">
        <v>89</v>
      </c>
      <c r="AG318" s="31">
        <v>2</v>
      </c>
      <c r="AH318" s="31">
        <v>2</v>
      </c>
      <c r="AI318" s="33">
        <f t="shared" si="46"/>
        <v>4</v>
      </c>
      <c r="AJ318" s="33" t="str">
        <f t="shared" si="47"/>
        <v>BAJO</v>
      </c>
      <c r="AK318" s="33">
        <v>10</v>
      </c>
      <c r="AL318" s="33">
        <f t="shared" si="50"/>
        <v>40</v>
      </c>
      <c r="AM318" s="33" t="str">
        <f t="shared" si="49"/>
        <v>RIESGO ACEPTABLE</v>
      </c>
      <c r="AN318" s="31"/>
      <c r="AO318" s="31"/>
      <c r="AP318" s="31"/>
      <c r="AQ318" s="31" t="s">
        <v>92</v>
      </c>
      <c r="AR318" s="31" t="s">
        <v>93</v>
      </c>
      <c r="AS318" s="63" t="s">
        <v>94</v>
      </c>
    </row>
    <row r="319" spans="1:45" ht="38.4" x14ac:dyDescent="0.25">
      <c r="A319" s="124" t="s">
        <v>1114</v>
      </c>
      <c r="B319" s="123" t="s">
        <v>1133</v>
      </c>
      <c r="C319" s="121" t="s">
        <v>1142</v>
      </c>
      <c r="D319" s="122" t="s">
        <v>1117</v>
      </c>
      <c r="E319" s="31" t="s">
        <v>1118</v>
      </c>
      <c r="F319" s="138" t="s">
        <v>1143</v>
      </c>
      <c r="G319" s="138" t="s">
        <v>1143</v>
      </c>
      <c r="H319" s="31" t="s">
        <v>1121</v>
      </c>
      <c r="I319" s="31" t="s">
        <v>1122</v>
      </c>
      <c r="J319" s="31" t="s">
        <v>1123</v>
      </c>
      <c r="K319" s="31" t="s">
        <v>1124</v>
      </c>
      <c r="L319" s="68" t="s">
        <v>327</v>
      </c>
      <c r="M319" s="73" t="s">
        <v>84</v>
      </c>
      <c r="N319" s="73" t="s">
        <v>84</v>
      </c>
      <c r="O319" s="73" t="s">
        <v>1125</v>
      </c>
      <c r="P319" s="70">
        <v>2</v>
      </c>
      <c r="Q319" s="31">
        <v>4</v>
      </c>
      <c r="R319" s="33">
        <f t="shared" si="45"/>
        <v>8</v>
      </c>
      <c r="S319" s="33" t="str">
        <f t="shared" si="41"/>
        <v>MEDIO</v>
      </c>
      <c r="T319" s="33">
        <v>10</v>
      </c>
      <c r="U319" s="75">
        <f t="shared" si="42"/>
        <v>80</v>
      </c>
      <c r="V319" s="33" t="str">
        <f t="shared" si="43"/>
        <v>lll</v>
      </c>
      <c r="W319" s="74" t="str">
        <f t="shared" si="44"/>
        <v>SI</v>
      </c>
      <c r="X319" s="33">
        <v>10</v>
      </c>
      <c r="Y319" s="31" t="s">
        <v>133</v>
      </c>
      <c r="Z319" s="33" t="s">
        <v>87</v>
      </c>
      <c r="AA319" s="31"/>
      <c r="AB319" s="31"/>
      <c r="AC319" s="31" t="s">
        <v>1126</v>
      </c>
      <c r="AD319" s="31" t="s">
        <v>1127</v>
      </c>
      <c r="AE319" s="31"/>
      <c r="AF319" s="34" t="s">
        <v>146</v>
      </c>
      <c r="AG319" s="31">
        <v>0</v>
      </c>
      <c r="AH319" s="31">
        <v>4</v>
      </c>
      <c r="AI319" s="33">
        <f t="shared" si="46"/>
        <v>0</v>
      </c>
      <c r="AJ319" s="33" t="str">
        <f t="shared" si="47"/>
        <v>BAJO</v>
      </c>
      <c r="AK319" s="33">
        <v>10</v>
      </c>
      <c r="AL319" s="33">
        <f t="shared" si="50"/>
        <v>0</v>
      </c>
      <c r="AM319" s="33" t="str">
        <f t="shared" si="49"/>
        <v>RIESGO ACEPTABLE</v>
      </c>
      <c r="AN319" s="31" t="s">
        <v>1128</v>
      </c>
      <c r="AO319" s="31"/>
      <c r="AP319" s="31"/>
      <c r="AQ319" s="31" t="s">
        <v>1129</v>
      </c>
      <c r="AR319" s="31"/>
      <c r="AS319" s="63" t="s">
        <v>1130</v>
      </c>
    </row>
    <row r="320" spans="1:45" ht="57.6" x14ac:dyDescent="0.25">
      <c r="A320" s="124"/>
      <c r="B320" s="123"/>
      <c r="C320" s="121"/>
      <c r="D320" s="122"/>
      <c r="E320" s="31" t="s">
        <v>98</v>
      </c>
      <c r="F320" s="138"/>
      <c r="G320" s="138"/>
      <c r="H320" s="31" t="s">
        <v>1131</v>
      </c>
      <c r="I320" s="32" t="s">
        <v>129</v>
      </c>
      <c r="J320" s="32" t="s">
        <v>130</v>
      </c>
      <c r="K320" s="32" t="s">
        <v>104</v>
      </c>
      <c r="L320" s="68" t="s">
        <v>131</v>
      </c>
      <c r="M320" s="73" t="s">
        <v>84</v>
      </c>
      <c r="N320" s="73" t="s">
        <v>1144</v>
      </c>
      <c r="O320" s="73" t="s">
        <v>132</v>
      </c>
      <c r="P320" s="70">
        <v>2</v>
      </c>
      <c r="Q320" s="31">
        <v>3</v>
      </c>
      <c r="R320" s="33">
        <f t="shared" si="45"/>
        <v>6</v>
      </c>
      <c r="S320" s="33" t="str">
        <f t="shared" si="41"/>
        <v>MEDIO</v>
      </c>
      <c r="T320" s="33">
        <v>10</v>
      </c>
      <c r="U320" s="75">
        <f t="shared" si="42"/>
        <v>60</v>
      </c>
      <c r="V320" s="33" t="str">
        <f t="shared" si="43"/>
        <v>lll</v>
      </c>
      <c r="W320" s="74" t="str">
        <f t="shared" si="44"/>
        <v>SI</v>
      </c>
      <c r="X320" s="33">
        <v>10</v>
      </c>
      <c r="Y320" s="31" t="s">
        <v>133</v>
      </c>
      <c r="Z320" s="33" t="s">
        <v>87</v>
      </c>
      <c r="AA320" s="31"/>
      <c r="AB320" s="31"/>
      <c r="AC320" s="31"/>
      <c r="AD320" s="31" t="s">
        <v>134</v>
      </c>
      <c r="AE320" s="31"/>
      <c r="AF320" s="34" t="s">
        <v>135</v>
      </c>
      <c r="AG320" s="31">
        <v>2</v>
      </c>
      <c r="AH320" s="31">
        <v>3</v>
      </c>
      <c r="AI320" s="33">
        <f t="shared" si="46"/>
        <v>6</v>
      </c>
      <c r="AJ320" s="33" t="str">
        <f t="shared" si="47"/>
        <v>MEDIO</v>
      </c>
      <c r="AK320" s="33">
        <v>10</v>
      </c>
      <c r="AL320" s="33">
        <f t="shared" si="50"/>
        <v>60</v>
      </c>
      <c r="AM320" s="33" t="str">
        <f t="shared" si="49"/>
        <v>RIESGO ACEPTABLE</v>
      </c>
      <c r="AN320" s="31"/>
      <c r="AO320" s="31"/>
      <c r="AP320" s="31"/>
      <c r="AQ320" s="31" t="s">
        <v>136</v>
      </c>
      <c r="AR320" s="31" t="s">
        <v>93</v>
      </c>
      <c r="AS320" s="63" t="s">
        <v>137</v>
      </c>
    </row>
    <row r="321" spans="1:45" ht="96" x14ac:dyDescent="0.25">
      <c r="A321" s="124"/>
      <c r="B321" s="123"/>
      <c r="C321" s="121"/>
      <c r="D321" s="122"/>
      <c r="E321" s="31" t="s">
        <v>98</v>
      </c>
      <c r="F321" s="138"/>
      <c r="G321" s="138"/>
      <c r="H321" s="31" t="s">
        <v>79</v>
      </c>
      <c r="I321" s="31" t="s">
        <v>80</v>
      </c>
      <c r="J321" s="31" t="s">
        <v>81</v>
      </c>
      <c r="K321" s="31" t="s">
        <v>82</v>
      </c>
      <c r="L321" s="68" t="s">
        <v>83</v>
      </c>
      <c r="M321" s="73" t="s">
        <v>84</v>
      </c>
      <c r="N321" s="73" t="s">
        <v>1144</v>
      </c>
      <c r="O321" s="7" t="s">
        <v>85</v>
      </c>
      <c r="P321" s="70">
        <v>2</v>
      </c>
      <c r="Q321" s="31">
        <v>2</v>
      </c>
      <c r="R321" s="33">
        <f t="shared" si="45"/>
        <v>4</v>
      </c>
      <c r="S321" s="33" t="str">
        <f t="shared" si="41"/>
        <v>BAJO</v>
      </c>
      <c r="T321" s="33">
        <v>10</v>
      </c>
      <c r="U321" s="75">
        <f t="shared" si="42"/>
        <v>40</v>
      </c>
      <c r="V321" s="33" t="str">
        <f t="shared" si="43"/>
        <v>lll</v>
      </c>
      <c r="W321" s="74" t="str">
        <f t="shared" si="44"/>
        <v>SI</v>
      </c>
      <c r="X321" s="33">
        <v>10</v>
      </c>
      <c r="Y321" s="31" t="s">
        <v>86</v>
      </c>
      <c r="Z321" s="33" t="s">
        <v>87</v>
      </c>
      <c r="AA321" s="31"/>
      <c r="AB321" s="31"/>
      <c r="AC321" s="31"/>
      <c r="AD321" s="31"/>
      <c r="AE321" s="31" t="s">
        <v>88</v>
      </c>
      <c r="AF321" s="34" t="s">
        <v>89</v>
      </c>
      <c r="AG321" s="31">
        <v>2</v>
      </c>
      <c r="AH321" s="31">
        <v>2</v>
      </c>
      <c r="AI321" s="33">
        <f t="shared" si="46"/>
        <v>4</v>
      </c>
      <c r="AJ321" s="33" t="str">
        <f t="shared" si="47"/>
        <v>BAJO</v>
      </c>
      <c r="AK321" s="33">
        <v>10</v>
      </c>
      <c r="AL321" s="33">
        <f t="shared" si="50"/>
        <v>40</v>
      </c>
      <c r="AM321" s="33" t="str">
        <f t="shared" si="49"/>
        <v>RIESGO ACEPTABLE</v>
      </c>
      <c r="AN321" s="31"/>
      <c r="AO321" s="31"/>
      <c r="AP321" s="31"/>
      <c r="AQ321" s="31" t="s">
        <v>92</v>
      </c>
      <c r="AR321" s="31" t="s">
        <v>93</v>
      </c>
      <c r="AS321" s="63" t="s">
        <v>94</v>
      </c>
    </row>
    <row r="322" spans="1:45" ht="38.4" x14ac:dyDescent="0.25">
      <c r="A322" s="124" t="s">
        <v>1114</v>
      </c>
      <c r="B322" s="123" t="s">
        <v>1133</v>
      </c>
      <c r="C322" s="121" t="s">
        <v>1145</v>
      </c>
      <c r="D322" s="122" t="s">
        <v>1117</v>
      </c>
      <c r="E322" s="31" t="s">
        <v>1118</v>
      </c>
      <c r="F322" s="138" t="s">
        <v>1146</v>
      </c>
      <c r="G322" s="138" t="s">
        <v>1146</v>
      </c>
      <c r="H322" s="31" t="s">
        <v>1121</v>
      </c>
      <c r="I322" s="31" t="s">
        <v>1122</v>
      </c>
      <c r="J322" s="31" t="s">
        <v>1123</v>
      </c>
      <c r="K322" s="31" t="s">
        <v>1124</v>
      </c>
      <c r="L322" s="68" t="s">
        <v>327</v>
      </c>
      <c r="M322" s="73" t="s">
        <v>84</v>
      </c>
      <c r="N322" s="73" t="s">
        <v>84</v>
      </c>
      <c r="O322" s="73" t="s">
        <v>1125</v>
      </c>
      <c r="P322" s="70">
        <v>2</v>
      </c>
      <c r="Q322" s="31">
        <v>4</v>
      </c>
      <c r="R322" s="33">
        <f t="shared" si="45"/>
        <v>8</v>
      </c>
      <c r="S322" s="33" t="str">
        <f t="shared" si="41"/>
        <v>MEDIO</v>
      </c>
      <c r="T322" s="33">
        <v>10</v>
      </c>
      <c r="U322" s="75">
        <f t="shared" si="42"/>
        <v>80</v>
      </c>
      <c r="V322" s="33" t="str">
        <f t="shared" si="43"/>
        <v>lll</v>
      </c>
      <c r="W322" s="74" t="str">
        <f t="shared" si="44"/>
        <v>SI</v>
      </c>
      <c r="X322" s="33">
        <v>10</v>
      </c>
      <c r="Y322" s="31" t="s">
        <v>133</v>
      </c>
      <c r="Z322" s="33" t="s">
        <v>87</v>
      </c>
      <c r="AA322" s="31"/>
      <c r="AB322" s="31"/>
      <c r="AC322" s="31" t="s">
        <v>1126</v>
      </c>
      <c r="AD322" s="31" t="s">
        <v>1127</v>
      </c>
      <c r="AE322" s="31"/>
      <c r="AF322" s="34" t="s">
        <v>146</v>
      </c>
      <c r="AG322" s="31">
        <v>0</v>
      </c>
      <c r="AH322" s="31">
        <v>4</v>
      </c>
      <c r="AI322" s="33">
        <f t="shared" si="46"/>
        <v>0</v>
      </c>
      <c r="AJ322" s="33" t="str">
        <f t="shared" si="47"/>
        <v>BAJO</v>
      </c>
      <c r="AK322" s="33">
        <v>10</v>
      </c>
      <c r="AL322" s="33">
        <f t="shared" si="50"/>
        <v>0</v>
      </c>
      <c r="AM322" s="33" t="str">
        <f t="shared" si="49"/>
        <v>RIESGO ACEPTABLE</v>
      </c>
      <c r="AN322" s="31" t="s">
        <v>1128</v>
      </c>
      <c r="AO322" s="31"/>
      <c r="AP322" s="31"/>
      <c r="AQ322" s="31" t="s">
        <v>1129</v>
      </c>
      <c r="AR322" s="31"/>
      <c r="AS322" s="63" t="s">
        <v>1130</v>
      </c>
    </row>
    <row r="323" spans="1:45" ht="38.4" x14ac:dyDescent="0.25">
      <c r="A323" s="124"/>
      <c r="B323" s="123"/>
      <c r="C323" s="121"/>
      <c r="D323" s="122"/>
      <c r="E323" s="31" t="s">
        <v>98</v>
      </c>
      <c r="F323" s="138"/>
      <c r="G323" s="138"/>
      <c r="H323" s="31" t="s">
        <v>1131</v>
      </c>
      <c r="I323" s="32" t="s">
        <v>129</v>
      </c>
      <c r="J323" s="32" t="s">
        <v>130</v>
      </c>
      <c r="K323" s="32" t="s">
        <v>104</v>
      </c>
      <c r="L323" s="68" t="s">
        <v>131</v>
      </c>
      <c r="M323" s="73" t="s">
        <v>84</v>
      </c>
      <c r="N323" s="73" t="s">
        <v>1147</v>
      </c>
      <c r="O323" s="73" t="s">
        <v>132</v>
      </c>
      <c r="P323" s="70">
        <v>2</v>
      </c>
      <c r="Q323" s="31">
        <v>3</v>
      </c>
      <c r="R323" s="33">
        <f t="shared" si="45"/>
        <v>6</v>
      </c>
      <c r="S323" s="33" t="str">
        <f t="shared" si="41"/>
        <v>MEDIO</v>
      </c>
      <c r="T323" s="33">
        <v>10</v>
      </c>
      <c r="U323" s="75">
        <f t="shared" si="42"/>
        <v>60</v>
      </c>
      <c r="V323" s="33" t="str">
        <f t="shared" si="43"/>
        <v>lll</v>
      </c>
      <c r="W323" s="74" t="str">
        <f t="shared" si="44"/>
        <v>SI</v>
      </c>
      <c r="X323" s="33">
        <v>10</v>
      </c>
      <c r="Y323" s="31" t="s">
        <v>133</v>
      </c>
      <c r="Z323" s="33" t="s">
        <v>87</v>
      </c>
      <c r="AA323" s="31"/>
      <c r="AB323" s="31"/>
      <c r="AC323" s="31"/>
      <c r="AD323" s="31" t="s">
        <v>134</v>
      </c>
      <c r="AE323" s="31"/>
      <c r="AF323" s="34" t="s">
        <v>135</v>
      </c>
      <c r="AG323" s="31">
        <v>2</v>
      </c>
      <c r="AH323" s="31">
        <v>3</v>
      </c>
      <c r="AI323" s="33">
        <f t="shared" si="46"/>
        <v>6</v>
      </c>
      <c r="AJ323" s="33" t="str">
        <f t="shared" si="47"/>
        <v>MEDIO</v>
      </c>
      <c r="AK323" s="33">
        <v>10</v>
      </c>
      <c r="AL323" s="33">
        <f t="shared" si="50"/>
        <v>60</v>
      </c>
      <c r="AM323" s="33" t="str">
        <f t="shared" si="49"/>
        <v>RIESGO ACEPTABLE</v>
      </c>
      <c r="AN323" s="31"/>
      <c r="AO323" s="31"/>
      <c r="AP323" s="31"/>
      <c r="AQ323" s="31" t="s">
        <v>136</v>
      </c>
      <c r="AR323" s="31" t="s">
        <v>93</v>
      </c>
      <c r="AS323" s="63" t="s">
        <v>137</v>
      </c>
    </row>
    <row r="324" spans="1:45" ht="96" x14ac:dyDescent="0.25">
      <c r="A324" s="124"/>
      <c r="B324" s="123"/>
      <c r="C324" s="121"/>
      <c r="D324" s="122"/>
      <c r="E324" s="31" t="s">
        <v>98</v>
      </c>
      <c r="F324" s="138"/>
      <c r="G324" s="138"/>
      <c r="H324" s="31" t="s">
        <v>79</v>
      </c>
      <c r="I324" s="31" t="s">
        <v>80</v>
      </c>
      <c r="J324" s="31" t="s">
        <v>81</v>
      </c>
      <c r="K324" s="31" t="s">
        <v>82</v>
      </c>
      <c r="L324" s="68" t="s">
        <v>83</v>
      </c>
      <c r="M324" s="73" t="s">
        <v>84</v>
      </c>
      <c r="N324" s="73" t="s">
        <v>1147</v>
      </c>
      <c r="O324" s="7" t="s">
        <v>85</v>
      </c>
      <c r="P324" s="70">
        <v>2</v>
      </c>
      <c r="Q324" s="31">
        <v>2</v>
      </c>
      <c r="R324" s="33">
        <f t="shared" si="45"/>
        <v>4</v>
      </c>
      <c r="S324" s="33" t="str">
        <f t="shared" si="41"/>
        <v>BAJO</v>
      </c>
      <c r="T324" s="33">
        <v>10</v>
      </c>
      <c r="U324" s="75">
        <f t="shared" si="42"/>
        <v>40</v>
      </c>
      <c r="V324" s="33" t="str">
        <f t="shared" si="43"/>
        <v>lll</v>
      </c>
      <c r="W324" s="74" t="str">
        <f t="shared" si="44"/>
        <v>SI</v>
      </c>
      <c r="X324" s="33">
        <v>10</v>
      </c>
      <c r="Y324" s="31" t="s">
        <v>86</v>
      </c>
      <c r="Z324" s="33" t="s">
        <v>87</v>
      </c>
      <c r="AA324" s="31"/>
      <c r="AB324" s="31"/>
      <c r="AC324" s="31"/>
      <c r="AD324" s="31"/>
      <c r="AE324" s="31" t="s">
        <v>88</v>
      </c>
      <c r="AF324" s="34" t="s">
        <v>89</v>
      </c>
      <c r="AG324" s="31">
        <v>2</v>
      </c>
      <c r="AH324" s="31">
        <v>2</v>
      </c>
      <c r="AI324" s="33">
        <f t="shared" si="46"/>
        <v>4</v>
      </c>
      <c r="AJ324" s="33" t="str">
        <f t="shared" si="47"/>
        <v>BAJO</v>
      </c>
      <c r="AK324" s="33">
        <v>10</v>
      </c>
      <c r="AL324" s="33">
        <f t="shared" si="50"/>
        <v>40</v>
      </c>
      <c r="AM324" s="33" t="str">
        <f t="shared" si="49"/>
        <v>RIESGO ACEPTABLE</v>
      </c>
      <c r="AN324" s="31"/>
      <c r="AO324" s="31"/>
      <c r="AP324" s="31"/>
      <c r="AQ324" s="31" t="s">
        <v>92</v>
      </c>
      <c r="AR324" s="31" t="s">
        <v>93</v>
      </c>
      <c r="AS324" s="63" t="s">
        <v>94</v>
      </c>
    </row>
    <row r="325" spans="1:45" ht="38.4" x14ac:dyDescent="0.25">
      <c r="A325" s="124" t="s">
        <v>1148</v>
      </c>
      <c r="B325" s="123" t="s">
        <v>1133</v>
      </c>
      <c r="C325" s="121" t="s">
        <v>1149</v>
      </c>
      <c r="D325" s="122" t="s">
        <v>1117</v>
      </c>
      <c r="E325" s="31" t="s">
        <v>1118</v>
      </c>
      <c r="F325" s="138" t="s">
        <v>1150</v>
      </c>
      <c r="G325" s="138" t="s">
        <v>1150</v>
      </c>
      <c r="H325" s="31" t="s">
        <v>1121</v>
      </c>
      <c r="I325" s="31" t="s">
        <v>1122</v>
      </c>
      <c r="J325" s="31" t="s">
        <v>1123</v>
      </c>
      <c r="K325" s="31" t="s">
        <v>1124</v>
      </c>
      <c r="L325" s="68" t="s">
        <v>327</v>
      </c>
      <c r="M325" s="73" t="s">
        <v>84</v>
      </c>
      <c r="N325" s="73" t="s">
        <v>84</v>
      </c>
      <c r="O325" s="73" t="s">
        <v>1125</v>
      </c>
      <c r="P325" s="70">
        <v>2</v>
      </c>
      <c r="Q325" s="31">
        <v>4</v>
      </c>
      <c r="R325" s="33">
        <f t="shared" si="45"/>
        <v>8</v>
      </c>
      <c r="S325" s="33" t="str">
        <f t="shared" si="41"/>
        <v>MEDIO</v>
      </c>
      <c r="T325" s="33">
        <v>10</v>
      </c>
      <c r="U325" s="75">
        <f t="shared" si="42"/>
        <v>80</v>
      </c>
      <c r="V325" s="33" t="str">
        <f t="shared" si="43"/>
        <v>lll</v>
      </c>
      <c r="W325" s="74" t="str">
        <f t="shared" si="44"/>
        <v>SI</v>
      </c>
      <c r="X325" s="31">
        <v>15</v>
      </c>
      <c r="Y325" s="31" t="s">
        <v>133</v>
      </c>
      <c r="Z325" s="33" t="s">
        <v>87</v>
      </c>
      <c r="AA325" s="31"/>
      <c r="AB325" s="31"/>
      <c r="AC325" s="31" t="s">
        <v>1126</v>
      </c>
      <c r="AD325" s="31" t="s">
        <v>1127</v>
      </c>
      <c r="AE325" s="31"/>
      <c r="AF325" s="34" t="s">
        <v>146</v>
      </c>
      <c r="AG325" s="31">
        <v>0</v>
      </c>
      <c r="AH325" s="31">
        <v>4</v>
      </c>
      <c r="AI325" s="33">
        <f t="shared" si="46"/>
        <v>0</v>
      </c>
      <c r="AJ325" s="33" t="str">
        <f t="shared" si="47"/>
        <v>BAJO</v>
      </c>
      <c r="AK325" s="33">
        <v>10</v>
      </c>
      <c r="AL325" s="33">
        <f t="shared" si="50"/>
        <v>0</v>
      </c>
      <c r="AM325" s="33" t="str">
        <f t="shared" si="49"/>
        <v>RIESGO ACEPTABLE</v>
      </c>
      <c r="AN325" s="31" t="s">
        <v>1128</v>
      </c>
      <c r="AO325" s="31"/>
      <c r="AP325" s="31"/>
      <c r="AQ325" s="31" t="s">
        <v>1129</v>
      </c>
      <c r="AR325" s="31"/>
      <c r="AS325" s="63" t="s">
        <v>1130</v>
      </c>
    </row>
    <row r="326" spans="1:45" ht="38.4" x14ac:dyDescent="0.25">
      <c r="A326" s="124"/>
      <c r="B326" s="123"/>
      <c r="C326" s="121"/>
      <c r="D326" s="122"/>
      <c r="E326" s="31" t="s">
        <v>98</v>
      </c>
      <c r="F326" s="138"/>
      <c r="G326" s="138"/>
      <c r="H326" s="31" t="s">
        <v>1131</v>
      </c>
      <c r="I326" s="32" t="s">
        <v>129</v>
      </c>
      <c r="J326" s="32" t="s">
        <v>130</v>
      </c>
      <c r="K326" s="32" t="s">
        <v>104</v>
      </c>
      <c r="L326" s="68" t="s">
        <v>131</v>
      </c>
      <c r="M326" s="73" t="s">
        <v>84</v>
      </c>
      <c r="N326" s="73" t="s">
        <v>1139</v>
      </c>
      <c r="O326" s="73" t="s">
        <v>132</v>
      </c>
      <c r="P326" s="70">
        <v>2</v>
      </c>
      <c r="Q326" s="31">
        <v>3</v>
      </c>
      <c r="R326" s="33">
        <f t="shared" si="45"/>
        <v>6</v>
      </c>
      <c r="S326" s="33" t="str">
        <f t="shared" si="41"/>
        <v>MEDIO</v>
      </c>
      <c r="T326" s="33">
        <v>10</v>
      </c>
      <c r="U326" s="75">
        <f t="shared" si="42"/>
        <v>60</v>
      </c>
      <c r="V326" s="33" t="str">
        <f t="shared" si="43"/>
        <v>lll</v>
      </c>
      <c r="W326" s="74" t="str">
        <f t="shared" si="44"/>
        <v>SI</v>
      </c>
      <c r="X326" s="31">
        <v>15</v>
      </c>
      <c r="Y326" s="31" t="s">
        <v>133</v>
      </c>
      <c r="Z326" s="33" t="s">
        <v>87</v>
      </c>
      <c r="AA326" s="31"/>
      <c r="AB326" s="31"/>
      <c r="AC326" s="31"/>
      <c r="AD326" s="31" t="s">
        <v>134</v>
      </c>
      <c r="AE326" s="31"/>
      <c r="AF326" s="34" t="s">
        <v>135</v>
      </c>
      <c r="AG326" s="31">
        <v>2</v>
      </c>
      <c r="AH326" s="31">
        <v>3</v>
      </c>
      <c r="AI326" s="33">
        <f t="shared" si="46"/>
        <v>6</v>
      </c>
      <c r="AJ326" s="33" t="str">
        <f t="shared" si="47"/>
        <v>MEDIO</v>
      </c>
      <c r="AK326" s="33">
        <v>10</v>
      </c>
      <c r="AL326" s="33">
        <f t="shared" si="50"/>
        <v>60</v>
      </c>
      <c r="AM326" s="33" t="str">
        <f t="shared" si="49"/>
        <v>RIESGO ACEPTABLE</v>
      </c>
      <c r="AN326" s="31"/>
      <c r="AO326" s="31"/>
      <c r="AP326" s="31"/>
      <c r="AQ326" s="31" t="s">
        <v>136</v>
      </c>
      <c r="AR326" s="31" t="s">
        <v>93</v>
      </c>
      <c r="AS326" s="63" t="s">
        <v>137</v>
      </c>
    </row>
    <row r="327" spans="1:45" ht="96" x14ac:dyDescent="0.25">
      <c r="A327" s="124"/>
      <c r="B327" s="123"/>
      <c r="C327" s="121"/>
      <c r="D327" s="122"/>
      <c r="E327" s="31" t="s">
        <v>98</v>
      </c>
      <c r="F327" s="138"/>
      <c r="G327" s="138"/>
      <c r="H327" s="31" t="s">
        <v>79</v>
      </c>
      <c r="I327" s="31" t="s">
        <v>80</v>
      </c>
      <c r="J327" s="31" t="s">
        <v>81</v>
      </c>
      <c r="K327" s="31" t="s">
        <v>82</v>
      </c>
      <c r="L327" s="68" t="s">
        <v>83</v>
      </c>
      <c r="M327" s="73" t="s">
        <v>84</v>
      </c>
      <c r="N327" s="73" t="s">
        <v>1139</v>
      </c>
      <c r="O327" s="7" t="s">
        <v>85</v>
      </c>
      <c r="P327" s="70">
        <v>2</v>
      </c>
      <c r="Q327" s="31">
        <v>2</v>
      </c>
      <c r="R327" s="33">
        <f t="shared" si="45"/>
        <v>4</v>
      </c>
      <c r="S327" s="33" t="str">
        <f t="shared" si="41"/>
        <v>BAJO</v>
      </c>
      <c r="T327" s="33">
        <v>10</v>
      </c>
      <c r="U327" s="75">
        <f t="shared" si="42"/>
        <v>40</v>
      </c>
      <c r="V327" s="33" t="str">
        <f t="shared" si="43"/>
        <v>lll</v>
      </c>
      <c r="W327" s="74" t="str">
        <f t="shared" si="44"/>
        <v>SI</v>
      </c>
      <c r="X327" s="31">
        <v>15</v>
      </c>
      <c r="Y327" s="31" t="s">
        <v>86</v>
      </c>
      <c r="Z327" s="33" t="s">
        <v>87</v>
      </c>
      <c r="AA327" s="31"/>
      <c r="AB327" s="31"/>
      <c r="AC327" s="31"/>
      <c r="AD327" s="31"/>
      <c r="AE327" s="31" t="s">
        <v>88</v>
      </c>
      <c r="AF327" s="34" t="s">
        <v>89</v>
      </c>
      <c r="AG327" s="31">
        <v>2</v>
      </c>
      <c r="AH327" s="31">
        <v>2</v>
      </c>
      <c r="AI327" s="33">
        <f t="shared" si="46"/>
        <v>4</v>
      </c>
      <c r="AJ327" s="33" t="str">
        <f t="shared" si="47"/>
        <v>BAJO</v>
      </c>
      <c r="AK327" s="33">
        <v>10</v>
      </c>
      <c r="AL327" s="33">
        <f t="shared" si="50"/>
        <v>40</v>
      </c>
      <c r="AM327" s="33" t="str">
        <f t="shared" si="49"/>
        <v>RIESGO ACEPTABLE</v>
      </c>
      <c r="AN327" s="31"/>
      <c r="AO327" s="31"/>
      <c r="AP327" s="31"/>
      <c r="AQ327" s="31" t="s">
        <v>92</v>
      </c>
      <c r="AR327" s="31" t="s">
        <v>93</v>
      </c>
      <c r="AS327" s="63" t="s">
        <v>94</v>
      </c>
    </row>
    <row r="328" spans="1:45" ht="38.4" x14ac:dyDescent="0.25">
      <c r="A328" s="124" t="s">
        <v>1151</v>
      </c>
      <c r="B328" s="123" t="s">
        <v>1152</v>
      </c>
      <c r="C328" s="121" t="s">
        <v>1153</v>
      </c>
      <c r="D328" s="122" t="s">
        <v>1117</v>
      </c>
      <c r="E328" s="31" t="s">
        <v>1118</v>
      </c>
      <c r="F328" s="138" t="s">
        <v>1154</v>
      </c>
      <c r="G328" s="138" t="s">
        <v>1154</v>
      </c>
      <c r="H328" s="31" t="s">
        <v>1121</v>
      </c>
      <c r="I328" s="31" t="s">
        <v>1122</v>
      </c>
      <c r="J328" s="31" t="s">
        <v>1123</v>
      </c>
      <c r="K328" s="31" t="s">
        <v>1124</v>
      </c>
      <c r="L328" s="68" t="s">
        <v>327</v>
      </c>
      <c r="M328" s="73" t="s">
        <v>84</v>
      </c>
      <c r="N328" s="73" t="s">
        <v>84</v>
      </c>
      <c r="O328" s="73" t="s">
        <v>1125</v>
      </c>
      <c r="P328" s="70">
        <v>2</v>
      </c>
      <c r="Q328" s="31">
        <v>4</v>
      </c>
      <c r="R328" s="33">
        <f t="shared" si="45"/>
        <v>8</v>
      </c>
      <c r="S328" s="33" t="str">
        <f t="shared" si="41"/>
        <v>MEDIO</v>
      </c>
      <c r="T328" s="33">
        <v>10</v>
      </c>
      <c r="U328" s="75">
        <f t="shared" si="42"/>
        <v>80</v>
      </c>
      <c r="V328" s="33" t="str">
        <f t="shared" si="43"/>
        <v>lll</v>
      </c>
      <c r="W328" s="74" t="str">
        <f t="shared" si="44"/>
        <v>SI</v>
      </c>
      <c r="X328" s="31">
        <v>20</v>
      </c>
      <c r="Y328" s="31" t="s">
        <v>133</v>
      </c>
      <c r="Z328" s="33" t="s">
        <v>87</v>
      </c>
      <c r="AA328" s="31"/>
      <c r="AB328" s="31"/>
      <c r="AC328" s="31" t="s">
        <v>1126</v>
      </c>
      <c r="AD328" s="31" t="s">
        <v>1127</v>
      </c>
      <c r="AE328" s="31"/>
      <c r="AF328" s="34" t="s">
        <v>146</v>
      </c>
      <c r="AG328" s="31">
        <v>0</v>
      </c>
      <c r="AH328" s="31">
        <v>4</v>
      </c>
      <c r="AI328" s="33">
        <f t="shared" si="46"/>
        <v>0</v>
      </c>
      <c r="AJ328" s="33" t="str">
        <f t="shared" si="47"/>
        <v>BAJO</v>
      </c>
      <c r="AK328" s="33">
        <v>10</v>
      </c>
      <c r="AL328" s="33">
        <f t="shared" si="50"/>
        <v>0</v>
      </c>
      <c r="AM328" s="33" t="str">
        <f t="shared" si="49"/>
        <v>RIESGO ACEPTABLE</v>
      </c>
      <c r="AN328" s="31" t="s">
        <v>1128</v>
      </c>
      <c r="AO328" s="31"/>
      <c r="AP328" s="31"/>
      <c r="AQ328" s="31" t="s">
        <v>1129</v>
      </c>
      <c r="AR328" s="31"/>
      <c r="AS328" s="63" t="s">
        <v>1130</v>
      </c>
    </row>
    <row r="329" spans="1:45" ht="38.4" x14ac:dyDescent="0.25">
      <c r="A329" s="124"/>
      <c r="B329" s="123"/>
      <c r="C329" s="121"/>
      <c r="D329" s="122"/>
      <c r="E329" s="31" t="s">
        <v>98</v>
      </c>
      <c r="F329" s="138"/>
      <c r="G329" s="138"/>
      <c r="H329" s="31" t="s">
        <v>1131</v>
      </c>
      <c r="I329" s="32" t="s">
        <v>129</v>
      </c>
      <c r="J329" s="32" t="s">
        <v>130</v>
      </c>
      <c r="K329" s="32" t="s">
        <v>104</v>
      </c>
      <c r="L329" s="68" t="s">
        <v>131</v>
      </c>
      <c r="M329" s="73" t="s">
        <v>84</v>
      </c>
      <c r="N329" s="73" t="s">
        <v>1155</v>
      </c>
      <c r="O329" s="73" t="s">
        <v>132</v>
      </c>
      <c r="P329" s="70">
        <v>2</v>
      </c>
      <c r="Q329" s="31">
        <v>3</v>
      </c>
      <c r="R329" s="33">
        <f t="shared" si="45"/>
        <v>6</v>
      </c>
      <c r="S329" s="33" t="str">
        <f t="shared" si="41"/>
        <v>MEDIO</v>
      </c>
      <c r="T329" s="33">
        <v>10</v>
      </c>
      <c r="U329" s="75">
        <f t="shared" si="42"/>
        <v>60</v>
      </c>
      <c r="V329" s="33" t="str">
        <f t="shared" si="43"/>
        <v>lll</v>
      </c>
      <c r="W329" s="74" t="str">
        <f t="shared" si="44"/>
        <v>SI</v>
      </c>
      <c r="X329" s="31">
        <v>20</v>
      </c>
      <c r="Y329" s="31" t="s">
        <v>133</v>
      </c>
      <c r="Z329" s="33" t="s">
        <v>87</v>
      </c>
      <c r="AA329" s="31"/>
      <c r="AB329" s="31"/>
      <c r="AC329" s="31"/>
      <c r="AD329" s="31" t="s">
        <v>134</v>
      </c>
      <c r="AE329" s="31"/>
      <c r="AF329" s="34" t="s">
        <v>135</v>
      </c>
      <c r="AG329" s="31">
        <v>2</v>
      </c>
      <c r="AH329" s="31">
        <v>3</v>
      </c>
      <c r="AI329" s="33">
        <f t="shared" si="46"/>
        <v>6</v>
      </c>
      <c r="AJ329" s="33" t="str">
        <f t="shared" si="47"/>
        <v>MEDIO</v>
      </c>
      <c r="AK329" s="33">
        <v>10</v>
      </c>
      <c r="AL329" s="33">
        <f t="shared" si="50"/>
        <v>60</v>
      </c>
      <c r="AM329" s="33" t="str">
        <f t="shared" si="49"/>
        <v>RIESGO ACEPTABLE</v>
      </c>
      <c r="AN329" s="31"/>
      <c r="AO329" s="31"/>
      <c r="AP329" s="31"/>
      <c r="AQ329" s="31" t="s">
        <v>136</v>
      </c>
      <c r="AR329" s="31" t="s">
        <v>93</v>
      </c>
      <c r="AS329" s="63" t="s">
        <v>137</v>
      </c>
    </row>
    <row r="330" spans="1:45" ht="96" x14ac:dyDescent="0.25">
      <c r="A330" s="124"/>
      <c r="B330" s="123"/>
      <c r="C330" s="121"/>
      <c r="D330" s="122"/>
      <c r="E330" s="31" t="s">
        <v>98</v>
      </c>
      <c r="F330" s="138"/>
      <c r="G330" s="138"/>
      <c r="H330" s="31" t="s">
        <v>79</v>
      </c>
      <c r="I330" s="31" t="s">
        <v>80</v>
      </c>
      <c r="J330" s="31" t="s">
        <v>81</v>
      </c>
      <c r="K330" s="31" t="s">
        <v>82</v>
      </c>
      <c r="L330" s="68" t="s">
        <v>83</v>
      </c>
      <c r="M330" s="73" t="s">
        <v>84</v>
      </c>
      <c r="N330" s="73" t="s">
        <v>1155</v>
      </c>
      <c r="O330" s="7" t="s">
        <v>85</v>
      </c>
      <c r="P330" s="70">
        <v>2</v>
      </c>
      <c r="Q330" s="31">
        <v>2</v>
      </c>
      <c r="R330" s="33">
        <f t="shared" si="45"/>
        <v>4</v>
      </c>
      <c r="S330" s="33" t="str">
        <f t="shared" si="41"/>
        <v>BAJO</v>
      </c>
      <c r="T330" s="33">
        <v>10</v>
      </c>
      <c r="U330" s="75">
        <f t="shared" si="42"/>
        <v>40</v>
      </c>
      <c r="V330" s="33" t="str">
        <f t="shared" si="43"/>
        <v>lll</v>
      </c>
      <c r="W330" s="74" t="str">
        <f t="shared" si="44"/>
        <v>SI</v>
      </c>
      <c r="X330" s="31">
        <v>20</v>
      </c>
      <c r="Y330" s="31" t="s">
        <v>86</v>
      </c>
      <c r="Z330" s="33" t="s">
        <v>87</v>
      </c>
      <c r="AA330" s="31"/>
      <c r="AB330" s="31"/>
      <c r="AC330" s="31"/>
      <c r="AD330" s="31"/>
      <c r="AE330" s="31" t="s">
        <v>88</v>
      </c>
      <c r="AF330" s="34" t="s">
        <v>89</v>
      </c>
      <c r="AG330" s="31">
        <v>2</v>
      </c>
      <c r="AH330" s="31">
        <v>2</v>
      </c>
      <c r="AI330" s="33">
        <f t="shared" si="46"/>
        <v>4</v>
      </c>
      <c r="AJ330" s="33" t="str">
        <f t="shared" si="47"/>
        <v>BAJO</v>
      </c>
      <c r="AK330" s="33">
        <v>10</v>
      </c>
      <c r="AL330" s="33">
        <f t="shared" si="50"/>
        <v>40</v>
      </c>
      <c r="AM330" s="33" t="str">
        <f t="shared" si="49"/>
        <v>RIESGO ACEPTABLE</v>
      </c>
      <c r="AN330" s="31"/>
      <c r="AO330" s="31"/>
      <c r="AP330" s="31"/>
      <c r="AQ330" s="31" t="s">
        <v>92</v>
      </c>
      <c r="AR330" s="31" t="s">
        <v>93</v>
      </c>
      <c r="AS330" s="63" t="s">
        <v>94</v>
      </c>
    </row>
    <row r="331" spans="1:45" ht="38.4" x14ac:dyDescent="0.25">
      <c r="A331" s="124" t="s">
        <v>1151</v>
      </c>
      <c r="B331" s="123" t="s">
        <v>1156</v>
      </c>
      <c r="C331" s="121" t="s">
        <v>1157</v>
      </c>
      <c r="D331" s="122" t="s">
        <v>1158</v>
      </c>
      <c r="E331" s="31" t="s">
        <v>1118</v>
      </c>
      <c r="F331" s="138" t="s">
        <v>1159</v>
      </c>
      <c r="G331" s="138" t="s">
        <v>1154</v>
      </c>
      <c r="H331" s="31" t="s">
        <v>1121</v>
      </c>
      <c r="I331" s="31" t="s">
        <v>1122</v>
      </c>
      <c r="J331" s="31" t="s">
        <v>1123</v>
      </c>
      <c r="K331" s="31" t="s">
        <v>1124</v>
      </c>
      <c r="L331" s="68" t="s">
        <v>327</v>
      </c>
      <c r="M331" s="73" t="s">
        <v>84</v>
      </c>
      <c r="N331" s="73" t="s">
        <v>84</v>
      </c>
      <c r="O331" s="73" t="s">
        <v>1125</v>
      </c>
      <c r="P331" s="70">
        <v>2</v>
      </c>
      <c r="Q331" s="31">
        <v>4</v>
      </c>
      <c r="R331" s="33">
        <f t="shared" si="45"/>
        <v>8</v>
      </c>
      <c r="S331" s="33" t="str">
        <f t="shared" si="41"/>
        <v>MEDIO</v>
      </c>
      <c r="T331" s="33">
        <v>10</v>
      </c>
      <c r="U331" s="75">
        <f t="shared" si="42"/>
        <v>80</v>
      </c>
      <c r="V331" s="33" t="str">
        <f t="shared" si="43"/>
        <v>lll</v>
      </c>
      <c r="W331" s="74" t="str">
        <f t="shared" si="44"/>
        <v>SI</v>
      </c>
      <c r="X331" s="31">
        <v>20</v>
      </c>
      <c r="Y331" s="31" t="s">
        <v>133</v>
      </c>
      <c r="Z331" s="33" t="s">
        <v>87</v>
      </c>
      <c r="AA331" s="31"/>
      <c r="AB331" s="31"/>
      <c r="AC331" s="31" t="s">
        <v>1126</v>
      </c>
      <c r="AD331" s="31" t="s">
        <v>1127</v>
      </c>
      <c r="AE331" s="31"/>
      <c r="AF331" s="34" t="s">
        <v>146</v>
      </c>
      <c r="AG331" s="31">
        <v>0</v>
      </c>
      <c r="AH331" s="31">
        <v>4</v>
      </c>
      <c r="AI331" s="33">
        <f t="shared" si="46"/>
        <v>0</v>
      </c>
      <c r="AJ331" s="33" t="str">
        <f t="shared" si="47"/>
        <v>BAJO</v>
      </c>
      <c r="AK331" s="33">
        <v>10</v>
      </c>
      <c r="AL331" s="33">
        <f t="shared" si="50"/>
        <v>0</v>
      </c>
      <c r="AM331" s="33" t="str">
        <f t="shared" si="49"/>
        <v>RIESGO ACEPTABLE</v>
      </c>
      <c r="AN331" s="31" t="s">
        <v>1128</v>
      </c>
      <c r="AO331" s="31"/>
      <c r="AP331" s="31"/>
      <c r="AQ331" s="31" t="s">
        <v>1129</v>
      </c>
      <c r="AR331" s="31"/>
      <c r="AS331" s="63" t="s">
        <v>1130</v>
      </c>
    </row>
    <row r="332" spans="1:45" ht="38.4" x14ac:dyDescent="0.25">
      <c r="A332" s="124"/>
      <c r="B332" s="123"/>
      <c r="C332" s="121"/>
      <c r="D332" s="122"/>
      <c r="E332" s="31" t="s">
        <v>98</v>
      </c>
      <c r="F332" s="138"/>
      <c r="G332" s="138"/>
      <c r="H332" s="31" t="s">
        <v>1131</v>
      </c>
      <c r="I332" s="32" t="s">
        <v>129</v>
      </c>
      <c r="J332" s="32" t="s">
        <v>130</v>
      </c>
      <c r="K332" s="32" t="s">
        <v>104</v>
      </c>
      <c r="L332" s="68" t="s">
        <v>131</v>
      </c>
      <c r="M332" s="73" t="s">
        <v>84</v>
      </c>
      <c r="N332" s="73" t="s">
        <v>1155</v>
      </c>
      <c r="O332" s="73" t="s">
        <v>132</v>
      </c>
      <c r="P332" s="70">
        <v>2</v>
      </c>
      <c r="Q332" s="31">
        <v>3</v>
      </c>
      <c r="R332" s="33">
        <f t="shared" si="45"/>
        <v>6</v>
      </c>
      <c r="S332" s="33" t="str">
        <f t="shared" si="41"/>
        <v>MEDIO</v>
      </c>
      <c r="T332" s="33">
        <v>10</v>
      </c>
      <c r="U332" s="75">
        <f t="shared" si="42"/>
        <v>60</v>
      </c>
      <c r="V332" s="33" t="str">
        <f t="shared" si="43"/>
        <v>lll</v>
      </c>
      <c r="W332" s="74" t="str">
        <f t="shared" si="44"/>
        <v>SI</v>
      </c>
      <c r="X332" s="31">
        <v>20</v>
      </c>
      <c r="Y332" s="31" t="s">
        <v>133</v>
      </c>
      <c r="Z332" s="33" t="s">
        <v>87</v>
      </c>
      <c r="AA332" s="31"/>
      <c r="AB332" s="31"/>
      <c r="AC332" s="31"/>
      <c r="AD332" s="31" t="s">
        <v>134</v>
      </c>
      <c r="AE332" s="31"/>
      <c r="AF332" s="34" t="s">
        <v>135</v>
      </c>
      <c r="AG332" s="31">
        <v>2</v>
      </c>
      <c r="AH332" s="31">
        <v>3</v>
      </c>
      <c r="AI332" s="33">
        <f t="shared" si="46"/>
        <v>6</v>
      </c>
      <c r="AJ332" s="33" t="str">
        <f t="shared" si="47"/>
        <v>MEDIO</v>
      </c>
      <c r="AK332" s="33">
        <v>10</v>
      </c>
      <c r="AL332" s="33">
        <f t="shared" si="50"/>
        <v>60</v>
      </c>
      <c r="AM332" s="33" t="str">
        <f t="shared" si="49"/>
        <v>RIESGO ACEPTABLE</v>
      </c>
      <c r="AN332" s="31"/>
      <c r="AO332" s="31"/>
      <c r="AP332" s="31"/>
      <c r="AQ332" s="31" t="s">
        <v>136</v>
      </c>
      <c r="AR332" s="31" t="s">
        <v>93</v>
      </c>
      <c r="AS332" s="63" t="s">
        <v>137</v>
      </c>
    </row>
    <row r="333" spans="1:45" ht="96" x14ac:dyDescent="0.25">
      <c r="A333" s="124"/>
      <c r="B333" s="123"/>
      <c r="C333" s="121"/>
      <c r="D333" s="122"/>
      <c r="E333" s="31" t="s">
        <v>98</v>
      </c>
      <c r="F333" s="138"/>
      <c r="G333" s="138"/>
      <c r="H333" s="31" t="s">
        <v>79</v>
      </c>
      <c r="I333" s="31" t="s">
        <v>80</v>
      </c>
      <c r="J333" s="31" t="s">
        <v>81</v>
      </c>
      <c r="K333" s="31" t="s">
        <v>82</v>
      </c>
      <c r="L333" s="68" t="s">
        <v>83</v>
      </c>
      <c r="M333" s="73" t="s">
        <v>84</v>
      </c>
      <c r="N333" s="73" t="s">
        <v>1155</v>
      </c>
      <c r="O333" s="7" t="s">
        <v>85</v>
      </c>
      <c r="P333" s="70">
        <v>2</v>
      </c>
      <c r="Q333" s="31">
        <v>2</v>
      </c>
      <c r="R333" s="33">
        <f t="shared" si="45"/>
        <v>4</v>
      </c>
      <c r="S333" s="33" t="str">
        <f t="shared" si="41"/>
        <v>BAJO</v>
      </c>
      <c r="T333" s="33">
        <v>10</v>
      </c>
      <c r="U333" s="75">
        <f t="shared" si="42"/>
        <v>40</v>
      </c>
      <c r="V333" s="33" t="str">
        <f t="shared" si="43"/>
        <v>lll</v>
      </c>
      <c r="W333" s="74" t="str">
        <f t="shared" si="44"/>
        <v>SI</v>
      </c>
      <c r="X333" s="31">
        <v>20</v>
      </c>
      <c r="Y333" s="31" t="s">
        <v>86</v>
      </c>
      <c r="Z333" s="33" t="s">
        <v>87</v>
      </c>
      <c r="AA333" s="31"/>
      <c r="AB333" s="31"/>
      <c r="AC333" s="31"/>
      <c r="AD333" s="31"/>
      <c r="AE333" s="31" t="s">
        <v>88</v>
      </c>
      <c r="AF333" s="34" t="s">
        <v>89</v>
      </c>
      <c r="AG333" s="31">
        <v>2</v>
      </c>
      <c r="AH333" s="31">
        <v>2</v>
      </c>
      <c r="AI333" s="33">
        <f t="shared" si="46"/>
        <v>4</v>
      </c>
      <c r="AJ333" s="33" t="str">
        <f t="shared" si="47"/>
        <v>BAJO</v>
      </c>
      <c r="AK333" s="33">
        <v>10</v>
      </c>
      <c r="AL333" s="33">
        <f t="shared" si="50"/>
        <v>40</v>
      </c>
      <c r="AM333" s="33" t="str">
        <f t="shared" si="49"/>
        <v>RIESGO ACEPTABLE</v>
      </c>
      <c r="AN333" s="31"/>
      <c r="AO333" s="31"/>
      <c r="AP333" s="31"/>
      <c r="AQ333" s="31" t="s">
        <v>92</v>
      </c>
      <c r="AR333" s="31" t="s">
        <v>93</v>
      </c>
      <c r="AS333" s="63" t="s">
        <v>94</v>
      </c>
    </row>
    <row r="334" spans="1:45" ht="38.4" x14ac:dyDescent="0.25">
      <c r="A334" s="124" t="s">
        <v>1151</v>
      </c>
      <c r="B334" s="123" t="s">
        <v>1160</v>
      </c>
      <c r="C334" s="121" t="s">
        <v>1161</v>
      </c>
      <c r="D334" s="122" t="s">
        <v>1158</v>
      </c>
      <c r="E334" s="31" t="s">
        <v>1118</v>
      </c>
      <c r="F334" s="138" t="s">
        <v>1162</v>
      </c>
      <c r="G334" s="138" t="s">
        <v>1154</v>
      </c>
      <c r="H334" s="31" t="s">
        <v>1121</v>
      </c>
      <c r="I334" s="31" t="s">
        <v>1122</v>
      </c>
      <c r="J334" s="31" t="s">
        <v>1123</v>
      </c>
      <c r="K334" s="31" t="s">
        <v>1124</v>
      </c>
      <c r="L334" s="68" t="s">
        <v>327</v>
      </c>
      <c r="M334" s="73" t="s">
        <v>84</v>
      </c>
      <c r="N334" s="73" t="s">
        <v>84</v>
      </c>
      <c r="O334" s="73" t="s">
        <v>1125</v>
      </c>
      <c r="P334" s="70">
        <v>2</v>
      </c>
      <c r="Q334" s="31">
        <v>4</v>
      </c>
      <c r="R334" s="33">
        <f t="shared" si="45"/>
        <v>8</v>
      </c>
      <c r="S334" s="33" t="str">
        <f t="shared" si="41"/>
        <v>MEDIO</v>
      </c>
      <c r="T334" s="33">
        <v>10</v>
      </c>
      <c r="U334" s="75">
        <f t="shared" si="42"/>
        <v>80</v>
      </c>
      <c r="V334" s="33" t="str">
        <f t="shared" si="43"/>
        <v>lll</v>
      </c>
      <c r="W334" s="74" t="str">
        <f t="shared" si="44"/>
        <v>SI</v>
      </c>
      <c r="X334" s="31">
        <v>20</v>
      </c>
      <c r="Y334" s="31" t="s">
        <v>133</v>
      </c>
      <c r="Z334" s="33" t="s">
        <v>87</v>
      </c>
      <c r="AA334" s="31"/>
      <c r="AB334" s="31"/>
      <c r="AC334" s="31" t="s">
        <v>1126</v>
      </c>
      <c r="AD334" s="31" t="s">
        <v>1127</v>
      </c>
      <c r="AE334" s="31"/>
      <c r="AF334" s="34" t="s">
        <v>146</v>
      </c>
      <c r="AG334" s="31">
        <v>0</v>
      </c>
      <c r="AH334" s="31">
        <v>4</v>
      </c>
      <c r="AI334" s="33">
        <f t="shared" si="46"/>
        <v>0</v>
      </c>
      <c r="AJ334" s="33" t="str">
        <f t="shared" si="47"/>
        <v>BAJO</v>
      </c>
      <c r="AK334" s="33">
        <v>10</v>
      </c>
      <c r="AL334" s="33">
        <f t="shared" si="50"/>
        <v>0</v>
      </c>
      <c r="AM334" s="33" t="str">
        <f t="shared" si="49"/>
        <v>RIESGO ACEPTABLE</v>
      </c>
      <c r="AN334" s="31" t="s">
        <v>1128</v>
      </c>
      <c r="AO334" s="31"/>
      <c r="AP334" s="31"/>
      <c r="AQ334" s="31" t="s">
        <v>1129</v>
      </c>
      <c r="AR334" s="31"/>
      <c r="AS334" s="63" t="s">
        <v>1130</v>
      </c>
    </row>
    <row r="335" spans="1:45" ht="38.4" x14ac:dyDescent="0.25">
      <c r="A335" s="124"/>
      <c r="B335" s="123"/>
      <c r="C335" s="121"/>
      <c r="D335" s="122"/>
      <c r="E335" s="31" t="s">
        <v>98</v>
      </c>
      <c r="F335" s="138"/>
      <c r="G335" s="138"/>
      <c r="H335" s="31" t="s">
        <v>1131</v>
      </c>
      <c r="I335" s="32" t="s">
        <v>129</v>
      </c>
      <c r="J335" s="32" t="s">
        <v>130</v>
      </c>
      <c r="K335" s="32" t="s">
        <v>104</v>
      </c>
      <c r="L335" s="68" t="s">
        <v>131</v>
      </c>
      <c r="M335" s="73" t="s">
        <v>84</v>
      </c>
      <c r="N335" s="73" t="s">
        <v>1155</v>
      </c>
      <c r="O335" s="73" t="s">
        <v>132</v>
      </c>
      <c r="P335" s="70">
        <v>2</v>
      </c>
      <c r="Q335" s="31">
        <v>3</v>
      </c>
      <c r="R335" s="33">
        <f t="shared" si="45"/>
        <v>6</v>
      </c>
      <c r="S335" s="33" t="str">
        <f t="shared" si="41"/>
        <v>MEDIO</v>
      </c>
      <c r="T335" s="33">
        <v>10</v>
      </c>
      <c r="U335" s="75">
        <f t="shared" si="42"/>
        <v>60</v>
      </c>
      <c r="V335" s="33" t="str">
        <f t="shared" si="43"/>
        <v>lll</v>
      </c>
      <c r="W335" s="74" t="str">
        <f t="shared" si="44"/>
        <v>SI</v>
      </c>
      <c r="X335" s="31">
        <v>20</v>
      </c>
      <c r="Y335" s="31" t="s">
        <v>133</v>
      </c>
      <c r="Z335" s="33" t="s">
        <v>87</v>
      </c>
      <c r="AA335" s="31"/>
      <c r="AB335" s="31"/>
      <c r="AC335" s="31"/>
      <c r="AD335" s="31" t="s">
        <v>134</v>
      </c>
      <c r="AE335" s="31"/>
      <c r="AF335" s="34" t="s">
        <v>135</v>
      </c>
      <c r="AG335" s="31">
        <v>2</v>
      </c>
      <c r="AH335" s="31">
        <v>3</v>
      </c>
      <c r="AI335" s="33">
        <f t="shared" si="46"/>
        <v>6</v>
      </c>
      <c r="AJ335" s="33" t="str">
        <f t="shared" si="47"/>
        <v>MEDIO</v>
      </c>
      <c r="AK335" s="33">
        <v>10</v>
      </c>
      <c r="AL335" s="33">
        <f t="shared" si="50"/>
        <v>60</v>
      </c>
      <c r="AM335" s="33" t="str">
        <f t="shared" si="49"/>
        <v>RIESGO ACEPTABLE</v>
      </c>
      <c r="AN335" s="31"/>
      <c r="AO335" s="31"/>
      <c r="AP335" s="31"/>
      <c r="AQ335" s="31" t="s">
        <v>136</v>
      </c>
      <c r="AR335" s="31" t="s">
        <v>93</v>
      </c>
      <c r="AS335" s="63" t="s">
        <v>137</v>
      </c>
    </row>
    <row r="336" spans="1:45" ht="96" x14ac:dyDescent="0.25">
      <c r="A336" s="124"/>
      <c r="B336" s="123"/>
      <c r="C336" s="121"/>
      <c r="D336" s="122"/>
      <c r="E336" s="31" t="s">
        <v>98</v>
      </c>
      <c r="F336" s="138"/>
      <c r="G336" s="138"/>
      <c r="H336" s="31" t="s">
        <v>79</v>
      </c>
      <c r="I336" s="31" t="s">
        <v>80</v>
      </c>
      <c r="J336" s="31" t="s">
        <v>81</v>
      </c>
      <c r="K336" s="31" t="s">
        <v>82</v>
      </c>
      <c r="L336" s="68" t="s">
        <v>83</v>
      </c>
      <c r="M336" s="73" t="s">
        <v>84</v>
      </c>
      <c r="N336" s="73" t="s">
        <v>1155</v>
      </c>
      <c r="O336" s="7" t="s">
        <v>85</v>
      </c>
      <c r="P336" s="70">
        <v>2</v>
      </c>
      <c r="Q336" s="31">
        <v>2</v>
      </c>
      <c r="R336" s="33">
        <f t="shared" si="45"/>
        <v>4</v>
      </c>
      <c r="S336" s="33" t="str">
        <f t="shared" si="41"/>
        <v>BAJO</v>
      </c>
      <c r="T336" s="33">
        <v>10</v>
      </c>
      <c r="U336" s="75">
        <f t="shared" si="42"/>
        <v>40</v>
      </c>
      <c r="V336" s="33" t="str">
        <f t="shared" si="43"/>
        <v>lll</v>
      </c>
      <c r="W336" s="74" t="str">
        <f t="shared" si="44"/>
        <v>SI</v>
      </c>
      <c r="X336" s="31">
        <v>20</v>
      </c>
      <c r="Y336" s="31" t="s">
        <v>86</v>
      </c>
      <c r="Z336" s="33" t="s">
        <v>87</v>
      </c>
      <c r="AA336" s="31"/>
      <c r="AB336" s="31"/>
      <c r="AC336" s="31"/>
      <c r="AD336" s="31"/>
      <c r="AE336" s="31" t="s">
        <v>88</v>
      </c>
      <c r="AF336" s="34" t="s">
        <v>89</v>
      </c>
      <c r="AG336" s="31">
        <v>2</v>
      </c>
      <c r="AH336" s="31">
        <v>2</v>
      </c>
      <c r="AI336" s="33">
        <f t="shared" si="46"/>
        <v>4</v>
      </c>
      <c r="AJ336" s="33" t="str">
        <f t="shared" si="47"/>
        <v>BAJO</v>
      </c>
      <c r="AK336" s="33">
        <v>10</v>
      </c>
      <c r="AL336" s="33">
        <f t="shared" si="50"/>
        <v>40</v>
      </c>
      <c r="AM336" s="33" t="str">
        <f t="shared" si="49"/>
        <v>RIESGO ACEPTABLE</v>
      </c>
      <c r="AN336" s="31"/>
      <c r="AO336" s="31"/>
      <c r="AP336" s="31"/>
      <c r="AQ336" s="31" t="s">
        <v>92</v>
      </c>
      <c r="AR336" s="31" t="s">
        <v>93</v>
      </c>
      <c r="AS336" s="63" t="s">
        <v>94</v>
      </c>
    </row>
    <row r="337" spans="1:45" ht="38.4" x14ac:dyDescent="0.25">
      <c r="A337" s="124" t="s">
        <v>1163</v>
      </c>
      <c r="B337" s="123" t="s">
        <v>1133</v>
      </c>
      <c r="C337" s="121" t="s">
        <v>1164</v>
      </c>
      <c r="D337" s="122" t="s">
        <v>1117</v>
      </c>
      <c r="E337" s="31" t="s">
        <v>1118</v>
      </c>
      <c r="F337" s="138" t="s">
        <v>1165</v>
      </c>
      <c r="G337" s="138" t="s">
        <v>1165</v>
      </c>
      <c r="H337" s="31" t="s">
        <v>1121</v>
      </c>
      <c r="I337" s="31" t="s">
        <v>1122</v>
      </c>
      <c r="J337" s="31" t="s">
        <v>1123</v>
      </c>
      <c r="K337" s="31" t="s">
        <v>1124</v>
      </c>
      <c r="L337" s="68" t="s">
        <v>327</v>
      </c>
      <c r="M337" s="73" t="s">
        <v>84</v>
      </c>
      <c r="N337" s="73" t="s">
        <v>84</v>
      </c>
      <c r="O337" s="73" t="s">
        <v>1125</v>
      </c>
      <c r="P337" s="70">
        <v>2</v>
      </c>
      <c r="Q337" s="31">
        <v>4</v>
      </c>
      <c r="R337" s="33">
        <f t="shared" si="45"/>
        <v>8</v>
      </c>
      <c r="S337" s="33" t="str">
        <f t="shared" si="41"/>
        <v>MEDIO</v>
      </c>
      <c r="T337" s="33">
        <v>10</v>
      </c>
      <c r="U337" s="75">
        <f t="shared" si="42"/>
        <v>80</v>
      </c>
      <c r="V337" s="33" t="str">
        <f t="shared" si="43"/>
        <v>lll</v>
      </c>
      <c r="W337" s="74" t="str">
        <f t="shared" si="44"/>
        <v>SI</v>
      </c>
      <c r="X337" s="31">
        <v>10</v>
      </c>
      <c r="Y337" s="31" t="s">
        <v>133</v>
      </c>
      <c r="Z337" s="33" t="s">
        <v>87</v>
      </c>
      <c r="AA337" s="31"/>
      <c r="AB337" s="31"/>
      <c r="AC337" s="31" t="s">
        <v>1126</v>
      </c>
      <c r="AD337" s="31" t="s">
        <v>1127</v>
      </c>
      <c r="AE337" s="31"/>
      <c r="AF337" s="34" t="s">
        <v>146</v>
      </c>
      <c r="AG337" s="31">
        <v>0</v>
      </c>
      <c r="AH337" s="31">
        <v>4</v>
      </c>
      <c r="AI337" s="33">
        <f t="shared" si="46"/>
        <v>0</v>
      </c>
      <c r="AJ337" s="33" t="str">
        <f t="shared" si="47"/>
        <v>BAJO</v>
      </c>
      <c r="AK337" s="33">
        <v>10</v>
      </c>
      <c r="AL337" s="33">
        <f t="shared" si="50"/>
        <v>0</v>
      </c>
      <c r="AM337" s="33" t="str">
        <f t="shared" si="49"/>
        <v>RIESGO ACEPTABLE</v>
      </c>
      <c r="AN337" s="31" t="s">
        <v>1128</v>
      </c>
      <c r="AO337" s="31"/>
      <c r="AP337" s="31"/>
      <c r="AQ337" s="31" t="s">
        <v>1129</v>
      </c>
      <c r="AR337" s="31"/>
      <c r="AS337" s="63" t="s">
        <v>1130</v>
      </c>
    </row>
    <row r="338" spans="1:45" ht="38.4" x14ac:dyDescent="0.25">
      <c r="A338" s="124"/>
      <c r="B338" s="123"/>
      <c r="C338" s="121"/>
      <c r="D338" s="122"/>
      <c r="E338" s="31" t="s">
        <v>98</v>
      </c>
      <c r="F338" s="138"/>
      <c r="G338" s="138"/>
      <c r="H338" s="31" t="s">
        <v>1131</v>
      </c>
      <c r="I338" s="32" t="s">
        <v>129</v>
      </c>
      <c r="J338" s="32" t="s">
        <v>130</v>
      </c>
      <c r="K338" s="32" t="s">
        <v>104</v>
      </c>
      <c r="L338" s="68" t="s">
        <v>131</v>
      </c>
      <c r="M338" s="73" t="s">
        <v>84</v>
      </c>
      <c r="N338" s="73" t="s">
        <v>1166</v>
      </c>
      <c r="O338" s="73" t="s">
        <v>132</v>
      </c>
      <c r="P338" s="70">
        <v>2</v>
      </c>
      <c r="Q338" s="31">
        <v>3</v>
      </c>
      <c r="R338" s="33">
        <f t="shared" si="45"/>
        <v>6</v>
      </c>
      <c r="S338" s="33" t="str">
        <f t="shared" si="41"/>
        <v>MEDIO</v>
      </c>
      <c r="T338" s="33">
        <v>10</v>
      </c>
      <c r="U338" s="75">
        <f t="shared" si="42"/>
        <v>60</v>
      </c>
      <c r="V338" s="33" t="str">
        <f t="shared" si="43"/>
        <v>lll</v>
      </c>
      <c r="W338" s="74" t="str">
        <f t="shared" si="44"/>
        <v>SI</v>
      </c>
      <c r="X338" s="31">
        <v>10</v>
      </c>
      <c r="Y338" s="31" t="s">
        <v>133</v>
      </c>
      <c r="Z338" s="33" t="s">
        <v>87</v>
      </c>
      <c r="AA338" s="31"/>
      <c r="AB338" s="31"/>
      <c r="AC338" s="31"/>
      <c r="AD338" s="31" t="s">
        <v>134</v>
      </c>
      <c r="AE338" s="31"/>
      <c r="AF338" s="34" t="s">
        <v>135</v>
      </c>
      <c r="AG338" s="31">
        <v>2</v>
      </c>
      <c r="AH338" s="31">
        <v>3</v>
      </c>
      <c r="AI338" s="33">
        <f t="shared" si="46"/>
        <v>6</v>
      </c>
      <c r="AJ338" s="33" t="str">
        <f t="shared" si="47"/>
        <v>MEDIO</v>
      </c>
      <c r="AK338" s="33">
        <v>10</v>
      </c>
      <c r="AL338" s="33">
        <f t="shared" si="50"/>
        <v>60</v>
      </c>
      <c r="AM338" s="33" t="str">
        <f t="shared" si="49"/>
        <v>RIESGO ACEPTABLE</v>
      </c>
      <c r="AN338" s="31"/>
      <c r="AO338" s="31"/>
      <c r="AP338" s="31"/>
      <c r="AQ338" s="31" t="s">
        <v>136</v>
      </c>
      <c r="AR338" s="31" t="s">
        <v>93</v>
      </c>
      <c r="AS338" s="63" t="s">
        <v>137</v>
      </c>
    </row>
    <row r="339" spans="1:45" ht="96" x14ac:dyDescent="0.25">
      <c r="A339" s="124"/>
      <c r="B339" s="123"/>
      <c r="C339" s="121"/>
      <c r="D339" s="122"/>
      <c r="E339" s="31" t="s">
        <v>98</v>
      </c>
      <c r="F339" s="138"/>
      <c r="G339" s="138"/>
      <c r="H339" s="31" t="s">
        <v>79</v>
      </c>
      <c r="I339" s="31" t="s">
        <v>80</v>
      </c>
      <c r="J339" s="31" t="s">
        <v>81</v>
      </c>
      <c r="K339" s="31" t="s">
        <v>82</v>
      </c>
      <c r="L339" s="68" t="s">
        <v>83</v>
      </c>
      <c r="M339" s="73" t="s">
        <v>84</v>
      </c>
      <c r="N339" s="73" t="s">
        <v>1166</v>
      </c>
      <c r="O339" s="7" t="s">
        <v>85</v>
      </c>
      <c r="P339" s="70">
        <v>2</v>
      </c>
      <c r="Q339" s="31">
        <v>2</v>
      </c>
      <c r="R339" s="33">
        <f t="shared" si="45"/>
        <v>4</v>
      </c>
      <c r="S339" s="33" t="str">
        <f t="shared" si="41"/>
        <v>BAJO</v>
      </c>
      <c r="T339" s="33">
        <v>10</v>
      </c>
      <c r="U339" s="75">
        <f t="shared" si="42"/>
        <v>40</v>
      </c>
      <c r="V339" s="33" t="str">
        <f t="shared" si="43"/>
        <v>lll</v>
      </c>
      <c r="W339" s="74" t="str">
        <f t="shared" si="44"/>
        <v>SI</v>
      </c>
      <c r="X339" s="31">
        <v>10</v>
      </c>
      <c r="Y339" s="31" t="s">
        <v>86</v>
      </c>
      <c r="Z339" s="33" t="s">
        <v>87</v>
      </c>
      <c r="AA339" s="31"/>
      <c r="AB339" s="31"/>
      <c r="AC339" s="31"/>
      <c r="AD339" s="31"/>
      <c r="AE339" s="31" t="s">
        <v>88</v>
      </c>
      <c r="AF339" s="34" t="s">
        <v>89</v>
      </c>
      <c r="AG339" s="31">
        <v>2</v>
      </c>
      <c r="AH339" s="31">
        <v>2</v>
      </c>
      <c r="AI339" s="33">
        <f t="shared" si="46"/>
        <v>4</v>
      </c>
      <c r="AJ339" s="33" t="str">
        <f t="shared" si="47"/>
        <v>BAJO</v>
      </c>
      <c r="AK339" s="33">
        <v>10</v>
      </c>
      <c r="AL339" s="33">
        <f t="shared" si="50"/>
        <v>40</v>
      </c>
      <c r="AM339" s="33" t="str">
        <f t="shared" si="49"/>
        <v>RIESGO ACEPTABLE</v>
      </c>
      <c r="AN339" s="31"/>
      <c r="AO339" s="31"/>
      <c r="AP339" s="31"/>
      <c r="AQ339" s="31" t="s">
        <v>92</v>
      </c>
      <c r="AR339" s="31" t="s">
        <v>93</v>
      </c>
      <c r="AS339" s="63" t="s">
        <v>94</v>
      </c>
    </row>
    <row r="340" spans="1:45" ht="38.4" x14ac:dyDescent="0.25">
      <c r="A340" s="124" t="s">
        <v>1163</v>
      </c>
      <c r="B340" s="123" t="s">
        <v>1133</v>
      </c>
      <c r="C340" s="121" t="s">
        <v>1167</v>
      </c>
      <c r="D340" s="122" t="s">
        <v>1168</v>
      </c>
      <c r="E340" s="31" t="s">
        <v>1118</v>
      </c>
      <c r="F340" s="138" t="s">
        <v>1169</v>
      </c>
      <c r="G340" s="138" t="s">
        <v>1169</v>
      </c>
      <c r="H340" s="31" t="s">
        <v>1121</v>
      </c>
      <c r="I340" s="31" t="s">
        <v>1122</v>
      </c>
      <c r="J340" s="31" t="s">
        <v>1123</v>
      </c>
      <c r="K340" s="31" t="s">
        <v>1124</v>
      </c>
      <c r="L340" s="68" t="s">
        <v>327</v>
      </c>
      <c r="M340" s="73" t="s">
        <v>84</v>
      </c>
      <c r="N340" s="73" t="s">
        <v>84</v>
      </c>
      <c r="O340" s="73" t="s">
        <v>1125</v>
      </c>
      <c r="P340" s="70">
        <v>2</v>
      </c>
      <c r="Q340" s="31">
        <v>4</v>
      </c>
      <c r="R340" s="33">
        <f t="shared" si="45"/>
        <v>8</v>
      </c>
      <c r="S340" s="33" t="str">
        <f t="shared" ref="S340:S351" si="51">IF(AND(R340&gt;=0,R340&lt;=4),"BAJO",IF(AND(R340&gt;=6,R340&lt;=8),"MEDIO",IF(AND(R340&gt;=10,R340&lt;=20),"ALTO",IF(AND(R340&gt;=24,R340&lt;=40),"MUY ALTO"))))</f>
        <v>MEDIO</v>
      </c>
      <c r="T340" s="33">
        <v>10</v>
      </c>
      <c r="U340" s="75">
        <f t="shared" si="42"/>
        <v>80</v>
      </c>
      <c r="V340" s="33" t="str">
        <f t="shared" si="43"/>
        <v>lll</v>
      </c>
      <c r="W340" s="74" t="str">
        <f t="shared" si="44"/>
        <v>SI</v>
      </c>
      <c r="X340" s="31">
        <v>10</v>
      </c>
      <c r="Y340" s="31" t="s">
        <v>133</v>
      </c>
      <c r="Z340" s="33" t="s">
        <v>87</v>
      </c>
      <c r="AA340" s="31"/>
      <c r="AB340" s="31"/>
      <c r="AC340" s="31" t="s">
        <v>1126</v>
      </c>
      <c r="AD340" s="31" t="s">
        <v>1127</v>
      </c>
      <c r="AE340" s="31"/>
      <c r="AF340" s="34" t="s">
        <v>146</v>
      </c>
      <c r="AG340" s="31">
        <v>0</v>
      </c>
      <c r="AH340" s="31">
        <v>4</v>
      </c>
      <c r="AI340" s="33">
        <f t="shared" si="46"/>
        <v>0</v>
      </c>
      <c r="AJ340" s="33" t="str">
        <f t="shared" si="47"/>
        <v>BAJO</v>
      </c>
      <c r="AK340" s="33">
        <v>10</v>
      </c>
      <c r="AL340" s="33">
        <f t="shared" si="50"/>
        <v>0</v>
      </c>
      <c r="AM340" s="33" t="str">
        <f t="shared" si="49"/>
        <v>RIESGO ACEPTABLE</v>
      </c>
      <c r="AN340" s="31" t="s">
        <v>1128</v>
      </c>
      <c r="AO340" s="31"/>
      <c r="AP340" s="31"/>
      <c r="AQ340" s="31" t="s">
        <v>1129</v>
      </c>
      <c r="AR340" s="31"/>
      <c r="AS340" s="63" t="s">
        <v>1130</v>
      </c>
    </row>
    <row r="341" spans="1:45" ht="38.4" x14ac:dyDescent="0.25">
      <c r="A341" s="124"/>
      <c r="B341" s="123"/>
      <c r="C341" s="121"/>
      <c r="D341" s="122"/>
      <c r="E341" s="31" t="s">
        <v>98</v>
      </c>
      <c r="F341" s="138"/>
      <c r="G341" s="138"/>
      <c r="H341" s="31" t="s">
        <v>1131</v>
      </c>
      <c r="I341" s="32" t="s">
        <v>129</v>
      </c>
      <c r="J341" s="32" t="s">
        <v>130</v>
      </c>
      <c r="K341" s="32" t="s">
        <v>104</v>
      </c>
      <c r="L341" s="68" t="s">
        <v>131</v>
      </c>
      <c r="M341" s="73" t="s">
        <v>84</v>
      </c>
      <c r="N341" s="73" t="s">
        <v>1166</v>
      </c>
      <c r="O341" s="73" t="s">
        <v>132</v>
      </c>
      <c r="P341" s="70">
        <v>2</v>
      </c>
      <c r="Q341" s="31">
        <v>3</v>
      </c>
      <c r="R341" s="33">
        <f t="shared" si="45"/>
        <v>6</v>
      </c>
      <c r="S341" s="33" t="str">
        <f t="shared" si="51"/>
        <v>MEDIO</v>
      </c>
      <c r="T341" s="33">
        <v>10</v>
      </c>
      <c r="U341" s="75">
        <f t="shared" ref="U341:U351" si="52">R341*T341</f>
        <v>60</v>
      </c>
      <c r="V341" s="33" t="str">
        <f t="shared" ref="V341:V351" si="53">IF(AND(U341&gt;=0,U341&lt;=20),"IV ",IF(AND(U341&gt;=40,U341&lt;=120),"lll",IF(AND(U341&gt;=150,U341&lt;=500),"ll",IF(AND(U341&gt;=600,U341&lt;=4000),"l"))))</f>
        <v>lll</v>
      </c>
      <c r="W341" s="74" t="str">
        <f t="shared" ref="W341:W351" si="54">IF(AND(V341="lV"),"SI",IF(AND(V341="lll"),"SI",IF(AND(V341="ll"),"NO",IF(AND(V341="l"),"NO"))))</f>
        <v>SI</v>
      </c>
      <c r="X341" s="31">
        <v>10</v>
      </c>
      <c r="Y341" s="31" t="s">
        <v>133</v>
      </c>
      <c r="Z341" s="33" t="s">
        <v>87</v>
      </c>
      <c r="AA341" s="31"/>
      <c r="AB341" s="31"/>
      <c r="AC341" s="31"/>
      <c r="AD341" s="31" t="s">
        <v>134</v>
      </c>
      <c r="AE341" s="31"/>
      <c r="AF341" s="34" t="s">
        <v>135</v>
      </c>
      <c r="AG341" s="31">
        <v>2</v>
      </c>
      <c r="AH341" s="31">
        <v>3</v>
      </c>
      <c r="AI341" s="33">
        <f t="shared" si="46"/>
        <v>6</v>
      </c>
      <c r="AJ341" s="33" t="str">
        <f t="shared" si="47"/>
        <v>MEDIO</v>
      </c>
      <c r="AK341" s="33">
        <v>10</v>
      </c>
      <c r="AL341" s="33">
        <f t="shared" si="50"/>
        <v>60</v>
      </c>
      <c r="AM341" s="33" t="str">
        <f t="shared" si="49"/>
        <v>RIESGO ACEPTABLE</v>
      </c>
      <c r="AN341" s="31"/>
      <c r="AO341" s="31"/>
      <c r="AP341" s="31"/>
      <c r="AQ341" s="31" t="s">
        <v>136</v>
      </c>
      <c r="AR341" s="31" t="s">
        <v>93</v>
      </c>
      <c r="AS341" s="63" t="s">
        <v>137</v>
      </c>
    </row>
    <row r="342" spans="1:45" ht="96" x14ac:dyDescent="0.25">
      <c r="A342" s="124"/>
      <c r="B342" s="228"/>
      <c r="C342" s="131"/>
      <c r="D342" s="134"/>
      <c r="E342" s="30" t="s">
        <v>98</v>
      </c>
      <c r="F342" s="229"/>
      <c r="G342" s="229"/>
      <c r="H342" s="30" t="s">
        <v>79</v>
      </c>
      <c r="I342" s="30" t="s">
        <v>80</v>
      </c>
      <c r="J342" s="30" t="s">
        <v>81</v>
      </c>
      <c r="K342" s="30" t="s">
        <v>82</v>
      </c>
      <c r="L342" s="69" t="s">
        <v>83</v>
      </c>
      <c r="M342" s="73" t="s">
        <v>84</v>
      </c>
      <c r="N342" s="73" t="s">
        <v>1166</v>
      </c>
      <c r="O342" s="7" t="s">
        <v>85</v>
      </c>
      <c r="P342" s="70">
        <v>2</v>
      </c>
      <c r="Q342" s="30">
        <v>2</v>
      </c>
      <c r="R342" s="64">
        <f t="shared" si="45"/>
        <v>4</v>
      </c>
      <c r="S342" s="33" t="str">
        <f t="shared" si="51"/>
        <v>BAJO</v>
      </c>
      <c r="T342" s="33">
        <v>10</v>
      </c>
      <c r="U342" s="75">
        <f t="shared" si="52"/>
        <v>40</v>
      </c>
      <c r="V342" s="33" t="str">
        <f t="shared" si="53"/>
        <v>lll</v>
      </c>
      <c r="W342" s="74" t="str">
        <f t="shared" si="54"/>
        <v>SI</v>
      </c>
      <c r="X342" s="31">
        <v>10</v>
      </c>
      <c r="Y342" s="31" t="s">
        <v>86</v>
      </c>
      <c r="Z342" s="33" t="s">
        <v>87</v>
      </c>
      <c r="AA342" s="30"/>
      <c r="AB342" s="30"/>
      <c r="AC342" s="30"/>
      <c r="AD342" s="30"/>
      <c r="AE342" s="30" t="s">
        <v>88</v>
      </c>
      <c r="AF342" s="65" t="s">
        <v>89</v>
      </c>
      <c r="AG342" s="30">
        <v>2</v>
      </c>
      <c r="AH342" s="30">
        <v>2</v>
      </c>
      <c r="AI342" s="64">
        <f t="shared" si="46"/>
        <v>4</v>
      </c>
      <c r="AJ342" s="64" t="str">
        <f t="shared" si="47"/>
        <v>BAJO</v>
      </c>
      <c r="AK342" s="64">
        <v>10</v>
      </c>
      <c r="AL342" s="64">
        <f t="shared" si="50"/>
        <v>40</v>
      </c>
      <c r="AM342" s="64" t="str">
        <f t="shared" si="49"/>
        <v>RIESGO ACEPTABLE</v>
      </c>
      <c r="AN342" s="30"/>
      <c r="AO342" s="30"/>
      <c r="AP342" s="30"/>
      <c r="AQ342" s="30" t="s">
        <v>92</v>
      </c>
      <c r="AR342" s="30" t="s">
        <v>93</v>
      </c>
      <c r="AS342" s="66" t="s">
        <v>94</v>
      </c>
    </row>
    <row r="343" spans="1:45" ht="38.4" x14ac:dyDescent="0.25">
      <c r="A343" s="137" t="s">
        <v>1163</v>
      </c>
      <c r="B343" s="123" t="s">
        <v>835</v>
      </c>
      <c r="C343" s="121" t="s">
        <v>1170</v>
      </c>
      <c r="D343" s="122" t="s">
        <v>1171</v>
      </c>
      <c r="E343" s="31" t="s">
        <v>1118</v>
      </c>
      <c r="F343" s="138" t="s">
        <v>1172</v>
      </c>
      <c r="G343" s="138" t="s">
        <v>1172</v>
      </c>
      <c r="H343" s="31" t="s">
        <v>1121</v>
      </c>
      <c r="I343" s="31" t="s">
        <v>1122</v>
      </c>
      <c r="J343" s="31" t="s">
        <v>1123</v>
      </c>
      <c r="K343" s="31" t="s">
        <v>1124</v>
      </c>
      <c r="L343" s="68" t="s">
        <v>327</v>
      </c>
      <c r="M343" s="73" t="s">
        <v>84</v>
      </c>
      <c r="N343" s="73" t="s">
        <v>84</v>
      </c>
      <c r="O343" s="73" t="s">
        <v>1125</v>
      </c>
      <c r="P343" s="70">
        <v>2</v>
      </c>
      <c r="Q343" s="31">
        <v>4</v>
      </c>
      <c r="R343" s="33">
        <f t="shared" si="45"/>
        <v>8</v>
      </c>
      <c r="S343" s="33" t="str">
        <f t="shared" si="51"/>
        <v>MEDIO</v>
      </c>
      <c r="T343" s="33">
        <v>10</v>
      </c>
      <c r="U343" s="75">
        <f t="shared" si="52"/>
        <v>80</v>
      </c>
      <c r="V343" s="33" t="str">
        <f t="shared" si="53"/>
        <v>lll</v>
      </c>
      <c r="W343" s="74" t="str">
        <f t="shared" si="54"/>
        <v>SI</v>
      </c>
      <c r="X343" s="31">
        <v>10</v>
      </c>
      <c r="Y343" s="31" t="s">
        <v>133</v>
      </c>
      <c r="Z343" s="33" t="s">
        <v>87</v>
      </c>
      <c r="AA343" s="31"/>
      <c r="AB343" s="31"/>
      <c r="AC343" s="31" t="s">
        <v>1126</v>
      </c>
      <c r="AD343" s="31" t="s">
        <v>1127</v>
      </c>
      <c r="AE343" s="31"/>
      <c r="AF343" s="34" t="s">
        <v>146</v>
      </c>
      <c r="AG343" s="31">
        <v>0</v>
      </c>
      <c r="AH343" s="31">
        <v>4</v>
      </c>
      <c r="AI343" s="33">
        <f t="shared" si="46"/>
        <v>0</v>
      </c>
      <c r="AJ343" s="33" t="str">
        <f t="shared" si="47"/>
        <v>BAJO</v>
      </c>
      <c r="AK343" s="33">
        <v>10</v>
      </c>
      <c r="AL343" s="33">
        <f t="shared" si="50"/>
        <v>0</v>
      </c>
      <c r="AM343" s="33" t="str">
        <f t="shared" si="49"/>
        <v>RIESGO ACEPTABLE</v>
      </c>
      <c r="AN343" s="31" t="s">
        <v>1128</v>
      </c>
      <c r="AO343" s="31"/>
      <c r="AP343" s="31"/>
      <c r="AQ343" s="31" t="s">
        <v>1129</v>
      </c>
      <c r="AR343" s="31"/>
      <c r="AS343" s="31" t="s">
        <v>1130</v>
      </c>
    </row>
    <row r="344" spans="1:45" ht="38.4" x14ac:dyDescent="0.25">
      <c r="A344" s="137"/>
      <c r="B344" s="123"/>
      <c r="C344" s="121"/>
      <c r="D344" s="122"/>
      <c r="E344" s="31" t="s">
        <v>98</v>
      </c>
      <c r="F344" s="138"/>
      <c r="G344" s="138"/>
      <c r="H344" s="31" t="s">
        <v>1131</v>
      </c>
      <c r="I344" s="32" t="s">
        <v>129</v>
      </c>
      <c r="J344" s="32" t="s">
        <v>130</v>
      </c>
      <c r="K344" s="32" t="s">
        <v>104</v>
      </c>
      <c r="L344" s="68" t="s">
        <v>131</v>
      </c>
      <c r="M344" s="73" t="s">
        <v>84</v>
      </c>
      <c r="N344" s="73" t="s">
        <v>1173</v>
      </c>
      <c r="O344" s="73" t="s">
        <v>132</v>
      </c>
      <c r="P344" s="70">
        <v>2</v>
      </c>
      <c r="Q344" s="31">
        <v>3</v>
      </c>
      <c r="R344" s="33">
        <f t="shared" si="45"/>
        <v>6</v>
      </c>
      <c r="S344" s="33" t="str">
        <f t="shared" si="51"/>
        <v>MEDIO</v>
      </c>
      <c r="T344" s="33">
        <v>10</v>
      </c>
      <c r="U344" s="75">
        <f t="shared" si="52"/>
        <v>60</v>
      </c>
      <c r="V344" s="33" t="str">
        <f t="shared" si="53"/>
        <v>lll</v>
      </c>
      <c r="W344" s="74" t="str">
        <f t="shared" si="54"/>
        <v>SI</v>
      </c>
      <c r="X344" s="31">
        <v>10</v>
      </c>
      <c r="Y344" s="31" t="s">
        <v>133</v>
      </c>
      <c r="Z344" s="33" t="s">
        <v>87</v>
      </c>
      <c r="AA344" s="31"/>
      <c r="AB344" s="31"/>
      <c r="AC344" s="31"/>
      <c r="AD344" s="31" t="s">
        <v>134</v>
      </c>
      <c r="AE344" s="31"/>
      <c r="AF344" s="34" t="s">
        <v>135</v>
      </c>
      <c r="AG344" s="31">
        <v>2</v>
      </c>
      <c r="AH344" s="31">
        <v>3</v>
      </c>
      <c r="AI344" s="33">
        <f t="shared" si="46"/>
        <v>6</v>
      </c>
      <c r="AJ344" s="33" t="str">
        <f t="shared" si="47"/>
        <v>MEDIO</v>
      </c>
      <c r="AK344" s="33">
        <v>10</v>
      </c>
      <c r="AL344" s="33">
        <f t="shared" si="50"/>
        <v>60</v>
      </c>
      <c r="AM344" s="33" t="str">
        <f t="shared" si="49"/>
        <v>RIESGO ACEPTABLE</v>
      </c>
      <c r="AN344" s="31"/>
      <c r="AO344" s="31"/>
      <c r="AP344" s="31"/>
      <c r="AQ344" s="31" t="s">
        <v>136</v>
      </c>
      <c r="AR344" s="31" t="s">
        <v>93</v>
      </c>
      <c r="AS344" s="31" t="s">
        <v>137</v>
      </c>
    </row>
    <row r="345" spans="1:45" ht="137.4" customHeight="1" x14ac:dyDescent="0.25">
      <c r="A345" s="227"/>
      <c r="B345" s="123"/>
      <c r="C345" s="121"/>
      <c r="D345" s="122"/>
      <c r="E345" s="31" t="s">
        <v>98</v>
      </c>
      <c r="F345" s="138"/>
      <c r="G345" s="138"/>
      <c r="H345" s="31" t="s">
        <v>79</v>
      </c>
      <c r="I345" s="31" t="s">
        <v>80</v>
      </c>
      <c r="J345" s="31" t="s">
        <v>81</v>
      </c>
      <c r="K345" s="31" t="s">
        <v>82</v>
      </c>
      <c r="L345" s="68" t="s">
        <v>83</v>
      </c>
      <c r="M345" s="73" t="s">
        <v>84</v>
      </c>
      <c r="N345" s="73" t="s">
        <v>1173</v>
      </c>
      <c r="O345" s="7" t="s">
        <v>85</v>
      </c>
      <c r="P345" s="70">
        <v>2</v>
      </c>
      <c r="Q345" s="31">
        <v>2</v>
      </c>
      <c r="R345" s="33">
        <f t="shared" si="45"/>
        <v>4</v>
      </c>
      <c r="S345" s="33" t="str">
        <f t="shared" si="51"/>
        <v>BAJO</v>
      </c>
      <c r="T345" s="33">
        <v>10</v>
      </c>
      <c r="U345" s="75">
        <f t="shared" si="52"/>
        <v>40</v>
      </c>
      <c r="V345" s="33" t="str">
        <f t="shared" si="53"/>
        <v>lll</v>
      </c>
      <c r="W345" s="74" t="str">
        <f t="shared" si="54"/>
        <v>SI</v>
      </c>
      <c r="X345" s="31">
        <v>10</v>
      </c>
      <c r="Y345" s="31" t="s">
        <v>86</v>
      </c>
      <c r="Z345" s="33" t="s">
        <v>87</v>
      </c>
      <c r="AA345" s="31"/>
      <c r="AB345" s="31"/>
      <c r="AC345" s="31"/>
      <c r="AD345" s="31"/>
      <c r="AE345" s="31" t="s">
        <v>88</v>
      </c>
      <c r="AF345" s="34" t="s">
        <v>89</v>
      </c>
      <c r="AG345" s="31">
        <v>2</v>
      </c>
      <c r="AH345" s="31">
        <v>2</v>
      </c>
      <c r="AI345" s="33">
        <f t="shared" si="46"/>
        <v>4</v>
      </c>
      <c r="AJ345" s="33" t="str">
        <f t="shared" si="47"/>
        <v>BAJO</v>
      </c>
      <c r="AK345" s="33">
        <v>10</v>
      </c>
      <c r="AL345" s="33">
        <f t="shared" si="50"/>
        <v>40</v>
      </c>
      <c r="AM345" s="33" t="str">
        <f t="shared" si="49"/>
        <v>RIESGO ACEPTABLE</v>
      </c>
      <c r="AN345" s="31"/>
      <c r="AO345" s="31"/>
      <c r="AP345" s="31"/>
      <c r="AQ345" s="31" t="s">
        <v>92</v>
      </c>
      <c r="AR345" s="31" t="s">
        <v>93</v>
      </c>
      <c r="AS345" s="31" t="s">
        <v>94</v>
      </c>
    </row>
    <row r="346" spans="1:45" ht="38.4" x14ac:dyDescent="0.25">
      <c r="A346" s="119" t="s">
        <v>1174</v>
      </c>
      <c r="B346" s="120" t="s">
        <v>1175</v>
      </c>
      <c r="C346" s="121" t="s">
        <v>1176</v>
      </c>
      <c r="D346" s="122" t="s">
        <v>1177</v>
      </c>
      <c r="E346" s="31" t="s">
        <v>1118</v>
      </c>
      <c r="F346" s="138" t="s">
        <v>1178</v>
      </c>
      <c r="G346" s="138" t="s">
        <v>1179</v>
      </c>
      <c r="H346" s="31" t="s">
        <v>1121</v>
      </c>
      <c r="I346" s="31" t="s">
        <v>1122</v>
      </c>
      <c r="J346" s="31" t="s">
        <v>1123</v>
      </c>
      <c r="K346" s="31" t="s">
        <v>1124</v>
      </c>
      <c r="L346" s="68" t="s">
        <v>327</v>
      </c>
      <c r="M346" s="73" t="s">
        <v>84</v>
      </c>
      <c r="N346" s="73" t="s">
        <v>84</v>
      </c>
      <c r="O346" s="73" t="s">
        <v>1125</v>
      </c>
      <c r="P346" s="70">
        <v>2</v>
      </c>
      <c r="Q346" s="31">
        <v>4</v>
      </c>
      <c r="R346" s="33">
        <f t="shared" si="45"/>
        <v>8</v>
      </c>
      <c r="S346" s="33" t="str">
        <f t="shared" si="51"/>
        <v>MEDIO</v>
      </c>
      <c r="T346" s="33">
        <v>10</v>
      </c>
      <c r="U346" s="75">
        <f t="shared" si="52"/>
        <v>80</v>
      </c>
      <c r="V346" s="33" t="str">
        <f t="shared" si="53"/>
        <v>lll</v>
      </c>
      <c r="W346" s="74" t="str">
        <f t="shared" si="54"/>
        <v>SI</v>
      </c>
      <c r="X346" s="31">
        <v>5</v>
      </c>
      <c r="Y346" s="31" t="s">
        <v>133</v>
      </c>
      <c r="Z346" s="33" t="s">
        <v>87</v>
      </c>
      <c r="AA346" s="31"/>
      <c r="AB346" s="31"/>
      <c r="AC346" s="31" t="s">
        <v>1126</v>
      </c>
      <c r="AD346" s="31" t="s">
        <v>1127</v>
      </c>
      <c r="AE346" s="31"/>
      <c r="AF346" s="34" t="s">
        <v>146</v>
      </c>
      <c r="AG346" s="31">
        <v>0</v>
      </c>
      <c r="AH346" s="31">
        <v>4</v>
      </c>
      <c r="AI346" s="33">
        <f t="shared" si="46"/>
        <v>0</v>
      </c>
      <c r="AJ346" s="33" t="str">
        <f t="shared" si="47"/>
        <v>BAJO</v>
      </c>
      <c r="AK346" s="33">
        <v>10</v>
      </c>
      <c r="AL346" s="33">
        <f t="shared" si="50"/>
        <v>0</v>
      </c>
      <c r="AM346" s="33" t="str">
        <f t="shared" si="49"/>
        <v>RIESGO ACEPTABLE</v>
      </c>
      <c r="AN346" s="31" t="s">
        <v>1128</v>
      </c>
      <c r="AO346" s="31"/>
      <c r="AP346" s="31"/>
      <c r="AQ346" s="31" t="s">
        <v>1129</v>
      </c>
      <c r="AR346" s="31"/>
      <c r="AS346" s="31" t="s">
        <v>1130</v>
      </c>
    </row>
    <row r="347" spans="1:45" ht="38.4" x14ac:dyDescent="0.25">
      <c r="A347" s="119"/>
      <c r="B347" s="120"/>
      <c r="C347" s="121"/>
      <c r="D347" s="122"/>
      <c r="E347" s="31" t="s">
        <v>98</v>
      </c>
      <c r="F347" s="138"/>
      <c r="G347" s="138"/>
      <c r="H347" s="31" t="s">
        <v>1131</v>
      </c>
      <c r="I347" s="32" t="s">
        <v>129</v>
      </c>
      <c r="J347" s="32" t="s">
        <v>130</v>
      </c>
      <c r="K347" s="32" t="s">
        <v>104</v>
      </c>
      <c r="L347" s="68" t="s">
        <v>131</v>
      </c>
      <c r="M347" s="73" t="s">
        <v>84</v>
      </c>
      <c r="N347" s="73" t="s">
        <v>84</v>
      </c>
      <c r="O347" s="73" t="s">
        <v>132</v>
      </c>
      <c r="P347" s="70">
        <v>2</v>
      </c>
      <c r="Q347" s="31">
        <v>3</v>
      </c>
      <c r="R347" s="33">
        <f t="shared" si="45"/>
        <v>6</v>
      </c>
      <c r="S347" s="33" t="str">
        <f t="shared" si="51"/>
        <v>MEDIO</v>
      </c>
      <c r="T347" s="33">
        <v>10</v>
      </c>
      <c r="U347" s="75">
        <f t="shared" si="52"/>
        <v>60</v>
      </c>
      <c r="V347" s="33" t="str">
        <f t="shared" si="53"/>
        <v>lll</v>
      </c>
      <c r="W347" s="74" t="str">
        <f t="shared" si="54"/>
        <v>SI</v>
      </c>
      <c r="X347" s="31">
        <v>5</v>
      </c>
      <c r="Y347" s="31" t="s">
        <v>133</v>
      </c>
      <c r="Z347" s="33" t="s">
        <v>87</v>
      </c>
      <c r="AA347" s="31"/>
      <c r="AB347" s="31"/>
      <c r="AC347" s="31"/>
      <c r="AD347" s="31" t="s">
        <v>134</v>
      </c>
      <c r="AE347" s="31"/>
      <c r="AF347" s="34" t="s">
        <v>135</v>
      </c>
      <c r="AG347" s="31">
        <v>2</v>
      </c>
      <c r="AH347" s="31">
        <v>3</v>
      </c>
      <c r="AI347" s="33">
        <f t="shared" si="46"/>
        <v>6</v>
      </c>
      <c r="AJ347" s="33" t="str">
        <f t="shared" si="47"/>
        <v>MEDIO</v>
      </c>
      <c r="AK347" s="33">
        <v>10</v>
      </c>
      <c r="AL347" s="33">
        <f t="shared" si="50"/>
        <v>60</v>
      </c>
      <c r="AM347" s="33" t="str">
        <f t="shared" si="49"/>
        <v>RIESGO ACEPTABLE</v>
      </c>
      <c r="AN347" s="31"/>
      <c r="AO347" s="31"/>
      <c r="AP347" s="31"/>
      <c r="AQ347" s="31" t="s">
        <v>136</v>
      </c>
      <c r="AR347" s="31" t="s">
        <v>93</v>
      </c>
      <c r="AS347" s="31" t="s">
        <v>137</v>
      </c>
    </row>
    <row r="348" spans="1:45" ht="96" x14ac:dyDescent="0.25">
      <c r="A348" s="119"/>
      <c r="B348" s="120"/>
      <c r="C348" s="121"/>
      <c r="D348" s="122"/>
      <c r="E348" s="31" t="s">
        <v>98</v>
      </c>
      <c r="F348" s="138"/>
      <c r="G348" s="138"/>
      <c r="H348" s="31" t="s">
        <v>79</v>
      </c>
      <c r="I348" s="31" t="s">
        <v>80</v>
      </c>
      <c r="J348" s="31" t="s">
        <v>81</v>
      </c>
      <c r="K348" s="31" t="s">
        <v>82</v>
      </c>
      <c r="L348" s="68" t="s">
        <v>83</v>
      </c>
      <c r="M348" s="73" t="s">
        <v>84</v>
      </c>
      <c r="N348" s="73" t="s">
        <v>84</v>
      </c>
      <c r="O348" s="7" t="s">
        <v>85</v>
      </c>
      <c r="P348" s="70">
        <v>2</v>
      </c>
      <c r="Q348" s="31">
        <v>2</v>
      </c>
      <c r="R348" s="33">
        <f t="shared" si="45"/>
        <v>4</v>
      </c>
      <c r="S348" s="33" t="str">
        <f t="shared" si="51"/>
        <v>BAJO</v>
      </c>
      <c r="T348" s="33">
        <v>10</v>
      </c>
      <c r="U348" s="75">
        <f t="shared" si="52"/>
        <v>40</v>
      </c>
      <c r="V348" s="67" t="str">
        <f t="shared" si="53"/>
        <v>lll</v>
      </c>
      <c r="W348" s="13" t="str">
        <f t="shared" si="54"/>
        <v>SI</v>
      </c>
      <c r="X348" s="72">
        <v>5</v>
      </c>
      <c r="Y348" s="31" t="s">
        <v>86</v>
      </c>
      <c r="Z348" s="33" t="s">
        <v>87</v>
      </c>
      <c r="AA348" s="31"/>
      <c r="AB348" s="31"/>
      <c r="AC348" s="31"/>
      <c r="AD348" s="31"/>
      <c r="AE348" s="31" t="s">
        <v>88</v>
      </c>
      <c r="AF348" s="34" t="s">
        <v>89</v>
      </c>
      <c r="AG348" s="31">
        <v>2</v>
      </c>
      <c r="AH348" s="31">
        <v>2</v>
      </c>
      <c r="AI348" s="33">
        <f t="shared" si="46"/>
        <v>4</v>
      </c>
      <c r="AJ348" s="33" t="str">
        <f t="shared" si="47"/>
        <v>BAJO</v>
      </c>
      <c r="AK348" s="33">
        <v>10</v>
      </c>
      <c r="AL348" s="33">
        <f t="shared" si="50"/>
        <v>40</v>
      </c>
      <c r="AM348" s="33" t="str">
        <f t="shared" si="49"/>
        <v>RIESGO ACEPTABLE</v>
      </c>
      <c r="AN348" s="31"/>
      <c r="AO348" s="31"/>
      <c r="AP348" s="31"/>
      <c r="AQ348" s="31" t="s">
        <v>92</v>
      </c>
      <c r="AR348" s="31" t="s">
        <v>93</v>
      </c>
      <c r="AS348" s="31" t="s">
        <v>94</v>
      </c>
    </row>
    <row r="349" spans="1:45" ht="38.4" x14ac:dyDescent="0.25">
      <c r="A349" s="119" t="s">
        <v>1180</v>
      </c>
      <c r="B349" s="120" t="s">
        <v>1175</v>
      </c>
      <c r="C349" s="121" t="s">
        <v>1181</v>
      </c>
      <c r="D349" s="122" t="s">
        <v>1182</v>
      </c>
      <c r="E349" s="31" t="s">
        <v>1118</v>
      </c>
      <c r="F349" s="138" t="s">
        <v>1178</v>
      </c>
      <c r="G349" s="138" t="s">
        <v>1179</v>
      </c>
      <c r="H349" s="31" t="s">
        <v>1121</v>
      </c>
      <c r="I349" s="31" t="s">
        <v>1122</v>
      </c>
      <c r="J349" s="31" t="s">
        <v>1123</v>
      </c>
      <c r="K349" s="31" t="s">
        <v>1124</v>
      </c>
      <c r="L349" s="68" t="s">
        <v>327</v>
      </c>
      <c r="M349" s="73" t="s">
        <v>84</v>
      </c>
      <c r="N349" s="73" t="s">
        <v>84</v>
      </c>
      <c r="O349" s="73" t="s">
        <v>1125</v>
      </c>
      <c r="P349" s="70">
        <v>2</v>
      </c>
      <c r="Q349" s="31">
        <v>4</v>
      </c>
      <c r="R349" s="33">
        <f t="shared" si="45"/>
        <v>8</v>
      </c>
      <c r="S349" s="33" t="str">
        <f t="shared" si="51"/>
        <v>MEDIO</v>
      </c>
      <c r="T349" s="33">
        <v>10</v>
      </c>
      <c r="U349" s="75">
        <f t="shared" si="52"/>
        <v>80</v>
      </c>
      <c r="V349" s="33" t="str">
        <f t="shared" si="53"/>
        <v>lll</v>
      </c>
      <c r="W349" s="74" t="str">
        <f t="shared" si="54"/>
        <v>SI</v>
      </c>
      <c r="X349" s="31">
        <v>5</v>
      </c>
      <c r="Y349" s="31" t="s">
        <v>133</v>
      </c>
      <c r="Z349" s="33" t="s">
        <v>87</v>
      </c>
      <c r="AA349" s="31"/>
      <c r="AB349" s="31"/>
      <c r="AC349" s="31" t="s">
        <v>1126</v>
      </c>
      <c r="AD349" s="31" t="s">
        <v>1127</v>
      </c>
      <c r="AE349" s="31"/>
      <c r="AF349" s="34" t="s">
        <v>146</v>
      </c>
      <c r="AG349" s="31">
        <v>0</v>
      </c>
      <c r="AH349" s="31">
        <v>4</v>
      </c>
      <c r="AI349" s="33">
        <f t="shared" si="46"/>
        <v>0</v>
      </c>
      <c r="AJ349" s="33" t="str">
        <f t="shared" si="47"/>
        <v>BAJO</v>
      </c>
      <c r="AK349" s="33">
        <v>10</v>
      </c>
      <c r="AL349" s="33">
        <f t="shared" si="50"/>
        <v>0</v>
      </c>
      <c r="AM349" s="33" t="str">
        <f t="shared" si="49"/>
        <v>RIESGO ACEPTABLE</v>
      </c>
      <c r="AN349" s="31" t="s">
        <v>1128</v>
      </c>
      <c r="AO349" s="31"/>
      <c r="AP349" s="31"/>
      <c r="AQ349" s="31" t="s">
        <v>1129</v>
      </c>
      <c r="AR349" s="31"/>
      <c r="AS349" s="31" t="s">
        <v>1130</v>
      </c>
    </row>
    <row r="350" spans="1:45" ht="38.4" x14ac:dyDescent="0.25">
      <c r="A350" s="119"/>
      <c r="B350" s="120"/>
      <c r="C350" s="121"/>
      <c r="D350" s="122"/>
      <c r="E350" s="31" t="s">
        <v>98</v>
      </c>
      <c r="F350" s="138"/>
      <c r="G350" s="138"/>
      <c r="H350" s="31" t="s">
        <v>1131</v>
      </c>
      <c r="I350" s="32" t="s">
        <v>129</v>
      </c>
      <c r="J350" s="32" t="s">
        <v>130</v>
      </c>
      <c r="K350" s="32" t="s">
        <v>104</v>
      </c>
      <c r="L350" s="68" t="s">
        <v>131</v>
      </c>
      <c r="M350" s="73" t="s">
        <v>84</v>
      </c>
      <c r="N350" s="73" t="s">
        <v>84</v>
      </c>
      <c r="O350" s="73" t="s">
        <v>132</v>
      </c>
      <c r="P350" s="70">
        <v>2</v>
      </c>
      <c r="Q350" s="31">
        <v>3</v>
      </c>
      <c r="R350" s="33">
        <f t="shared" ref="R350:R351" si="55">P350*Q350</f>
        <v>6</v>
      </c>
      <c r="S350" s="33" t="str">
        <f t="shared" si="51"/>
        <v>MEDIO</v>
      </c>
      <c r="T350" s="33">
        <v>10</v>
      </c>
      <c r="U350" s="75">
        <f t="shared" si="52"/>
        <v>60</v>
      </c>
      <c r="V350" s="33" t="str">
        <f t="shared" si="53"/>
        <v>lll</v>
      </c>
      <c r="W350" s="74" t="str">
        <f t="shared" si="54"/>
        <v>SI</v>
      </c>
      <c r="X350" s="31">
        <v>5</v>
      </c>
      <c r="Y350" s="31" t="s">
        <v>133</v>
      </c>
      <c r="Z350" s="33" t="s">
        <v>87</v>
      </c>
      <c r="AA350" s="31"/>
      <c r="AB350" s="31"/>
      <c r="AC350" s="31"/>
      <c r="AD350" s="31" t="s">
        <v>134</v>
      </c>
      <c r="AE350" s="31"/>
      <c r="AF350" s="34" t="s">
        <v>135</v>
      </c>
      <c r="AG350" s="31">
        <v>2</v>
      </c>
      <c r="AH350" s="31">
        <v>3</v>
      </c>
      <c r="AI350" s="33">
        <f t="shared" si="46"/>
        <v>6</v>
      </c>
      <c r="AJ350" s="33" t="str">
        <f t="shared" si="47"/>
        <v>MEDIO</v>
      </c>
      <c r="AK350" s="33">
        <v>10</v>
      </c>
      <c r="AL350" s="33">
        <f t="shared" si="50"/>
        <v>60</v>
      </c>
      <c r="AM350" s="33" t="str">
        <f t="shared" si="49"/>
        <v>RIESGO ACEPTABLE</v>
      </c>
      <c r="AN350" s="31"/>
      <c r="AO350" s="31"/>
      <c r="AP350" s="31"/>
      <c r="AQ350" s="31" t="s">
        <v>136</v>
      </c>
      <c r="AR350" s="31" t="s">
        <v>93</v>
      </c>
      <c r="AS350" s="31" t="s">
        <v>137</v>
      </c>
    </row>
    <row r="351" spans="1:45" ht="96" x14ac:dyDescent="0.25">
      <c r="A351" s="119"/>
      <c r="B351" s="120"/>
      <c r="C351" s="121"/>
      <c r="D351" s="122"/>
      <c r="E351" s="31" t="s">
        <v>98</v>
      </c>
      <c r="F351" s="138"/>
      <c r="G351" s="138"/>
      <c r="H351" s="31" t="s">
        <v>79</v>
      </c>
      <c r="I351" s="31" t="s">
        <v>80</v>
      </c>
      <c r="J351" s="31" t="s">
        <v>81</v>
      </c>
      <c r="K351" s="31" t="s">
        <v>82</v>
      </c>
      <c r="L351" s="68" t="s">
        <v>83</v>
      </c>
      <c r="M351" s="73" t="s">
        <v>84</v>
      </c>
      <c r="N351" s="73" t="s">
        <v>84</v>
      </c>
      <c r="O351" s="7" t="s">
        <v>85</v>
      </c>
      <c r="P351" s="70">
        <v>2</v>
      </c>
      <c r="Q351" s="31">
        <v>2</v>
      </c>
      <c r="R351" s="33">
        <f t="shared" si="55"/>
        <v>4</v>
      </c>
      <c r="S351" s="33" t="str">
        <f t="shared" si="51"/>
        <v>BAJO</v>
      </c>
      <c r="T351" s="33">
        <v>10</v>
      </c>
      <c r="U351" s="75">
        <f t="shared" si="52"/>
        <v>40</v>
      </c>
      <c r="V351" s="67" t="str">
        <f t="shared" si="53"/>
        <v>lll</v>
      </c>
      <c r="W351" s="13" t="str">
        <f t="shared" si="54"/>
        <v>SI</v>
      </c>
      <c r="X351" s="72">
        <v>5</v>
      </c>
      <c r="Y351" s="31" t="s">
        <v>86</v>
      </c>
      <c r="Z351" s="33" t="s">
        <v>87</v>
      </c>
      <c r="AA351" s="31"/>
      <c r="AB351" s="31"/>
      <c r="AC351" s="31"/>
      <c r="AD351" s="31"/>
      <c r="AE351" s="31" t="s">
        <v>88</v>
      </c>
      <c r="AF351" s="34" t="s">
        <v>89</v>
      </c>
      <c r="AG351" s="31">
        <v>2</v>
      </c>
      <c r="AH351" s="31">
        <v>2</v>
      </c>
      <c r="AI351" s="33">
        <f t="shared" si="46"/>
        <v>4</v>
      </c>
      <c r="AJ351" s="33" t="str">
        <f t="shared" si="47"/>
        <v>BAJO</v>
      </c>
      <c r="AK351" s="33">
        <v>10</v>
      </c>
      <c r="AL351" s="33">
        <f t="shared" si="50"/>
        <v>40</v>
      </c>
      <c r="AM351" s="33" t="str">
        <f t="shared" si="49"/>
        <v>RIESGO ACEPTABLE</v>
      </c>
      <c r="AN351" s="31"/>
      <c r="AO351" s="31"/>
      <c r="AP351" s="31"/>
      <c r="AQ351" s="31" t="s">
        <v>92</v>
      </c>
      <c r="AR351" s="31" t="s">
        <v>93</v>
      </c>
      <c r="AS351" s="31" t="s">
        <v>94</v>
      </c>
    </row>
    <row r="352" spans="1:45" ht="21" x14ac:dyDescent="0.25">
      <c r="A352" s="29"/>
      <c r="B352" s="17"/>
      <c r="C352" s="4"/>
      <c r="D352" s="21"/>
    </row>
    <row r="353" spans="1:4" ht="21" x14ac:dyDescent="0.25">
      <c r="A353" s="29"/>
      <c r="B353" s="17"/>
      <c r="C353" s="4"/>
      <c r="D353" s="21"/>
    </row>
    <row r="354" spans="1:4" ht="21" x14ac:dyDescent="0.25">
      <c r="A354" s="29"/>
      <c r="B354" s="17"/>
      <c r="C354" s="4"/>
      <c r="D354" s="21"/>
    </row>
    <row r="355" spans="1:4" ht="21" x14ac:dyDescent="0.25">
      <c r="A355" s="29"/>
      <c r="B355" s="17"/>
      <c r="C355" s="4"/>
      <c r="D355" s="21"/>
    </row>
    <row r="356" spans="1:4" ht="21" x14ac:dyDescent="0.25">
      <c r="A356" s="17"/>
      <c r="B356" s="17"/>
      <c r="C356" s="4"/>
      <c r="D356" s="21"/>
    </row>
    <row r="357" spans="1:4" ht="21" x14ac:dyDescent="0.25">
      <c r="A357" s="17"/>
      <c r="B357" s="17"/>
      <c r="C357" s="4"/>
      <c r="D357" s="21"/>
    </row>
    <row r="358" spans="1:4" ht="21" x14ac:dyDescent="0.25">
      <c r="A358" s="17"/>
      <c r="B358" s="17"/>
      <c r="C358" s="4"/>
      <c r="D358" s="21"/>
    </row>
    <row r="359" spans="1:4" ht="21" x14ac:dyDescent="0.25">
      <c r="A359" s="17"/>
      <c r="B359" s="17"/>
      <c r="C359" s="4"/>
      <c r="D359" s="21"/>
    </row>
    <row r="360" spans="1:4" ht="21" x14ac:dyDescent="0.25">
      <c r="A360" s="17"/>
      <c r="B360" s="17"/>
      <c r="C360" s="4"/>
      <c r="D360" s="21"/>
    </row>
    <row r="361" spans="1:4" ht="21" x14ac:dyDescent="0.25">
      <c r="A361" s="17"/>
      <c r="B361" s="17"/>
      <c r="C361" s="4"/>
      <c r="D361" s="21"/>
    </row>
    <row r="362" spans="1:4" ht="21" x14ac:dyDescent="0.25">
      <c r="A362" s="17"/>
      <c r="B362" s="17"/>
      <c r="C362" s="4"/>
      <c r="D362" s="21"/>
    </row>
    <row r="363" spans="1:4" ht="21" x14ac:dyDescent="0.25">
      <c r="A363" s="17"/>
      <c r="B363" s="17"/>
      <c r="C363" s="4"/>
      <c r="D363" s="21"/>
    </row>
    <row r="364" spans="1:4" ht="21" x14ac:dyDescent="0.25">
      <c r="A364" s="17"/>
      <c r="B364" s="17"/>
      <c r="C364" s="4"/>
      <c r="D364" s="21"/>
    </row>
    <row r="365" spans="1:4" ht="21" x14ac:dyDescent="0.25">
      <c r="A365" s="17"/>
      <c r="B365" s="17"/>
      <c r="C365" s="4"/>
      <c r="D365" s="21"/>
    </row>
    <row r="366" spans="1:4" ht="21" x14ac:dyDescent="0.25">
      <c r="A366" s="17"/>
      <c r="B366" s="17"/>
      <c r="C366" s="4"/>
      <c r="D366" s="21"/>
    </row>
    <row r="367" spans="1:4" ht="21" x14ac:dyDescent="0.25">
      <c r="A367" s="17"/>
      <c r="B367" s="17"/>
      <c r="C367" s="4"/>
      <c r="D367" s="21"/>
    </row>
    <row r="368" spans="1:4" ht="21" x14ac:dyDescent="0.25">
      <c r="A368" s="17"/>
      <c r="B368" s="17"/>
      <c r="C368" s="4"/>
      <c r="D368" s="21"/>
    </row>
    <row r="369" spans="1:4" ht="21" x14ac:dyDescent="0.25">
      <c r="A369" s="17"/>
      <c r="B369" s="17"/>
      <c r="C369" s="4"/>
      <c r="D369" s="21"/>
    </row>
    <row r="370" spans="1:4" ht="21" x14ac:dyDescent="0.25">
      <c r="A370" s="17"/>
      <c r="B370" s="17"/>
      <c r="C370" s="4"/>
      <c r="D370" s="21"/>
    </row>
    <row r="371" spans="1:4" ht="21" x14ac:dyDescent="0.25">
      <c r="A371" s="17"/>
      <c r="B371" s="17"/>
      <c r="C371" s="4"/>
      <c r="D371" s="21"/>
    </row>
    <row r="372" spans="1:4" ht="21" x14ac:dyDescent="0.25">
      <c r="A372" s="17"/>
      <c r="B372" s="17"/>
      <c r="C372" s="4"/>
      <c r="D372" s="21"/>
    </row>
    <row r="373" spans="1:4" ht="21" x14ac:dyDescent="0.25">
      <c r="A373" s="17"/>
      <c r="B373" s="17"/>
      <c r="C373" s="4"/>
      <c r="D373" s="21"/>
    </row>
    <row r="374" spans="1:4" ht="21" x14ac:dyDescent="0.25">
      <c r="A374" s="17"/>
      <c r="B374" s="17"/>
      <c r="C374" s="4"/>
      <c r="D374" s="21"/>
    </row>
    <row r="375" spans="1:4" ht="21" x14ac:dyDescent="0.25">
      <c r="A375" s="17"/>
      <c r="B375" s="17"/>
      <c r="C375" s="4"/>
      <c r="D375" s="21"/>
    </row>
    <row r="376" spans="1:4" ht="21" x14ac:dyDescent="0.25">
      <c r="A376" s="17"/>
      <c r="B376" s="17"/>
      <c r="C376" s="4"/>
      <c r="D376" s="21"/>
    </row>
    <row r="377" spans="1:4" ht="21" x14ac:dyDescent="0.25">
      <c r="A377" s="17"/>
      <c r="B377" s="17"/>
      <c r="C377" s="4"/>
      <c r="D377" s="21"/>
    </row>
    <row r="378" spans="1:4" ht="21" x14ac:dyDescent="0.25">
      <c r="A378" s="17"/>
      <c r="B378" s="17"/>
      <c r="C378" s="4"/>
      <c r="D378" s="21"/>
    </row>
    <row r="379" spans="1:4" ht="21" x14ac:dyDescent="0.25">
      <c r="A379" s="17"/>
      <c r="B379" s="17"/>
      <c r="C379" s="4"/>
      <c r="D379" s="21"/>
    </row>
    <row r="380" spans="1:4" ht="21" x14ac:dyDescent="0.25">
      <c r="A380" s="17"/>
      <c r="B380" s="17"/>
      <c r="C380" s="4"/>
      <c r="D380" s="21"/>
    </row>
    <row r="381" spans="1:4" ht="21" x14ac:dyDescent="0.25">
      <c r="A381" s="17"/>
      <c r="B381" s="17"/>
      <c r="C381" s="4"/>
      <c r="D381" s="21"/>
    </row>
    <row r="382" spans="1:4" ht="21" x14ac:dyDescent="0.25">
      <c r="A382" s="17"/>
      <c r="B382" s="17"/>
      <c r="C382" s="4"/>
      <c r="D382" s="21"/>
    </row>
    <row r="383" spans="1:4" ht="21" x14ac:dyDescent="0.25">
      <c r="A383" s="17"/>
      <c r="B383" s="17"/>
      <c r="C383" s="4"/>
      <c r="D383" s="21"/>
    </row>
    <row r="384" spans="1:4" ht="21" x14ac:dyDescent="0.25">
      <c r="A384" s="17"/>
      <c r="B384" s="17"/>
      <c r="C384" s="4"/>
      <c r="D384" s="21"/>
    </row>
    <row r="385" spans="1:4" ht="21" x14ac:dyDescent="0.25">
      <c r="A385" s="17"/>
      <c r="B385" s="17"/>
      <c r="C385" s="4"/>
      <c r="D385" s="21"/>
    </row>
    <row r="386" spans="1:4" ht="21" x14ac:dyDescent="0.25">
      <c r="A386" s="17"/>
      <c r="B386" s="17"/>
      <c r="C386" s="4"/>
      <c r="D386" s="21"/>
    </row>
    <row r="387" spans="1:4" ht="21" x14ac:dyDescent="0.25">
      <c r="A387" s="17"/>
      <c r="B387" s="17"/>
      <c r="C387" s="4"/>
      <c r="D387" s="21"/>
    </row>
    <row r="388" spans="1:4" ht="21" x14ac:dyDescent="0.25">
      <c r="A388" s="17"/>
      <c r="B388" s="17"/>
      <c r="C388" s="4"/>
      <c r="D388" s="21"/>
    </row>
    <row r="389" spans="1:4" ht="21" x14ac:dyDescent="0.25">
      <c r="A389" s="17"/>
      <c r="B389" s="17"/>
      <c r="C389" s="4"/>
      <c r="D389" s="21"/>
    </row>
    <row r="390" spans="1:4" ht="21" x14ac:dyDescent="0.25">
      <c r="A390" s="17"/>
      <c r="B390" s="17"/>
      <c r="C390" s="4"/>
      <c r="D390" s="21"/>
    </row>
    <row r="391" spans="1:4" ht="21" x14ac:dyDescent="0.25">
      <c r="A391" s="17"/>
      <c r="B391" s="17"/>
      <c r="C391" s="4"/>
      <c r="D391" s="21"/>
    </row>
    <row r="392" spans="1:4" ht="21" x14ac:dyDescent="0.25">
      <c r="A392" s="17"/>
      <c r="B392" s="17"/>
      <c r="C392" s="4"/>
      <c r="D392" s="21"/>
    </row>
    <row r="393" spans="1:4" ht="21" x14ac:dyDescent="0.25">
      <c r="A393" s="17"/>
      <c r="B393" s="17"/>
      <c r="C393" s="4"/>
      <c r="D393" s="21"/>
    </row>
    <row r="394" spans="1:4" ht="21" x14ac:dyDescent="0.25">
      <c r="A394" s="17"/>
      <c r="B394" s="17"/>
      <c r="C394" s="4"/>
      <c r="D394" s="21"/>
    </row>
    <row r="395" spans="1:4" ht="21" x14ac:dyDescent="0.25">
      <c r="A395" s="17"/>
      <c r="B395" s="17"/>
      <c r="C395" s="4"/>
      <c r="D395" s="21"/>
    </row>
    <row r="396" spans="1:4" ht="21" x14ac:dyDescent="0.25">
      <c r="A396" s="17"/>
      <c r="B396" s="17"/>
      <c r="C396" s="4"/>
      <c r="D396" s="21"/>
    </row>
    <row r="397" spans="1:4" ht="21" x14ac:dyDescent="0.25">
      <c r="A397" s="17"/>
      <c r="B397" s="17"/>
      <c r="C397" s="4"/>
      <c r="D397" s="21"/>
    </row>
    <row r="398" spans="1:4" ht="21" x14ac:dyDescent="0.25">
      <c r="A398" s="17"/>
      <c r="B398" s="17"/>
      <c r="C398" s="4"/>
      <c r="D398" s="21"/>
    </row>
    <row r="399" spans="1:4" ht="21" x14ac:dyDescent="0.25">
      <c r="A399" s="17"/>
      <c r="B399" s="17"/>
      <c r="C399" s="4"/>
      <c r="D399" s="21"/>
    </row>
    <row r="400" spans="1:4" ht="21" x14ac:dyDescent="0.25">
      <c r="A400" s="17"/>
      <c r="B400" s="17"/>
      <c r="C400" s="4"/>
      <c r="D400" s="21"/>
    </row>
    <row r="401" spans="1:4" ht="21" x14ac:dyDescent="0.25">
      <c r="A401" s="17"/>
      <c r="B401" s="17"/>
      <c r="C401" s="4"/>
      <c r="D401" s="21"/>
    </row>
    <row r="402" spans="1:4" ht="21" x14ac:dyDescent="0.25">
      <c r="A402" s="17"/>
      <c r="B402" s="17"/>
      <c r="C402" s="4"/>
      <c r="D402" s="21"/>
    </row>
    <row r="403" spans="1:4" ht="21" x14ac:dyDescent="0.25">
      <c r="A403" s="17"/>
      <c r="B403" s="17"/>
      <c r="C403" s="4"/>
      <c r="D403" s="21"/>
    </row>
    <row r="404" spans="1:4" ht="21" x14ac:dyDescent="0.25">
      <c r="A404" s="17"/>
      <c r="B404" s="17"/>
      <c r="C404" s="4"/>
      <c r="D404" s="21"/>
    </row>
    <row r="405" spans="1:4" ht="21" x14ac:dyDescent="0.25">
      <c r="A405" s="17"/>
      <c r="B405" s="17"/>
      <c r="C405" s="4"/>
      <c r="D405" s="21"/>
    </row>
    <row r="406" spans="1:4" ht="21" x14ac:dyDescent="0.25">
      <c r="A406" s="17"/>
      <c r="B406" s="17"/>
      <c r="C406" s="4"/>
      <c r="D406" s="21"/>
    </row>
    <row r="407" spans="1:4" ht="21" x14ac:dyDescent="0.25">
      <c r="A407" s="17"/>
      <c r="B407" s="17"/>
      <c r="C407" s="4"/>
      <c r="D407" s="21"/>
    </row>
    <row r="408" spans="1:4" ht="21" x14ac:dyDescent="0.25">
      <c r="A408" s="17"/>
      <c r="B408" s="17"/>
      <c r="C408" s="4"/>
      <c r="D408" s="21"/>
    </row>
    <row r="409" spans="1:4" ht="21" x14ac:dyDescent="0.25">
      <c r="A409" s="17"/>
      <c r="B409" s="17"/>
      <c r="C409" s="4"/>
      <c r="D409" s="21"/>
    </row>
    <row r="410" spans="1:4" ht="21" x14ac:dyDescent="0.25">
      <c r="A410" s="17"/>
      <c r="B410" s="17"/>
      <c r="C410" s="4"/>
      <c r="D410" s="21"/>
    </row>
    <row r="411" spans="1:4" ht="21" x14ac:dyDescent="0.25">
      <c r="A411" s="17"/>
      <c r="B411" s="17"/>
      <c r="C411" s="4"/>
      <c r="D411" s="21"/>
    </row>
    <row r="412" spans="1:4" ht="21" x14ac:dyDescent="0.25">
      <c r="A412" s="17"/>
      <c r="B412" s="17"/>
      <c r="C412" s="4"/>
      <c r="D412" s="21"/>
    </row>
    <row r="413" spans="1:4" ht="21" x14ac:dyDescent="0.25">
      <c r="A413" s="17"/>
      <c r="B413" s="17"/>
      <c r="C413" s="4"/>
      <c r="D413" s="21"/>
    </row>
    <row r="414" spans="1:4" ht="21" x14ac:dyDescent="0.25">
      <c r="A414" s="17"/>
      <c r="B414" s="17"/>
      <c r="C414" s="4"/>
      <c r="D414" s="21"/>
    </row>
    <row r="415" spans="1:4" ht="21" x14ac:dyDescent="0.25">
      <c r="A415" s="17"/>
      <c r="B415" s="17"/>
      <c r="C415" s="4"/>
      <c r="D415" s="21"/>
    </row>
    <row r="416" spans="1:4" ht="21" x14ac:dyDescent="0.25">
      <c r="A416" s="17"/>
      <c r="B416" s="17"/>
      <c r="C416" s="4"/>
      <c r="D416" s="21"/>
    </row>
    <row r="417" spans="1:4" ht="21" x14ac:dyDescent="0.25">
      <c r="A417" s="17"/>
      <c r="B417" s="17"/>
      <c r="C417" s="4"/>
      <c r="D417" s="21"/>
    </row>
    <row r="418" spans="1:4" ht="21" x14ac:dyDescent="0.25">
      <c r="A418" s="17"/>
      <c r="B418" s="17"/>
      <c r="C418" s="4"/>
      <c r="D418" s="21"/>
    </row>
    <row r="419" spans="1:4" ht="21" x14ac:dyDescent="0.25">
      <c r="A419" s="17"/>
      <c r="B419" s="17"/>
      <c r="C419" s="4"/>
      <c r="D419" s="21"/>
    </row>
    <row r="420" spans="1:4" ht="21" x14ac:dyDescent="0.25">
      <c r="A420" s="17"/>
      <c r="B420" s="17"/>
      <c r="C420" s="4"/>
      <c r="D420" s="21"/>
    </row>
    <row r="421" spans="1:4" ht="21" x14ac:dyDescent="0.25">
      <c r="A421" s="17"/>
      <c r="B421" s="17"/>
      <c r="C421" s="4"/>
      <c r="D421" s="21"/>
    </row>
    <row r="422" spans="1:4" ht="21" x14ac:dyDescent="0.25">
      <c r="A422" s="17"/>
      <c r="B422" s="17"/>
      <c r="C422" s="4"/>
      <c r="D422" s="21"/>
    </row>
    <row r="423" spans="1:4" ht="21" x14ac:dyDescent="0.25">
      <c r="A423" s="17"/>
      <c r="B423" s="17"/>
      <c r="C423" s="4"/>
      <c r="D423" s="21"/>
    </row>
    <row r="424" spans="1:4" ht="21" x14ac:dyDescent="0.25">
      <c r="A424" s="17"/>
      <c r="B424" s="17"/>
      <c r="C424" s="4"/>
      <c r="D424" s="21"/>
    </row>
    <row r="425" spans="1:4" ht="21" x14ac:dyDescent="0.25">
      <c r="A425" s="17"/>
      <c r="B425" s="17"/>
      <c r="C425" s="4"/>
      <c r="D425" s="21"/>
    </row>
    <row r="426" spans="1:4" ht="21" x14ac:dyDescent="0.25">
      <c r="A426" s="17"/>
      <c r="B426" s="17"/>
      <c r="C426" s="4"/>
      <c r="D426" s="21"/>
    </row>
    <row r="427" spans="1:4" ht="21" x14ac:dyDescent="0.25">
      <c r="A427" s="17"/>
      <c r="B427" s="17"/>
      <c r="C427" s="4"/>
      <c r="D427" s="21"/>
    </row>
    <row r="428" spans="1:4" ht="21" x14ac:dyDescent="0.25">
      <c r="A428" s="17"/>
      <c r="B428" s="17"/>
      <c r="C428" s="4"/>
      <c r="D428" s="21"/>
    </row>
    <row r="429" spans="1:4" ht="21" x14ac:dyDescent="0.25">
      <c r="A429" s="17"/>
      <c r="B429" s="17"/>
      <c r="C429" s="4"/>
      <c r="D429" s="21"/>
    </row>
    <row r="430" spans="1:4" ht="21" x14ac:dyDescent="0.25">
      <c r="A430" s="17"/>
      <c r="B430" s="17"/>
      <c r="C430" s="4"/>
      <c r="D430" s="21"/>
    </row>
    <row r="431" spans="1:4" ht="21" x14ac:dyDescent="0.25">
      <c r="A431" s="17"/>
      <c r="B431" s="17"/>
      <c r="C431" s="4"/>
      <c r="D431" s="21"/>
    </row>
    <row r="432" spans="1:4" ht="21" x14ac:dyDescent="0.25">
      <c r="A432" s="17"/>
      <c r="B432" s="17"/>
      <c r="C432" s="4"/>
      <c r="D432" s="21"/>
    </row>
    <row r="433" spans="1:4" ht="21" x14ac:dyDescent="0.25">
      <c r="A433" s="17"/>
      <c r="B433" s="17"/>
      <c r="C433" s="4"/>
      <c r="D433" s="21"/>
    </row>
    <row r="434" spans="1:4" ht="21" x14ac:dyDescent="0.25">
      <c r="A434" s="17"/>
      <c r="B434" s="17"/>
      <c r="C434" s="4"/>
      <c r="D434" s="21"/>
    </row>
    <row r="435" spans="1:4" ht="21" x14ac:dyDescent="0.25">
      <c r="A435" s="17"/>
      <c r="B435" s="17"/>
      <c r="C435" s="4"/>
      <c r="D435" s="21"/>
    </row>
    <row r="436" spans="1:4" ht="21" x14ac:dyDescent="0.25">
      <c r="A436" s="17"/>
      <c r="B436" s="17"/>
      <c r="C436" s="4"/>
      <c r="D436" s="21"/>
    </row>
    <row r="437" spans="1:4" ht="21" x14ac:dyDescent="0.25">
      <c r="A437" s="17"/>
      <c r="B437" s="17"/>
      <c r="C437" s="4"/>
      <c r="D437" s="21"/>
    </row>
    <row r="438" spans="1:4" ht="21" x14ac:dyDescent="0.25">
      <c r="A438" s="17"/>
      <c r="B438" s="17"/>
      <c r="C438" s="4"/>
      <c r="D438" s="21"/>
    </row>
    <row r="439" spans="1:4" ht="21" x14ac:dyDescent="0.25">
      <c r="A439" s="17"/>
      <c r="B439" s="17"/>
      <c r="C439" s="4"/>
      <c r="D439" s="21"/>
    </row>
    <row r="440" spans="1:4" ht="21" x14ac:dyDescent="0.25">
      <c r="A440" s="17"/>
      <c r="B440" s="17"/>
      <c r="C440" s="4"/>
      <c r="D440" s="21"/>
    </row>
    <row r="441" spans="1:4" ht="21" x14ac:dyDescent="0.25">
      <c r="A441" s="17"/>
      <c r="B441" s="17"/>
      <c r="C441" s="4"/>
      <c r="D441" s="21"/>
    </row>
    <row r="442" spans="1:4" ht="21" x14ac:dyDescent="0.25">
      <c r="A442" s="17"/>
      <c r="B442" s="17"/>
      <c r="C442" s="4"/>
      <c r="D442" s="21"/>
    </row>
    <row r="443" spans="1:4" ht="21" x14ac:dyDescent="0.25">
      <c r="A443" s="17"/>
      <c r="B443" s="17"/>
      <c r="C443" s="4"/>
      <c r="D443" s="21"/>
    </row>
    <row r="444" spans="1:4" ht="21" x14ac:dyDescent="0.25">
      <c r="A444" s="17"/>
      <c r="B444" s="17"/>
      <c r="C444" s="4"/>
      <c r="D444" s="21"/>
    </row>
    <row r="445" spans="1:4" ht="21" x14ac:dyDescent="0.25">
      <c r="A445" s="17"/>
      <c r="B445" s="17"/>
      <c r="C445" s="4"/>
      <c r="D445" s="21"/>
    </row>
    <row r="446" spans="1:4" ht="21" x14ac:dyDescent="0.25">
      <c r="A446" s="17"/>
      <c r="B446" s="17"/>
      <c r="C446" s="4"/>
      <c r="D446" s="21"/>
    </row>
    <row r="447" spans="1:4" ht="21" x14ac:dyDescent="0.25">
      <c r="A447" s="17"/>
      <c r="B447" s="17"/>
      <c r="C447" s="4"/>
      <c r="D447" s="21"/>
    </row>
    <row r="448" spans="1:4" ht="21" x14ac:dyDescent="0.25">
      <c r="A448" s="17"/>
      <c r="B448" s="17"/>
      <c r="C448" s="4"/>
      <c r="D448" s="21"/>
    </row>
    <row r="449" spans="1:4" ht="21" x14ac:dyDescent="0.25">
      <c r="A449" s="17"/>
      <c r="B449" s="17"/>
      <c r="C449" s="4"/>
      <c r="D449" s="21"/>
    </row>
    <row r="450" spans="1:4" ht="21" x14ac:dyDescent="0.25">
      <c r="A450" s="17"/>
      <c r="B450" s="17"/>
      <c r="C450" s="4"/>
      <c r="D450" s="21"/>
    </row>
    <row r="451" spans="1:4" ht="21" x14ac:dyDescent="0.25">
      <c r="A451" s="17"/>
      <c r="B451" s="17"/>
      <c r="C451" s="4"/>
      <c r="D451" s="21"/>
    </row>
    <row r="452" spans="1:4" ht="21" x14ac:dyDescent="0.25">
      <c r="A452" s="17"/>
      <c r="B452" s="17"/>
      <c r="C452" s="4"/>
      <c r="D452" s="21"/>
    </row>
    <row r="453" spans="1:4" ht="21" x14ac:dyDescent="0.25">
      <c r="A453" s="17"/>
      <c r="B453" s="17"/>
      <c r="C453" s="4"/>
      <c r="D453" s="21"/>
    </row>
    <row r="454" spans="1:4" ht="21" x14ac:dyDescent="0.25">
      <c r="A454" s="17"/>
      <c r="B454" s="17"/>
      <c r="C454" s="4"/>
      <c r="D454" s="21"/>
    </row>
    <row r="455" spans="1:4" ht="21" x14ac:dyDescent="0.25">
      <c r="A455" s="17"/>
      <c r="B455" s="17"/>
      <c r="C455" s="4"/>
      <c r="D455" s="21"/>
    </row>
    <row r="456" spans="1:4" ht="21" x14ac:dyDescent="0.25">
      <c r="A456" s="17"/>
      <c r="B456" s="17"/>
      <c r="C456" s="4"/>
      <c r="D456" s="21"/>
    </row>
    <row r="457" spans="1:4" ht="21" x14ac:dyDescent="0.25">
      <c r="A457" s="17"/>
      <c r="B457" s="17"/>
      <c r="C457" s="4"/>
      <c r="D457" s="21"/>
    </row>
    <row r="458" spans="1:4" ht="21" x14ac:dyDescent="0.25">
      <c r="A458" s="17"/>
      <c r="B458" s="17"/>
      <c r="C458" s="4"/>
      <c r="D458" s="21"/>
    </row>
    <row r="459" spans="1:4" ht="21" x14ac:dyDescent="0.25">
      <c r="A459" s="17"/>
      <c r="B459" s="17"/>
      <c r="C459" s="4"/>
      <c r="D459" s="21"/>
    </row>
    <row r="460" spans="1:4" ht="21" x14ac:dyDescent="0.25">
      <c r="A460" s="17"/>
      <c r="B460" s="17"/>
      <c r="C460" s="4"/>
      <c r="D460" s="21"/>
    </row>
    <row r="461" spans="1:4" ht="21" x14ac:dyDescent="0.25">
      <c r="A461" s="17"/>
      <c r="B461" s="17"/>
      <c r="C461" s="4"/>
      <c r="D461" s="21"/>
    </row>
    <row r="462" spans="1:4" ht="21" x14ac:dyDescent="0.25">
      <c r="A462" s="17"/>
      <c r="B462" s="17"/>
      <c r="C462" s="4"/>
      <c r="D462" s="21"/>
    </row>
    <row r="463" spans="1:4" ht="21" x14ac:dyDescent="0.25">
      <c r="A463" s="17"/>
      <c r="B463" s="17"/>
      <c r="C463" s="4"/>
      <c r="D463" s="21"/>
    </row>
    <row r="464" spans="1:4" ht="21" x14ac:dyDescent="0.25">
      <c r="A464" s="17"/>
      <c r="B464" s="17"/>
      <c r="C464" s="4"/>
      <c r="D464" s="21"/>
    </row>
    <row r="465" spans="1:4" ht="21" x14ac:dyDescent="0.25">
      <c r="A465" s="17"/>
      <c r="B465" s="17"/>
      <c r="C465" s="4"/>
      <c r="D465" s="21"/>
    </row>
    <row r="466" spans="1:4" ht="21" x14ac:dyDescent="0.25">
      <c r="A466" s="17"/>
      <c r="B466" s="17"/>
      <c r="C466" s="4"/>
      <c r="D466" s="21"/>
    </row>
    <row r="467" spans="1:4" ht="21" x14ac:dyDescent="0.25">
      <c r="A467" s="17"/>
      <c r="B467" s="17"/>
      <c r="C467" s="4"/>
      <c r="D467" s="21"/>
    </row>
    <row r="468" spans="1:4" ht="21" x14ac:dyDescent="0.25">
      <c r="A468" s="17"/>
      <c r="B468" s="17"/>
      <c r="C468" s="4"/>
      <c r="D468" s="21"/>
    </row>
    <row r="469" spans="1:4" ht="21" x14ac:dyDescent="0.25">
      <c r="A469" s="17"/>
      <c r="B469" s="17"/>
      <c r="C469" s="4"/>
      <c r="D469" s="21"/>
    </row>
    <row r="470" spans="1:4" ht="21" x14ac:dyDescent="0.25">
      <c r="A470" s="17"/>
      <c r="B470" s="17"/>
      <c r="C470" s="4"/>
      <c r="D470" s="21"/>
    </row>
    <row r="471" spans="1:4" ht="21" x14ac:dyDescent="0.25">
      <c r="A471" s="17"/>
      <c r="B471" s="17"/>
      <c r="C471" s="4"/>
      <c r="D471" s="21"/>
    </row>
    <row r="472" spans="1:4" ht="21" x14ac:dyDescent="0.25">
      <c r="A472" s="17"/>
      <c r="B472" s="17"/>
      <c r="C472" s="4"/>
      <c r="D472" s="21"/>
    </row>
    <row r="473" spans="1:4" ht="21" x14ac:dyDescent="0.25">
      <c r="A473" s="17"/>
      <c r="B473" s="17"/>
      <c r="C473" s="4"/>
      <c r="D473" s="21"/>
    </row>
    <row r="474" spans="1:4" ht="21" x14ac:dyDescent="0.25">
      <c r="A474" s="17"/>
      <c r="B474" s="17"/>
      <c r="C474" s="4"/>
      <c r="D474" s="21"/>
    </row>
    <row r="475" spans="1:4" ht="21" x14ac:dyDescent="0.25">
      <c r="A475" s="17"/>
      <c r="B475" s="17"/>
      <c r="C475" s="4"/>
      <c r="D475" s="21"/>
    </row>
    <row r="476" spans="1:4" ht="21" x14ac:dyDescent="0.25">
      <c r="A476" s="17"/>
      <c r="B476" s="17"/>
      <c r="C476" s="4"/>
      <c r="D476" s="21"/>
    </row>
    <row r="477" spans="1:4" ht="21" x14ac:dyDescent="0.25">
      <c r="A477" s="17"/>
      <c r="B477" s="17"/>
      <c r="C477" s="4"/>
      <c r="D477" s="21"/>
    </row>
    <row r="478" spans="1:4" ht="21" x14ac:dyDescent="0.25">
      <c r="A478" s="17"/>
      <c r="B478" s="17"/>
      <c r="C478" s="4"/>
      <c r="D478" s="21"/>
    </row>
    <row r="479" spans="1:4" ht="21" x14ac:dyDescent="0.25">
      <c r="A479" s="17"/>
      <c r="B479" s="17"/>
      <c r="C479" s="4"/>
      <c r="D479" s="21"/>
    </row>
    <row r="480" spans="1:4" ht="21" x14ac:dyDescent="0.25">
      <c r="A480" s="17"/>
      <c r="B480" s="17"/>
      <c r="C480" s="4"/>
      <c r="D480" s="21"/>
    </row>
    <row r="481" spans="1:4" ht="21" x14ac:dyDescent="0.25">
      <c r="A481" s="17"/>
      <c r="B481" s="17"/>
      <c r="C481" s="4"/>
      <c r="D481" s="21"/>
    </row>
    <row r="482" spans="1:4" ht="21" x14ac:dyDescent="0.25">
      <c r="A482" s="17"/>
      <c r="B482" s="17"/>
      <c r="C482" s="4"/>
      <c r="D482" s="21"/>
    </row>
    <row r="483" spans="1:4" ht="21" x14ac:dyDescent="0.25">
      <c r="A483" s="17"/>
      <c r="B483" s="17"/>
      <c r="C483" s="4"/>
      <c r="D483" s="21"/>
    </row>
    <row r="484" spans="1:4" ht="21" x14ac:dyDescent="0.25">
      <c r="A484" s="17"/>
      <c r="B484" s="17"/>
      <c r="C484" s="4"/>
      <c r="D484" s="21"/>
    </row>
    <row r="485" spans="1:4" ht="21" x14ac:dyDescent="0.25">
      <c r="A485" s="17"/>
      <c r="B485" s="17"/>
      <c r="C485" s="4"/>
      <c r="D485" s="21"/>
    </row>
    <row r="486" spans="1:4" ht="21" x14ac:dyDescent="0.25">
      <c r="A486" s="17"/>
      <c r="B486" s="17"/>
      <c r="C486" s="4"/>
      <c r="D486" s="21"/>
    </row>
    <row r="487" spans="1:4" ht="21" x14ac:dyDescent="0.25">
      <c r="A487" s="17"/>
      <c r="B487" s="17"/>
      <c r="C487" s="4"/>
      <c r="D487" s="21"/>
    </row>
    <row r="488" spans="1:4" ht="21" x14ac:dyDescent="0.25">
      <c r="A488" s="17"/>
      <c r="B488" s="17"/>
      <c r="C488" s="4"/>
      <c r="D488" s="21"/>
    </row>
    <row r="489" spans="1:4" ht="21" x14ac:dyDescent="0.25">
      <c r="A489" s="17"/>
      <c r="B489" s="17"/>
      <c r="C489" s="4"/>
      <c r="D489" s="21"/>
    </row>
    <row r="490" spans="1:4" ht="21" x14ac:dyDescent="0.25">
      <c r="A490" s="17"/>
      <c r="B490" s="17"/>
      <c r="C490" s="4"/>
      <c r="D490" s="21"/>
    </row>
    <row r="491" spans="1:4" ht="21" x14ac:dyDescent="0.25">
      <c r="A491" s="17"/>
      <c r="B491" s="17"/>
      <c r="C491" s="4"/>
      <c r="D491" s="21"/>
    </row>
    <row r="492" spans="1:4" ht="21" x14ac:dyDescent="0.25">
      <c r="A492" s="17"/>
      <c r="B492" s="17"/>
      <c r="C492" s="4"/>
      <c r="D492" s="21"/>
    </row>
    <row r="493" spans="1:4" ht="21" x14ac:dyDescent="0.25">
      <c r="A493" s="17"/>
      <c r="B493" s="17"/>
      <c r="C493" s="4"/>
      <c r="D493" s="21"/>
    </row>
    <row r="494" spans="1:4" ht="21" x14ac:dyDescent="0.25">
      <c r="A494" s="17"/>
      <c r="B494" s="17"/>
      <c r="C494" s="4"/>
      <c r="D494" s="21"/>
    </row>
    <row r="495" spans="1:4" ht="21" x14ac:dyDescent="0.25">
      <c r="A495" s="17"/>
      <c r="B495" s="17"/>
      <c r="C495" s="4"/>
      <c r="D495" s="21"/>
    </row>
    <row r="496" spans="1:4" ht="21" x14ac:dyDescent="0.25">
      <c r="A496" s="17"/>
      <c r="B496" s="17"/>
      <c r="C496" s="4"/>
      <c r="D496" s="21"/>
    </row>
    <row r="497" spans="1:4" ht="21" x14ac:dyDescent="0.25">
      <c r="A497" s="17"/>
      <c r="B497" s="17"/>
      <c r="C497" s="4"/>
      <c r="D497" s="21"/>
    </row>
    <row r="498" spans="1:4" ht="21" x14ac:dyDescent="0.25">
      <c r="A498" s="17"/>
      <c r="B498" s="17"/>
      <c r="C498" s="4"/>
      <c r="D498" s="21"/>
    </row>
    <row r="499" spans="1:4" ht="21" x14ac:dyDescent="0.25">
      <c r="A499" s="17"/>
      <c r="B499" s="17"/>
      <c r="C499" s="4"/>
      <c r="D499" s="21"/>
    </row>
    <row r="500" spans="1:4" ht="21" x14ac:dyDescent="0.25">
      <c r="A500" s="17"/>
      <c r="B500" s="17"/>
      <c r="C500" s="4"/>
      <c r="D500" s="21"/>
    </row>
    <row r="501" spans="1:4" ht="21" x14ac:dyDescent="0.25">
      <c r="A501" s="17"/>
      <c r="B501" s="17"/>
      <c r="C501" s="4"/>
      <c r="D501" s="21"/>
    </row>
    <row r="502" spans="1:4" ht="21" x14ac:dyDescent="0.25">
      <c r="A502" s="17"/>
      <c r="B502" s="17"/>
      <c r="C502" s="4"/>
      <c r="D502" s="21"/>
    </row>
    <row r="503" spans="1:4" ht="21" x14ac:dyDescent="0.25">
      <c r="A503" s="17"/>
      <c r="B503" s="17"/>
      <c r="C503" s="4"/>
      <c r="D503" s="21"/>
    </row>
    <row r="504" spans="1:4" ht="21" x14ac:dyDescent="0.25">
      <c r="A504" s="17"/>
      <c r="B504" s="17"/>
      <c r="C504" s="4"/>
      <c r="D504" s="21"/>
    </row>
    <row r="505" spans="1:4" ht="21" x14ac:dyDescent="0.25">
      <c r="A505" s="17"/>
      <c r="B505" s="17"/>
      <c r="C505" s="4"/>
      <c r="D505" s="21"/>
    </row>
    <row r="506" spans="1:4" ht="21" x14ac:dyDescent="0.25">
      <c r="A506" s="17"/>
      <c r="B506" s="17"/>
      <c r="C506" s="4"/>
      <c r="D506" s="21"/>
    </row>
    <row r="507" spans="1:4" ht="21" x14ac:dyDescent="0.25">
      <c r="A507" s="17"/>
      <c r="B507" s="17"/>
      <c r="C507" s="4"/>
      <c r="D507" s="21"/>
    </row>
    <row r="508" spans="1:4" ht="21" x14ac:dyDescent="0.25">
      <c r="A508" s="17"/>
      <c r="B508" s="17"/>
      <c r="C508" s="4"/>
      <c r="D508" s="21"/>
    </row>
    <row r="509" spans="1:4" ht="21" x14ac:dyDescent="0.25">
      <c r="A509" s="17"/>
      <c r="B509" s="17"/>
      <c r="C509" s="4"/>
      <c r="D509" s="21"/>
    </row>
    <row r="510" spans="1:4" ht="21" x14ac:dyDescent="0.25">
      <c r="A510" s="17"/>
      <c r="B510" s="17"/>
      <c r="C510" s="4"/>
      <c r="D510" s="21"/>
    </row>
    <row r="511" spans="1:4" ht="21" x14ac:dyDescent="0.25">
      <c r="A511" s="17"/>
      <c r="B511" s="17"/>
      <c r="C511" s="4"/>
      <c r="D511" s="21"/>
    </row>
    <row r="512" spans="1:4" ht="21" x14ac:dyDescent="0.25">
      <c r="A512" s="17"/>
      <c r="B512" s="17"/>
      <c r="C512" s="4"/>
      <c r="D512" s="21"/>
    </row>
    <row r="513" spans="1:4" ht="21" x14ac:dyDescent="0.25">
      <c r="A513" s="17"/>
      <c r="B513" s="17"/>
      <c r="C513" s="4"/>
      <c r="D513" s="21"/>
    </row>
    <row r="514" spans="1:4" ht="21" x14ac:dyDescent="0.25">
      <c r="A514" s="17"/>
      <c r="B514" s="17"/>
      <c r="C514" s="4"/>
      <c r="D514" s="21"/>
    </row>
    <row r="515" spans="1:4" ht="21" x14ac:dyDescent="0.25">
      <c r="A515" s="17"/>
      <c r="B515" s="17"/>
      <c r="C515" s="4"/>
      <c r="D515" s="21"/>
    </row>
    <row r="516" spans="1:4" ht="21" x14ac:dyDescent="0.25">
      <c r="A516" s="17"/>
      <c r="B516" s="17"/>
      <c r="C516" s="4"/>
      <c r="D516" s="21"/>
    </row>
    <row r="517" spans="1:4" ht="21" x14ac:dyDescent="0.25">
      <c r="A517" s="17"/>
      <c r="B517" s="17"/>
      <c r="C517" s="4"/>
      <c r="D517" s="21"/>
    </row>
    <row r="518" spans="1:4" ht="21" x14ac:dyDescent="0.25">
      <c r="A518" s="17"/>
      <c r="B518" s="17"/>
      <c r="C518" s="4"/>
      <c r="D518" s="21"/>
    </row>
    <row r="519" spans="1:4" ht="21" x14ac:dyDescent="0.25">
      <c r="A519" s="17"/>
      <c r="B519" s="17"/>
      <c r="C519" s="4"/>
      <c r="D519" s="21"/>
    </row>
    <row r="520" spans="1:4" ht="21" x14ac:dyDescent="0.25">
      <c r="A520" s="17"/>
      <c r="B520" s="17"/>
      <c r="C520" s="4"/>
      <c r="D520" s="21"/>
    </row>
    <row r="521" spans="1:4" ht="21" x14ac:dyDescent="0.25">
      <c r="A521" s="17"/>
      <c r="B521" s="17"/>
      <c r="C521" s="4"/>
      <c r="D521" s="21"/>
    </row>
    <row r="522" spans="1:4" ht="21" x14ac:dyDescent="0.25">
      <c r="A522" s="17"/>
      <c r="B522" s="17"/>
      <c r="C522" s="4"/>
      <c r="D522" s="21"/>
    </row>
    <row r="523" spans="1:4" ht="21" x14ac:dyDescent="0.25">
      <c r="A523" s="17"/>
      <c r="B523" s="17"/>
      <c r="C523" s="4"/>
      <c r="D523" s="21"/>
    </row>
    <row r="524" spans="1:4" ht="21" x14ac:dyDescent="0.25">
      <c r="A524" s="17"/>
      <c r="B524" s="17"/>
      <c r="C524" s="4"/>
      <c r="D524" s="21"/>
    </row>
    <row r="525" spans="1:4" ht="21" x14ac:dyDescent="0.25">
      <c r="A525" s="17"/>
      <c r="B525" s="17"/>
      <c r="C525" s="4"/>
      <c r="D525" s="21"/>
    </row>
    <row r="526" spans="1:4" ht="21" x14ac:dyDescent="0.25">
      <c r="A526" s="17"/>
      <c r="B526" s="17"/>
      <c r="C526" s="4"/>
      <c r="D526" s="21"/>
    </row>
    <row r="527" spans="1:4" ht="21" x14ac:dyDescent="0.25">
      <c r="A527" s="17"/>
      <c r="B527" s="17"/>
      <c r="C527" s="4"/>
      <c r="D527" s="21"/>
    </row>
    <row r="528" spans="1:4" ht="21" x14ac:dyDescent="0.25">
      <c r="A528" s="17"/>
      <c r="B528" s="17"/>
      <c r="C528" s="4"/>
      <c r="D528" s="21"/>
    </row>
    <row r="529" spans="1:4" ht="21" x14ac:dyDescent="0.25">
      <c r="A529" s="17"/>
      <c r="B529" s="17"/>
      <c r="C529" s="4"/>
      <c r="D529" s="21"/>
    </row>
    <row r="530" spans="1:4" ht="21" x14ac:dyDescent="0.25">
      <c r="A530" s="17"/>
      <c r="B530" s="17"/>
      <c r="C530" s="4"/>
      <c r="D530" s="21"/>
    </row>
    <row r="531" spans="1:4" ht="21" x14ac:dyDescent="0.25">
      <c r="A531" s="17"/>
      <c r="B531" s="17"/>
      <c r="C531" s="4"/>
      <c r="D531" s="21"/>
    </row>
    <row r="532" spans="1:4" ht="21" x14ac:dyDescent="0.25">
      <c r="A532" s="17"/>
      <c r="B532" s="17"/>
      <c r="C532" s="4"/>
      <c r="D532" s="21"/>
    </row>
    <row r="533" spans="1:4" ht="21" x14ac:dyDescent="0.25">
      <c r="A533" s="17"/>
      <c r="B533" s="17"/>
      <c r="C533" s="4"/>
      <c r="D533" s="21"/>
    </row>
    <row r="534" spans="1:4" ht="21" x14ac:dyDescent="0.25">
      <c r="A534" s="17"/>
      <c r="B534" s="17"/>
      <c r="C534" s="4"/>
      <c r="D534" s="21"/>
    </row>
    <row r="535" spans="1:4" ht="21" x14ac:dyDescent="0.25">
      <c r="A535" s="17"/>
      <c r="B535" s="17"/>
      <c r="C535" s="4"/>
      <c r="D535" s="21"/>
    </row>
    <row r="536" spans="1:4" ht="21" x14ac:dyDescent="0.25">
      <c r="A536" s="17"/>
      <c r="B536" s="17"/>
      <c r="C536" s="4"/>
      <c r="D536" s="21"/>
    </row>
    <row r="537" spans="1:4" ht="21" x14ac:dyDescent="0.25">
      <c r="A537" s="17"/>
      <c r="B537" s="17"/>
      <c r="C537" s="4"/>
      <c r="D537" s="21"/>
    </row>
    <row r="538" spans="1:4" ht="21" x14ac:dyDescent="0.25">
      <c r="A538" s="17"/>
      <c r="B538" s="17"/>
      <c r="C538" s="4"/>
      <c r="D538" s="21"/>
    </row>
    <row r="539" spans="1:4" ht="21" x14ac:dyDescent="0.25">
      <c r="A539" s="17"/>
      <c r="B539" s="17"/>
      <c r="C539" s="4"/>
      <c r="D539" s="21"/>
    </row>
    <row r="540" spans="1:4" ht="21" x14ac:dyDescent="0.25">
      <c r="A540" s="17"/>
      <c r="B540" s="17"/>
      <c r="C540" s="4"/>
      <c r="D540" s="21"/>
    </row>
    <row r="541" spans="1:4" ht="21" x14ac:dyDescent="0.25">
      <c r="A541" s="17"/>
      <c r="B541" s="17"/>
      <c r="C541" s="4"/>
      <c r="D541" s="21"/>
    </row>
    <row r="542" spans="1:4" ht="21" x14ac:dyDescent="0.25">
      <c r="A542" s="17"/>
      <c r="B542" s="17"/>
      <c r="C542" s="4"/>
      <c r="D542" s="21"/>
    </row>
    <row r="543" spans="1:4" ht="21" x14ac:dyDescent="0.25">
      <c r="A543" s="17"/>
      <c r="B543" s="17"/>
      <c r="C543" s="4"/>
      <c r="D543" s="21"/>
    </row>
    <row r="544" spans="1:4" ht="21" x14ac:dyDescent="0.25">
      <c r="A544" s="17"/>
      <c r="B544" s="17"/>
      <c r="C544" s="4"/>
      <c r="D544" s="21"/>
    </row>
    <row r="545" spans="1:4" ht="21" x14ac:dyDescent="0.25">
      <c r="A545" s="17"/>
      <c r="B545" s="17"/>
      <c r="C545" s="4"/>
      <c r="D545" s="21"/>
    </row>
    <row r="546" spans="1:4" ht="21" x14ac:dyDescent="0.25">
      <c r="A546" s="17"/>
      <c r="B546" s="17"/>
      <c r="C546" s="4"/>
      <c r="D546" s="21"/>
    </row>
    <row r="547" spans="1:4" ht="21" x14ac:dyDescent="0.25">
      <c r="A547" s="17"/>
      <c r="B547" s="17"/>
      <c r="C547" s="4"/>
      <c r="D547" s="21"/>
    </row>
    <row r="548" spans="1:4" ht="21" x14ac:dyDescent="0.25">
      <c r="A548" s="17"/>
      <c r="B548" s="17"/>
      <c r="C548" s="4"/>
      <c r="D548" s="21"/>
    </row>
    <row r="549" spans="1:4" ht="21" x14ac:dyDescent="0.25">
      <c r="A549" s="17"/>
      <c r="B549" s="17"/>
      <c r="C549" s="4"/>
      <c r="D549" s="21"/>
    </row>
    <row r="550" spans="1:4" ht="21" x14ac:dyDescent="0.25">
      <c r="A550" s="17"/>
      <c r="B550" s="17"/>
      <c r="C550" s="4"/>
      <c r="D550" s="21"/>
    </row>
    <row r="551" spans="1:4" ht="21" x14ac:dyDescent="0.25">
      <c r="A551" s="17"/>
      <c r="B551" s="17"/>
      <c r="C551" s="4"/>
      <c r="D551" s="21"/>
    </row>
    <row r="552" spans="1:4" ht="21" x14ac:dyDescent="0.25">
      <c r="A552" s="17"/>
      <c r="B552" s="17"/>
      <c r="C552" s="4"/>
      <c r="D552" s="21"/>
    </row>
    <row r="553" spans="1:4" ht="21" x14ac:dyDescent="0.25">
      <c r="A553" s="17"/>
      <c r="B553" s="17"/>
      <c r="C553" s="4"/>
      <c r="D553" s="21"/>
    </row>
    <row r="554" spans="1:4" ht="21" x14ac:dyDescent="0.25">
      <c r="A554" s="17"/>
      <c r="B554" s="17"/>
      <c r="C554" s="4"/>
      <c r="D554" s="21"/>
    </row>
    <row r="555" spans="1:4" ht="21" x14ac:dyDescent="0.25">
      <c r="A555" s="17"/>
      <c r="B555" s="17"/>
      <c r="C555" s="4"/>
      <c r="D555" s="21"/>
    </row>
    <row r="556" spans="1:4" ht="21" x14ac:dyDescent="0.25">
      <c r="A556" s="17"/>
      <c r="B556" s="17"/>
      <c r="C556" s="4"/>
      <c r="D556" s="21"/>
    </row>
    <row r="557" spans="1:4" ht="21" x14ac:dyDescent="0.25">
      <c r="A557" s="17"/>
      <c r="B557" s="17"/>
      <c r="C557" s="4"/>
      <c r="D557" s="21"/>
    </row>
    <row r="558" spans="1:4" ht="21" x14ac:dyDescent="0.25">
      <c r="A558" s="17"/>
      <c r="B558" s="17"/>
      <c r="C558" s="4"/>
      <c r="D558" s="21"/>
    </row>
    <row r="559" spans="1:4" ht="21" x14ac:dyDescent="0.25">
      <c r="A559" s="17"/>
      <c r="B559" s="17"/>
      <c r="C559" s="4"/>
      <c r="D559" s="21"/>
    </row>
    <row r="560" spans="1:4" ht="21" x14ac:dyDescent="0.25">
      <c r="A560" s="17"/>
      <c r="B560" s="17"/>
      <c r="C560" s="4"/>
      <c r="D560" s="21"/>
    </row>
    <row r="561" spans="1:4" ht="21" x14ac:dyDescent="0.25">
      <c r="A561" s="17"/>
      <c r="B561" s="17"/>
      <c r="C561" s="4"/>
      <c r="D561" s="21"/>
    </row>
    <row r="562" spans="1:4" ht="21" x14ac:dyDescent="0.25">
      <c r="A562" s="17"/>
      <c r="B562" s="17"/>
      <c r="C562" s="4"/>
      <c r="D562" s="21"/>
    </row>
    <row r="563" spans="1:4" ht="21" x14ac:dyDescent="0.25">
      <c r="A563" s="17"/>
      <c r="B563" s="17"/>
      <c r="C563" s="4"/>
      <c r="D563" s="21"/>
    </row>
    <row r="564" spans="1:4" ht="21" x14ac:dyDescent="0.25">
      <c r="A564" s="17"/>
      <c r="B564" s="17"/>
      <c r="C564" s="4"/>
      <c r="D564" s="21"/>
    </row>
    <row r="565" spans="1:4" ht="21" x14ac:dyDescent="0.25">
      <c r="A565" s="17"/>
      <c r="B565" s="17"/>
      <c r="C565" s="4"/>
      <c r="D565" s="21"/>
    </row>
    <row r="566" spans="1:4" ht="21" x14ac:dyDescent="0.25">
      <c r="A566" s="17"/>
      <c r="B566" s="17"/>
      <c r="C566" s="4"/>
      <c r="D566" s="21"/>
    </row>
    <row r="567" spans="1:4" ht="21" x14ac:dyDescent="0.25">
      <c r="A567" s="17"/>
      <c r="B567" s="17"/>
      <c r="C567" s="4"/>
      <c r="D567" s="21"/>
    </row>
    <row r="568" spans="1:4" ht="21" x14ac:dyDescent="0.25">
      <c r="A568" s="17"/>
      <c r="B568" s="17"/>
      <c r="C568" s="4"/>
      <c r="D568" s="21"/>
    </row>
    <row r="569" spans="1:4" ht="21" x14ac:dyDescent="0.25">
      <c r="A569" s="17"/>
      <c r="B569" s="17"/>
      <c r="C569" s="4"/>
      <c r="D569" s="21"/>
    </row>
    <row r="570" spans="1:4" ht="21" x14ac:dyDescent="0.25">
      <c r="A570" s="17"/>
      <c r="B570" s="17"/>
      <c r="C570" s="4"/>
      <c r="D570" s="21"/>
    </row>
    <row r="571" spans="1:4" ht="21" x14ac:dyDescent="0.25">
      <c r="A571" s="17"/>
      <c r="B571" s="17"/>
      <c r="C571" s="4"/>
      <c r="D571" s="21"/>
    </row>
    <row r="572" spans="1:4" ht="21" x14ac:dyDescent="0.25">
      <c r="A572" s="17"/>
      <c r="B572" s="17"/>
      <c r="C572" s="4"/>
      <c r="D572" s="21"/>
    </row>
    <row r="573" spans="1:4" ht="21" x14ac:dyDescent="0.25">
      <c r="A573" s="17"/>
      <c r="B573" s="17"/>
      <c r="C573" s="4"/>
      <c r="D573" s="21"/>
    </row>
    <row r="574" spans="1:4" ht="21" x14ac:dyDescent="0.25">
      <c r="A574" s="17"/>
      <c r="B574" s="17"/>
      <c r="C574" s="4"/>
      <c r="D574" s="21"/>
    </row>
    <row r="575" spans="1:4" ht="21" x14ac:dyDescent="0.25">
      <c r="A575" s="17"/>
      <c r="B575" s="17"/>
      <c r="C575" s="4"/>
      <c r="D575" s="21"/>
    </row>
    <row r="576" spans="1:4" ht="21" x14ac:dyDescent="0.25">
      <c r="A576" s="17"/>
      <c r="B576" s="17"/>
      <c r="C576" s="4"/>
      <c r="D576" s="21"/>
    </row>
    <row r="577" spans="1:4" ht="21" x14ac:dyDescent="0.25">
      <c r="A577" s="17"/>
      <c r="B577" s="17"/>
      <c r="C577" s="4"/>
      <c r="D577" s="21"/>
    </row>
    <row r="578" spans="1:4" ht="21" x14ac:dyDescent="0.25">
      <c r="A578" s="17"/>
      <c r="B578" s="17"/>
      <c r="C578" s="4"/>
      <c r="D578" s="21"/>
    </row>
    <row r="579" spans="1:4" ht="21" x14ac:dyDescent="0.25">
      <c r="A579" s="17"/>
      <c r="B579" s="17"/>
      <c r="C579" s="4"/>
      <c r="D579" s="21"/>
    </row>
    <row r="580" spans="1:4" ht="21" x14ac:dyDescent="0.25">
      <c r="A580" s="17"/>
      <c r="B580" s="17"/>
      <c r="C580" s="4"/>
      <c r="D580" s="21"/>
    </row>
    <row r="581" spans="1:4" ht="21" x14ac:dyDescent="0.25">
      <c r="A581" s="17"/>
      <c r="B581" s="17"/>
      <c r="C581" s="4"/>
      <c r="D581" s="21"/>
    </row>
    <row r="582" spans="1:4" ht="21" x14ac:dyDescent="0.25">
      <c r="A582" s="17"/>
      <c r="B582" s="17"/>
      <c r="C582" s="4"/>
      <c r="D582" s="21"/>
    </row>
    <row r="583" spans="1:4" ht="21" x14ac:dyDescent="0.25">
      <c r="A583" s="17"/>
      <c r="B583" s="17"/>
      <c r="C583" s="4"/>
      <c r="D583" s="21"/>
    </row>
    <row r="584" spans="1:4" ht="21" x14ac:dyDescent="0.25">
      <c r="A584" s="17"/>
      <c r="B584" s="17"/>
      <c r="C584" s="4"/>
      <c r="D584" s="21"/>
    </row>
    <row r="585" spans="1:4" ht="21" x14ac:dyDescent="0.25">
      <c r="A585" s="17"/>
      <c r="B585" s="17"/>
      <c r="C585" s="4"/>
      <c r="D585" s="21"/>
    </row>
    <row r="586" spans="1:4" ht="21" x14ac:dyDescent="0.25">
      <c r="A586" s="17"/>
      <c r="B586" s="17"/>
      <c r="C586" s="4"/>
      <c r="D586" s="21"/>
    </row>
    <row r="587" spans="1:4" ht="21" x14ac:dyDescent="0.25">
      <c r="A587" s="17"/>
      <c r="B587" s="17"/>
      <c r="C587" s="4"/>
      <c r="D587" s="21"/>
    </row>
    <row r="588" spans="1:4" ht="21" x14ac:dyDescent="0.25">
      <c r="A588" s="17"/>
      <c r="B588" s="17"/>
      <c r="C588" s="4"/>
      <c r="D588" s="21"/>
    </row>
    <row r="589" spans="1:4" ht="21" x14ac:dyDescent="0.25">
      <c r="A589" s="17"/>
      <c r="B589" s="17"/>
      <c r="C589" s="4"/>
      <c r="D589" s="21"/>
    </row>
    <row r="590" spans="1:4" ht="21" x14ac:dyDescent="0.25">
      <c r="A590" s="17"/>
      <c r="B590" s="17"/>
      <c r="C590" s="4"/>
      <c r="D590" s="21"/>
    </row>
    <row r="591" spans="1:4" ht="21" x14ac:dyDescent="0.25">
      <c r="A591" s="17"/>
      <c r="B591" s="17"/>
      <c r="C591" s="4"/>
      <c r="D591" s="21"/>
    </row>
    <row r="592" spans="1:4" ht="21" x14ac:dyDescent="0.25">
      <c r="A592" s="17"/>
      <c r="B592" s="17"/>
      <c r="C592" s="4"/>
      <c r="D592" s="21"/>
    </row>
    <row r="593" spans="1:4" ht="21" x14ac:dyDescent="0.25">
      <c r="A593" s="17"/>
      <c r="B593" s="17"/>
      <c r="C593" s="4"/>
      <c r="D593" s="21"/>
    </row>
    <row r="594" spans="1:4" ht="21" x14ac:dyDescent="0.25">
      <c r="A594" s="17"/>
      <c r="B594" s="17"/>
      <c r="C594" s="4"/>
      <c r="D594" s="21"/>
    </row>
    <row r="595" spans="1:4" ht="21" x14ac:dyDescent="0.25">
      <c r="A595" s="17"/>
      <c r="B595" s="17"/>
      <c r="C595" s="4"/>
      <c r="D595" s="21"/>
    </row>
    <row r="596" spans="1:4" ht="21" x14ac:dyDescent="0.25">
      <c r="A596" s="17"/>
      <c r="B596" s="17"/>
      <c r="C596" s="4"/>
      <c r="D596" s="21"/>
    </row>
    <row r="597" spans="1:4" ht="21" x14ac:dyDescent="0.25">
      <c r="A597" s="17"/>
      <c r="B597" s="17"/>
      <c r="C597" s="4"/>
      <c r="D597" s="21"/>
    </row>
    <row r="598" spans="1:4" ht="21" x14ac:dyDescent="0.25">
      <c r="A598" s="17"/>
      <c r="B598" s="17"/>
      <c r="C598" s="4"/>
      <c r="D598" s="21"/>
    </row>
    <row r="599" spans="1:4" ht="21" x14ac:dyDescent="0.25">
      <c r="A599" s="17"/>
      <c r="B599" s="17"/>
      <c r="C599" s="4"/>
      <c r="D599" s="21"/>
    </row>
    <row r="600" spans="1:4" ht="21" x14ac:dyDescent="0.25">
      <c r="A600" s="17"/>
      <c r="B600" s="17"/>
      <c r="C600" s="4"/>
      <c r="D600" s="21"/>
    </row>
    <row r="601" spans="1:4" ht="21" x14ac:dyDescent="0.25">
      <c r="A601" s="17"/>
      <c r="B601" s="17"/>
      <c r="C601" s="4"/>
      <c r="D601" s="21"/>
    </row>
    <row r="602" spans="1:4" ht="21" x14ac:dyDescent="0.25">
      <c r="A602" s="17"/>
      <c r="B602" s="17"/>
      <c r="C602" s="4"/>
      <c r="D602" s="21"/>
    </row>
    <row r="603" spans="1:4" ht="21" x14ac:dyDescent="0.25">
      <c r="A603" s="17"/>
      <c r="B603" s="17"/>
      <c r="C603" s="4"/>
      <c r="D603" s="21"/>
    </row>
    <row r="604" spans="1:4" ht="21" x14ac:dyDescent="0.25">
      <c r="A604" s="17"/>
      <c r="B604" s="17"/>
      <c r="C604" s="4"/>
      <c r="D604" s="21"/>
    </row>
    <row r="605" spans="1:4" ht="21" x14ac:dyDescent="0.25">
      <c r="A605" s="17"/>
      <c r="B605" s="17"/>
      <c r="C605" s="4"/>
      <c r="D605" s="21"/>
    </row>
    <row r="606" spans="1:4" ht="21" x14ac:dyDescent="0.25">
      <c r="A606" s="17"/>
      <c r="B606" s="17"/>
      <c r="C606" s="4"/>
      <c r="D606" s="21"/>
    </row>
    <row r="607" spans="1:4" ht="21" x14ac:dyDescent="0.25">
      <c r="A607" s="17"/>
      <c r="B607" s="17"/>
      <c r="C607" s="4"/>
      <c r="D607" s="21"/>
    </row>
    <row r="608" spans="1:4" ht="21" x14ac:dyDescent="0.25">
      <c r="A608" s="17"/>
      <c r="B608" s="17"/>
      <c r="C608" s="4"/>
      <c r="D608" s="21"/>
    </row>
    <row r="609" spans="1:4" ht="21" x14ac:dyDescent="0.25">
      <c r="A609" s="17"/>
      <c r="B609" s="17"/>
      <c r="C609" s="4"/>
      <c r="D609" s="21"/>
    </row>
    <row r="610" spans="1:4" ht="21" x14ac:dyDescent="0.25">
      <c r="A610" s="17"/>
      <c r="B610" s="17"/>
      <c r="C610" s="4"/>
      <c r="D610" s="21"/>
    </row>
    <row r="611" spans="1:4" ht="21" x14ac:dyDescent="0.25">
      <c r="A611" s="17"/>
      <c r="B611" s="17"/>
      <c r="C611" s="4"/>
      <c r="D611" s="21"/>
    </row>
    <row r="612" spans="1:4" ht="21" x14ac:dyDescent="0.25">
      <c r="A612" s="17"/>
      <c r="B612" s="17"/>
      <c r="C612" s="4"/>
      <c r="D612" s="21"/>
    </row>
    <row r="613" spans="1:4" ht="21" x14ac:dyDescent="0.25">
      <c r="A613" s="17"/>
      <c r="B613" s="17"/>
      <c r="C613" s="4"/>
      <c r="D613" s="21"/>
    </row>
    <row r="614" spans="1:4" ht="21" x14ac:dyDescent="0.25">
      <c r="A614" s="17"/>
      <c r="B614" s="17"/>
      <c r="C614" s="4"/>
      <c r="D614" s="21"/>
    </row>
    <row r="615" spans="1:4" ht="21" x14ac:dyDescent="0.25">
      <c r="A615" s="17"/>
      <c r="B615" s="17"/>
      <c r="C615" s="4"/>
      <c r="D615" s="21"/>
    </row>
    <row r="616" spans="1:4" ht="21" x14ac:dyDescent="0.25">
      <c r="A616" s="17"/>
      <c r="B616" s="17"/>
      <c r="C616" s="4"/>
      <c r="D616" s="21"/>
    </row>
    <row r="617" spans="1:4" ht="21" x14ac:dyDescent="0.25">
      <c r="A617" s="17"/>
      <c r="B617" s="17"/>
      <c r="C617" s="4"/>
      <c r="D617" s="21"/>
    </row>
    <row r="618" spans="1:4" ht="21" x14ac:dyDescent="0.25">
      <c r="A618" s="17"/>
      <c r="B618" s="17"/>
      <c r="C618" s="4"/>
      <c r="D618" s="21"/>
    </row>
    <row r="619" spans="1:4" ht="21" x14ac:dyDescent="0.25">
      <c r="A619" s="17"/>
      <c r="B619" s="17"/>
      <c r="C619" s="4"/>
      <c r="D619" s="21"/>
    </row>
    <row r="620" spans="1:4" ht="21" x14ac:dyDescent="0.25">
      <c r="A620" s="17"/>
      <c r="B620" s="17"/>
      <c r="C620" s="4"/>
      <c r="D620" s="21"/>
    </row>
    <row r="621" spans="1:4" ht="21" x14ac:dyDescent="0.25">
      <c r="A621" s="17"/>
      <c r="B621" s="17"/>
      <c r="C621" s="4"/>
      <c r="D621" s="21"/>
    </row>
    <row r="622" spans="1:4" ht="21" x14ac:dyDescent="0.25">
      <c r="A622" s="17"/>
      <c r="B622" s="17"/>
      <c r="C622" s="4"/>
      <c r="D622" s="21"/>
    </row>
    <row r="623" spans="1:4" ht="21" x14ac:dyDescent="0.25">
      <c r="A623" s="17"/>
      <c r="B623" s="17"/>
      <c r="C623" s="4"/>
      <c r="D623" s="21"/>
    </row>
    <row r="624" spans="1:4" ht="21" x14ac:dyDescent="0.25">
      <c r="A624" s="17"/>
      <c r="B624" s="17"/>
      <c r="C624" s="4"/>
      <c r="D624" s="21"/>
    </row>
    <row r="625" spans="1:4" ht="21" x14ac:dyDescent="0.25">
      <c r="A625" s="17"/>
      <c r="B625" s="17"/>
      <c r="C625" s="4"/>
      <c r="D625" s="21"/>
    </row>
    <row r="626" spans="1:4" ht="21" x14ac:dyDescent="0.25">
      <c r="A626" s="17"/>
      <c r="B626" s="17"/>
      <c r="C626" s="4"/>
      <c r="D626" s="21"/>
    </row>
    <row r="627" spans="1:4" ht="21" x14ac:dyDescent="0.25">
      <c r="A627" s="17"/>
      <c r="B627" s="17"/>
      <c r="C627" s="4"/>
      <c r="D627" s="21"/>
    </row>
    <row r="628" spans="1:4" ht="21" x14ac:dyDescent="0.25">
      <c r="A628" s="17"/>
      <c r="B628" s="17"/>
      <c r="C628" s="4"/>
      <c r="D628" s="21"/>
    </row>
    <row r="629" spans="1:4" ht="21" x14ac:dyDescent="0.25">
      <c r="A629" s="17"/>
      <c r="B629" s="17"/>
      <c r="C629" s="4"/>
      <c r="D629" s="21"/>
    </row>
    <row r="630" spans="1:4" ht="21" x14ac:dyDescent="0.25">
      <c r="A630" s="17"/>
      <c r="B630" s="17"/>
      <c r="C630" s="4"/>
      <c r="D630" s="21"/>
    </row>
    <row r="631" spans="1:4" ht="21" x14ac:dyDescent="0.25">
      <c r="A631" s="17"/>
      <c r="B631" s="17"/>
      <c r="C631" s="4"/>
      <c r="D631" s="21"/>
    </row>
    <row r="632" spans="1:4" ht="21" x14ac:dyDescent="0.25">
      <c r="A632" s="17"/>
      <c r="B632" s="17"/>
      <c r="C632" s="4"/>
      <c r="D632" s="21"/>
    </row>
    <row r="633" spans="1:4" ht="21" x14ac:dyDescent="0.25">
      <c r="A633" s="17"/>
      <c r="B633" s="17"/>
      <c r="C633" s="4"/>
      <c r="D633" s="21"/>
    </row>
    <row r="634" spans="1:4" ht="21" x14ac:dyDescent="0.25">
      <c r="A634" s="17"/>
      <c r="B634" s="17"/>
      <c r="C634" s="4"/>
      <c r="D634" s="21"/>
    </row>
    <row r="635" spans="1:4" ht="21" x14ac:dyDescent="0.25">
      <c r="A635" s="17"/>
      <c r="B635" s="17"/>
      <c r="C635" s="4"/>
      <c r="D635" s="21"/>
    </row>
    <row r="636" spans="1:4" ht="21" x14ac:dyDescent="0.25">
      <c r="A636" s="17"/>
      <c r="B636" s="17"/>
      <c r="C636" s="4"/>
      <c r="D636" s="21"/>
    </row>
    <row r="637" spans="1:4" ht="21" x14ac:dyDescent="0.25">
      <c r="A637" s="17"/>
      <c r="B637" s="17"/>
      <c r="C637" s="4"/>
      <c r="D637" s="21"/>
    </row>
    <row r="638" spans="1:4" ht="21" x14ac:dyDescent="0.25">
      <c r="A638" s="17"/>
      <c r="B638" s="17"/>
      <c r="C638" s="4"/>
      <c r="D638" s="21"/>
    </row>
    <row r="639" spans="1:4" ht="21" x14ac:dyDescent="0.25">
      <c r="A639" s="17"/>
      <c r="B639" s="17"/>
      <c r="C639" s="4"/>
      <c r="D639" s="21"/>
    </row>
    <row r="640" spans="1:4" ht="21" x14ac:dyDescent="0.25">
      <c r="A640" s="17"/>
      <c r="B640" s="17"/>
      <c r="C640" s="4"/>
      <c r="D640" s="21"/>
    </row>
    <row r="641" spans="1:4" ht="21" x14ac:dyDescent="0.25">
      <c r="A641" s="17"/>
      <c r="B641" s="17"/>
      <c r="C641" s="4"/>
      <c r="D641" s="21"/>
    </row>
    <row r="642" spans="1:4" ht="21" x14ac:dyDescent="0.25">
      <c r="A642" s="17"/>
      <c r="B642" s="17"/>
      <c r="C642" s="4"/>
      <c r="D642" s="21"/>
    </row>
    <row r="643" spans="1:4" ht="21" x14ac:dyDescent="0.25">
      <c r="A643" s="17"/>
      <c r="B643" s="17"/>
      <c r="C643" s="4"/>
      <c r="D643" s="21"/>
    </row>
    <row r="644" spans="1:4" ht="21" x14ac:dyDescent="0.25">
      <c r="A644" s="17"/>
      <c r="B644" s="17"/>
      <c r="C644" s="4"/>
      <c r="D644" s="21"/>
    </row>
    <row r="645" spans="1:4" ht="21" x14ac:dyDescent="0.25">
      <c r="A645" s="17"/>
      <c r="B645" s="17"/>
      <c r="C645" s="4"/>
      <c r="D645" s="21"/>
    </row>
    <row r="646" spans="1:4" ht="21" x14ac:dyDescent="0.25">
      <c r="A646" s="17"/>
      <c r="B646" s="17"/>
      <c r="C646" s="4"/>
      <c r="D646" s="21"/>
    </row>
    <row r="647" spans="1:4" ht="21" x14ac:dyDescent="0.25">
      <c r="A647" s="17"/>
      <c r="B647" s="17"/>
      <c r="C647" s="4"/>
      <c r="D647" s="21"/>
    </row>
    <row r="648" spans="1:4" ht="21" x14ac:dyDescent="0.25">
      <c r="A648" s="17"/>
      <c r="B648" s="17"/>
      <c r="C648" s="4"/>
      <c r="D648" s="21"/>
    </row>
    <row r="649" spans="1:4" ht="21" x14ac:dyDescent="0.25">
      <c r="A649" s="17"/>
      <c r="B649" s="17"/>
      <c r="C649" s="4"/>
      <c r="D649" s="21"/>
    </row>
    <row r="650" spans="1:4" ht="21" x14ac:dyDescent="0.25">
      <c r="A650" s="17"/>
      <c r="B650" s="17"/>
      <c r="C650" s="4"/>
      <c r="D650" s="21"/>
    </row>
    <row r="651" spans="1:4" ht="21" x14ac:dyDescent="0.25">
      <c r="A651" s="17"/>
      <c r="B651" s="17"/>
      <c r="C651" s="4"/>
      <c r="D651" s="21"/>
    </row>
    <row r="652" spans="1:4" ht="21" x14ac:dyDescent="0.25">
      <c r="A652" s="17"/>
      <c r="B652" s="17"/>
      <c r="C652" s="4"/>
      <c r="D652" s="21"/>
    </row>
    <row r="653" spans="1:4" ht="21" x14ac:dyDescent="0.25">
      <c r="A653" s="17"/>
      <c r="B653" s="17"/>
      <c r="C653" s="4"/>
      <c r="D653" s="21"/>
    </row>
    <row r="654" spans="1:4" ht="21" x14ac:dyDescent="0.25">
      <c r="A654" s="17"/>
      <c r="B654" s="17"/>
      <c r="C654" s="4"/>
      <c r="D654" s="21"/>
    </row>
    <row r="655" spans="1:4" ht="21" x14ac:dyDescent="0.25">
      <c r="A655" s="17"/>
      <c r="B655" s="17"/>
      <c r="C655" s="4"/>
      <c r="D655" s="21"/>
    </row>
    <row r="656" spans="1:4" ht="21" x14ac:dyDescent="0.25">
      <c r="A656" s="17"/>
      <c r="B656" s="17"/>
      <c r="C656" s="4"/>
      <c r="D656" s="21"/>
    </row>
    <row r="657" spans="1:4" ht="21" x14ac:dyDescent="0.25">
      <c r="A657" s="17"/>
      <c r="B657" s="17"/>
      <c r="C657" s="4"/>
      <c r="D657" s="21"/>
    </row>
    <row r="658" spans="1:4" ht="21" x14ac:dyDescent="0.25">
      <c r="A658" s="17"/>
      <c r="B658" s="17"/>
      <c r="C658" s="4"/>
      <c r="D658" s="21"/>
    </row>
    <row r="659" spans="1:4" ht="21" x14ac:dyDescent="0.25">
      <c r="A659" s="17"/>
      <c r="B659" s="17"/>
      <c r="C659" s="4"/>
      <c r="D659" s="21"/>
    </row>
    <row r="660" spans="1:4" ht="21" x14ac:dyDescent="0.25">
      <c r="A660" s="17"/>
      <c r="B660" s="17"/>
      <c r="C660" s="4"/>
      <c r="D660" s="21"/>
    </row>
    <row r="661" spans="1:4" ht="21" x14ac:dyDescent="0.25">
      <c r="A661" s="17"/>
      <c r="B661" s="17"/>
      <c r="C661" s="4"/>
      <c r="D661" s="21"/>
    </row>
    <row r="662" spans="1:4" ht="21" x14ac:dyDescent="0.25">
      <c r="A662" s="17"/>
      <c r="B662" s="17"/>
      <c r="C662" s="4"/>
      <c r="D662" s="21"/>
    </row>
    <row r="663" spans="1:4" ht="21" x14ac:dyDescent="0.25">
      <c r="A663" s="17"/>
      <c r="B663" s="17"/>
      <c r="C663" s="4"/>
      <c r="D663" s="21"/>
    </row>
    <row r="664" spans="1:4" ht="21" x14ac:dyDescent="0.25">
      <c r="A664" s="17"/>
      <c r="B664" s="17"/>
      <c r="C664" s="4"/>
      <c r="D664" s="21"/>
    </row>
    <row r="665" spans="1:4" ht="21" x14ac:dyDescent="0.25">
      <c r="A665" s="17"/>
      <c r="B665" s="17"/>
      <c r="C665" s="4"/>
      <c r="D665" s="21"/>
    </row>
    <row r="666" spans="1:4" ht="21" x14ac:dyDescent="0.25">
      <c r="A666" s="17"/>
      <c r="B666" s="17"/>
      <c r="C666" s="4"/>
      <c r="D666" s="21"/>
    </row>
    <row r="667" spans="1:4" ht="21" x14ac:dyDescent="0.25">
      <c r="A667" s="17"/>
      <c r="B667" s="17"/>
      <c r="C667" s="4"/>
      <c r="D667" s="21"/>
    </row>
    <row r="668" spans="1:4" ht="21" x14ac:dyDescent="0.25">
      <c r="A668" s="17"/>
      <c r="B668" s="17"/>
      <c r="C668" s="4"/>
      <c r="D668" s="21"/>
    </row>
    <row r="669" spans="1:4" ht="21" x14ac:dyDescent="0.25">
      <c r="A669" s="17"/>
      <c r="B669" s="17"/>
      <c r="C669" s="4"/>
      <c r="D669" s="21"/>
    </row>
    <row r="670" spans="1:4" ht="21" x14ac:dyDescent="0.25">
      <c r="A670" s="17"/>
      <c r="B670" s="17"/>
      <c r="C670" s="4"/>
      <c r="D670" s="21"/>
    </row>
    <row r="671" spans="1:4" ht="21" x14ac:dyDescent="0.25">
      <c r="A671" s="17"/>
      <c r="B671" s="17"/>
      <c r="C671" s="4"/>
      <c r="D671" s="21"/>
    </row>
    <row r="672" spans="1:4" ht="21" x14ac:dyDescent="0.25">
      <c r="A672" s="17"/>
      <c r="B672" s="17"/>
      <c r="C672" s="4"/>
      <c r="D672" s="21"/>
    </row>
    <row r="673" spans="1:4" ht="21" x14ac:dyDescent="0.25">
      <c r="A673" s="17"/>
      <c r="B673" s="17"/>
      <c r="C673" s="4"/>
      <c r="D673" s="21"/>
    </row>
    <row r="674" spans="1:4" ht="21" x14ac:dyDescent="0.25">
      <c r="A674" s="17"/>
      <c r="B674" s="17"/>
      <c r="C674" s="4"/>
      <c r="D674" s="21"/>
    </row>
    <row r="675" spans="1:4" ht="21" x14ac:dyDescent="0.25">
      <c r="A675" s="17"/>
      <c r="B675" s="17"/>
      <c r="C675" s="4"/>
      <c r="D675" s="21"/>
    </row>
    <row r="676" spans="1:4" ht="21" x14ac:dyDescent="0.25">
      <c r="A676" s="17"/>
      <c r="B676" s="17"/>
      <c r="C676" s="4"/>
      <c r="D676" s="21"/>
    </row>
    <row r="677" spans="1:4" ht="21" x14ac:dyDescent="0.25">
      <c r="A677" s="17"/>
      <c r="B677" s="17"/>
      <c r="C677" s="4"/>
      <c r="D677" s="21"/>
    </row>
    <row r="678" spans="1:4" ht="21" x14ac:dyDescent="0.25">
      <c r="A678" s="17"/>
      <c r="B678" s="17"/>
      <c r="C678" s="4"/>
      <c r="D678" s="21"/>
    </row>
    <row r="679" spans="1:4" ht="21" x14ac:dyDescent="0.25">
      <c r="A679" s="17"/>
      <c r="B679" s="17"/>
      <c r="C679" s="4"/>
      <c r="D679" s="21"/>
    </row>
    <row r="680" spans="1:4" ht="21" x14ac:dyDescent="0.25">
      <c r="A680" s="17"/>
      <c r="B680" s="17"/>
      <c r="C680" s="4"/>
      <c r="D680" s="21"/>
    </row>
    <row r="681" spans="1:4" ht="21" x14ac:dyDescent="0.25">
      <c r="A681" s="17"/>
      <c r="B681" s="17"/>
      <c r="C681" s="4"/>
      <c r="D681" s="21"/>
    </row>
    <row r="682" spans="1:4" ht="21" x14ac:dyDescent="0.25">
      <c r="A682" s="17"/>
      <c r="B682" s="17"/>
      <c r="C682" s="4"/>
      <c r="D682" s="21"/>
    </row>
    <row r="683" spans="1:4" ht="21" x14ac:dyDescent="0.25">
      <c r="A683" s="17"/>
      <c r="B683" s="17"/>
      <c r="C683" s="4"/>
      <c r="D683" s="21"/>
    </row>
    <row r="684" spans="1:4" ht="21" x14ac:dyDescent="0.25">
      <c r="A684" s="17"/>
      <c r="B684" s="17"/>
      <c r="C684" s="4"/>
      <c r="D684" s="21"/>
    </row>
    <row r="685" spans="1:4" ht="21" x14ac:dyDescent="0.25">
      <c r="A685" s="17"/>
      <c r="B685" s="17"/>
      <c r="C685" s="4"/>
      <c r="D685" s="21"/>
    </row>
    <row r="686" spans="1:4" ht="21" x14ac:dyDescent="0.25">
      <c r="A686" s="17"/>
      <c r="B686" s="17"/>
      <c r="C686" s="4"/>
      <c r="D686" s="21"/>
    </row>
    <row r="687" spans="1:4" ht="21" x14ac:dyDescent="0.25">
      <c r="A687" s="17"/>
      <c r="B687" s="17"/>
      <c r="C687" s="4"/>
      <c r="D687" s="21"/>
    </row>
    <row r="688" spans="1:4" ht="21" x14ac:dyDescent="0.25">
      <c r="A688" s="17"/>
      <c r="B688" s="17"/>
      <c r="C688" s="4"/>
      <c r="D688" s="21"/>
    </row>
    <row r="689" spans="1:4" ht="21" x14ac:dyDescent="0.25">
      <c r="A689" s="17"/>
      <c r="B689" s="17"/>
      <c r="C689" s="4"/>
      <c r="D689" s="21"/>
    </row>
    <row r="690" spans="1:4" ht="21" x14ac:dyDescent="0.25">
      <c r="A690" s="17"/>
      <c r="B690" s="17"/>
      <c r="C690" s="4"/>
      <c r="D690" s="21"/>
    </row>
    <row r="691" spans="1:4" ht="21" x14ac:dyDescent="0.25">
      <c r="A691" s="17"/>
      <c r="B691" s="17"/>
      <c r="C691" s="4"/>
      <c r="D691" s="21"/>
    </row>
    <row r="692" spans="1:4" ht="21" x14ac:dyDescent="0.25">
      <c r="A692" s="17"/>
      <c r="B692" s="17"/>
      <c r="C692" s="4"/>
      <c r="D692" s="21"/>
    </row>
    <row r="693" spans="1:4" ht="21" x14ac:dyDescent="0.25">
      <c r="A693" s="17"/>
      <c r="B693" s="17"/>
      <c r="C693" s="4"/>
      <c r="D693" s="21"/>
    </row>
    <row r="694" spans="1:4" ht="21" x14ac:dyDescent="0.25">
      <c r="A694" s="17"/>
      <c r="B694" s="17"/>
      <c r="C694" s="4"/>
      <c r="D694" s="21"/>
    </row>
    <row r="695" spans="1:4" ht="21" x14ac:dyDescent="0.25">
      <c r="A695" s="17"/>
      <c r="B695" s="17"/>
      <c r="C695" s="4"/>
      <c r="D695" s="21"/>
    </row>
    <row r="696" spans="1:4" ht="21" x14ac:dyDescent="0.25">
      <c r="A696" s="17"/>
      <c r="B696" s="17"/>
      <c r="C696" s="4"/>
      <c r="D696" s="21"/>
    </row>
    <row r="697" spans="1:4" ht="21" x14ac:dyDescent="0.25">
      <c r="A697" s="17"/>
      <c r="B697" s="17"/>
      <c r="C697" s="4"/>
      <c r="D697" s="21"/>
    </row>
    <row r="698" spans="1:4" ht="21" x14ac:dyDescent="0.25">
      <c r="A698" s="17"/>
      <c r="B698" s="17"/>
      <c r="C698" s="4"/>
      <c r="D698" s="21"/>
    </row>
    <row r="699" spans="1:4" ht="21" x14ac:dyDescent="0.25">
      <c r="A699" s="17"/>
      <c r="B699" s="17"/>
      <c r="C699" s="4"/>
      <c r="D699" s="21"/>
    </row>
    <row r="700" spans="1:4" ht="21" x14ac:dyDescent="0.25">
      <c r="A700" s="17"/>
      <c r="B700" s="17"/>
      <c r="C700" s="4"/>
      <c r="D700" s="21"/>
    </row>
    <row r="701" spans="1:4" ht="21" x14ac:dyDescent="0.25">
      <c r="A701" s="17"/>
      <c r="B701" s="17"/>
      <c r="C701" s="4"/>
      <c r="D701" s="21"/>
    </row>
    <row r="702" spans="1:4" ht="21" x14ac:dyDescent="0.25">
      <c r="A702" s="17"/>
      <c r="B702" s="17"/>
      <c r="C702" s="4"/>
      <c r="D702" s="21"/>
    </row>
    <row r="703" spans="1:4" ht="21" x14ac:dyDescent="0.25">
      <c r="A703" s="17"/>
      <c r="B703" s="17"/>
      <c r="C703" s="4"/>
      <c r="D703" s="21"/>
    </row>
    <row r="704" spans="1:4" ht="21" x14ac:dyDescent="0.25">
      <c r="A704" s="17"/>
      <c r="B704" s="17"/>
      <c r="C704" s="4"/>
      <c r="D704" s="21"/>
    </row>
    <row r="705" spans="1:4" ht="21" x14ac:dyDescent="0.25">
      <c r="A705" s="17"/>
      <c r="B705" s="17"/>
      <c r="C705" s="4"/>
      <c r="D705" s="21"/>
    </row>
    <row r="706" spans="1:4" ht="21" x14ac:dyDescent="0.25">
      <c r="A706" s="17"/>
      <c r="B706" s="17"/>
      <c r="C706" s="4"/>
      <c r="D706" s="21"/>
    </row>
    <row r="707" spans="1:4" ht="21" x14ac:dyDescent="0.25">
      <c r="A707" s="17"/>
      <c r="B707" s="17"/>
      <c r="C707" s="4"/>
      <c r="D707" s="21"/>
    </row>
    <row r="708" spans="1:4" ht="21" x14ac:dyDescent="0.25">
      <c r="A708" s="17"/>
      <c r="B708" s="17"/>
      <c r="C708" s="4"/>
      <c r="D708" s="21"/>
    </row>
    <row r="709" spans="1:4" ht="21" x14ac:dyDescent="0.25">
      <c r="A709" s="17"/>
      <c r="B709" s="17"/>
      <c r="C709" s="4"/>
      <c r="D709" s="21"/>
    </row>
    <row r="710" spans="1:4" ht="21" x14ac:dyDescent="0.25">
      <c r="A710" s="17"/>
      <c r="B710" s="17"/>
      <c r="C710" s="4"/>
      <c r="D710" s="21"/>
    </row>
    <row r="711" spans="1:4" ht="21" x14ac:dyDescent="0.25">
      <c r="A711" s="17"/>
      <c r="B711" s="17"/>
      <c r="C711" s="4"/>
      <c r="D711" s="21"/>
    </row>
    <row r="712" spans="1:4" ht="21" x14ac:dyDescent="0.25">
      <c r="A712" s="17"/>
      <c r="B712" s="17"/>
      <c r="C712" s="4"/>
      <c r="D712" s="21"/>
    </row>
    <row r="713" spans="1:4" ht="21" x14ac:dyDescent="0.25">
      <c r="A713" s="17"/>
      <c r="B713" s="17"/>
      <c r="C713" s="4"/>
      <c r="D713" s="21"/>
    </row>
    <row r="714" spans="1:4" ht="21" x14ac:dyDescent="0.25">
      <c r="A714" s="17"/>
      <c r="B714" s="17"/>
      <c r="C714" s="4"/>
      <c r="D714" s="21"/>
    </row>
    <row r="715" spans="1:4" ht="21" x14ac:dyDescent="0.25">
      <c r="A715" s="17"/>
      <c r="B715" s="17"/>
      <c r="C715" s="4"/>
      <c r="D715" s="21"/>
    </row>
    <row r="716" spans="1:4" ht="21" x14ac:dyDescent="0.25">
      <c r="A716" s="17"/>
      <c r="B716" s="17"/>
      <c r="C716" s="4"/>
      <c r="D716" s="21"/>
    </row>
    <row r="717" spans="1:4" ht="21" x14ac:dyDescent="0.25">
      <c r="A717" s="17"/>
      <c r="B717" s="17"/>
      <c r="C717" s="4"/>
      <c r="D717" s="21"/>
    </row>
    <row r="718" spans="1:4" ht="21" x14ac:dyDescent="0.25">
      <c r="A718" s="17"/>
      <c r="B718" s="17"/>
      <c r="C718" s="4"/>
      <c r="D718" s="21"/>
    </row>
    <row r="719" spans="1:4" ht="21" x14ac:dyDescent="0.25">
      <c r="A719" s="17"/>
      <c r="B719" s="17"/>
      <c r="C719" s="4"/>
      <c r="D719" s="21"/>
    </row>
    <row r="720" spans="1:4" ht="21" x14ac:dyDescent="0.25">
      <c r="A720" s="17"/>
      <c r="B720" s="17"/>
      <c r="C720" s="4"/>
      <c r="D720" s="21"/>
    </row>
    <row r="721" spans="1:4" ht="21" x14ac:dyDescent="0.25">
      <c r="A721" s="17"/>
      <c r="B721" s="17"/>
      <c r="C721" s="4"/>
      <c r="D721" s="21"/>
    </row>
    <row r="722" spans="1:4" ht="21" x14ac:dyDescent="0.25">
      <c r="A722" s="17"/>
      <c r="B722" s="17"/>
      <c r="C722" s="4"/>
      <c r="D722" s="21"/>
    </row>
    <row r="723" spans="1:4" ht="21" x14ac:dyDescent="0.25">
      <c r="A723" s="17"/>
      <c r="B723" s="17"/>
      <c r="C723" s="4"/>
      <c r="D723" s="21"/>
    </row>
    <row r="724" spans="1:4" ht="21" x14ac:dyDescent="0.25">
      <c r="A724" s="17"/>
      <c r="B724" s="17"/>
      <c r="C724" s="4"/>
      <c r="D724" s="21"/>
    </row>
    <row r="725" spans="1:4" ht="21" x14ac:dyDescent="0.25">
      <c r="A725" s="17"/>
      <c r="B725" s="17"/>
      <c r="C725" s="4"/>
      <c r="D725" s="21"/>
    </row>
    <row r="726" spans="1:4" ht="21" x14ac:dyDescent="0.25">
      <c r="A726" s="17"/>
      <c r="B726" s="17"/>
      <c r="C726" s="4"/>
      <c r="D726" s="21"/>
    </row>
    <row r="727" spans="1:4" ht="21" x14ac:dyDescent="0.25">
      <c r="A727" s="17"/>
      <c r="B727" s="17"/>
      <c r="C727" s="4"/>
      <c r="D727" s="21"/>
    </row>
    <row r="728" spans="1:4" ht="21" x14ac:dyDescent="0.25">
      <c r="A728" s="17"/>
      <c r="B728" s="17"/>
      <c r="C728" s="4"/>
      <c r="D728" s="21"/>
    </row>
    <row r="729" spans="1:4" ht="21" x14ac:dyDescent="0.25">
      <c r="A729" s="17"/>
      <c r="B729" s="17"/>
      <c r="C729" s="4"/>
      <c r="D729" s="21"/>
    </row>
    <row r="730" spans="1:4" ht="21" x14ac:dyDescent="0.25">
      <c r="A730" s="17"/>
      <c r="B730" s="17"/>
      <c r="C730" s="4"/>
      <c r="D730" s="21"/>
    </row>
    <row r="731" spans="1:4" ht="21" x14ac:dyDescent="0.25">
      <c r="A731" s="17"/>
      <c r="B731" s="17"/>
      <c r="C731" s="4"/>
      <c r="D731" s="21"/>
    </row>
    <row r="732" spans="1:4" ht="21" x14ac:dyDescent="0.25">
      <c r="A732" s="17"/>
      <c r="B732" s="17"/>
      <c r="C732" s="4"/>
      <c r="D732" s="21"/>
    </row>
    <row r="733" spans="1:4" ht="21" x14ac:dyDescent="0.25">
      <c r="A733" s="17"/>
      <c r="B733" s="17"/>
      <c r="C733" s="4"/>
      <c r="D733" s="21"/>
    </row>
    <row r="734" spans="1:4" ht="21" x14ac:dyDescent="0.25">
      <c r="A734" s="17"/>
      <c r="B734" s="17"/>
      <c r="C734" s="4"/>
      <c r="D734" s="21"/>
    </row>
    <row r="735" spans="1:4" ht="21" x14ac:dyDescent="0.25">
      <c r="A735" s="17"/>
      <c r="B735" s="17"/>
      <c r="C735" s="4"/>
      <c r="D735" s="21"/>
    </row>
    <row r="736" spans="1:4" ht="21" x14ac:dyDescent="0.25">
      <c r="A736" s="17"/>
      <c r="B736" s="17"/>
      <c r="C736" s="4"/>
      <c r="D736" s="21"/>
    </row>
    <row r="737" spans="1:4" ht="21" x14ac:dyDescent="0.25">
      <c r="A737" s="17"/>
      <c r="B737" s="17"/>
      <c r="C737" s="4"/>
      <c r="D737" s="21"/>
    </row>
    <row r="738" spans="1:4" ht="21" x14ac:dyDescent="0.25">
      <c r="A738" s="17"/>
      <c r="B738" s="17"/>
      <c r="C738" s="4"/>
      <c r="D738" s="21"/>
    </row>
    <row r="739" spans="1:4" ht="21" x14ac:dyDescent="0.25">
      <c r="A739" s="17"/>
      <c r="B739" s="17"/>
      <c r="C739" s="4"/>
      <c r="D739" s="21"/>
    </row>
    <row r="740" spans="1:4" ht="21" x14ac:dyDescent="0.25">
      <c r="A740" s="17"/>
      <c r="B740" s="17"/>
      <c r="C740" s="4"/>
      <c r="D740" s="21"/>
    </row>
    <row r="741" spans="1:4" ht="21" x14ac:dyDescent="0.25">
      <c r="A741" s="17"/>
      <c r="B741" s="17"/>
      <c r="C741" s="4"/>
      <c r="D741" s="21"/>
    </row>
    <row r="742" spans="1:4" ht="21" x14ac:dyDescent="0.25">
      <c r="A742" s="17"/>
      <c r="B742" s="17"/>
      <c r="C742" s="4"/>
      <c r="D742" s="21"/>
    </row>
    <row r="743" spans="1:4" ht="21" x14ac:dyDescent="0.25">
      <c r="A743" s="17"/>
      <c r="B743" s="17"/>
      <c r="C743" s="4"/>
      <c r="D743" s="21"/>
    </row>
    <row r="744" spans="1:4" ht="21" x14ac:dyDescent="0.25">
      <c r="A744" s="17"/>
      <c r="B744" s="17"/>
      <c r="C744" s="4"/>
      <c r="D744" s="21"/>
    </row>
    <row r="745" spans="1:4" ht="21" x14ac:dyDescent="0.25">
      <c r="A745" s="17"/>
      <c r="B745" s="17"/>
      <c r="C745" s="4"/>
      <c r="D745" s="21"/>
    </row>
    <row r="746" spans="1:4" ht="21" x14ac:dyDescent="0.25">
      <c r="A746" s="17"/>
      <c r="B746" s="17"/>
      <c r="C746" s="4"/>
      <c r="D746" s="21"/>
    </row>
    <row r="747" spans="1:4" ht="21" x14ac:dyDescent="0.25">
      <c r="A747" s="17"/>
      <c r="B747" s="17"/>
      <c r="C747" s="4"/>
      <c r="D747" s="21"/>
    </row>
    <row r="748" spans="1:4" ht="21" x14ac:dyDescent="0.25">
      <c r="A748" s="17"/>
      <c r="B748" s="17"/>
      <c r="C748" s="4"/>
      <c r="D748" s="21"/>
    </row>
    <row r="749" spans="1:4" ht="21" x14ac:dyDescent="0.25">
      <c r="A749" s="17"/>
      <c r="B749" s="17"/>
      <c r="C749" s="4"/>
      <c r="D749" s="21"/>
    </row>
    <row r="750" spans="1:4" ht="21" x14ac:dyDescent="0.25">
      <c r="A750" s="17"/>
      <c r="B750" s="17"/>
      <c r="C750" s="4"/>
      <c r="D750" s="21"/>
    </row>
    <row r="751" spans="1:4" ht="21" x14ac:dyDescent="0.25">
      <c r="A751" s="17"/>
      <c r="B751" s="17"/>
      <c r="C751" s="4"/>
      <c r="D751" s="21"/>
    </row>
    <row r="752" spans="1:4" ht="21" x14ac:dyDescent="0.25">
      <c r="A752" s="17"/>
      <c r="B752" s="17"/>
      <c r="C752" s="4"/>
      <c r="D752" s="21"/>
    </row>
    <row r="753" spans="1:4" ht="21" x14ac:dyDescent="0.25">
      <c r="A753" s="17"/>
      <c r="B753" s="17"/>
      <c r="C753" s="4"/>
      <c r="D753" s="21"/>
    </row>
    <row r="754" spans="1:4" ht="21" x14ac:dyDescent="0.25">
      <c r="A754" s="17"/>
      <c r="B754" s="17"/>
      <c r="C754" s="4"/>
      <c r="D754" s="21"/>
    </row>
    <row r="755" spans="1:4" ht="21" x14ac:dyDescent="0.25">
      <c r="A755" s="17"/>
      <c r="B755" s="17"/>
      <c r="C755" s="4"/>
      <c r="D755" s="21"/>
    </row>
    <row r="756" spans="1:4" ht="21" x14ac:dyDescent="0.25">
      <c r="A756" s="17"/>
      <c r="B756" s="17"/>
      <c r="C756" s="4"/>
      <c r="D756" s="21"/>
    </row>
    <row r="757" spans="1:4" ht="21" x14ac:dyDescent="0.25">
      <c r="A757" s="17"/>
      <c r="B757" s="17"/>
      <c r="C757" s="4"/>
      <c r="D757" s="21"/>
    </row>
    <row r="758" spans="1:4" ht="21" x14ac:dyDescent="0.25">
      <c r="A758" s="17"/>
      <c r="B758" s="17"/>
      <c r="C758" s="4"/>
      <c r="D758" s="21"/>
    </row>
    <row r="759" spans="1:4" ht="21" x14ac:dyDescent="0.25">
      <c r="A759" s="17"/>
      <c r="B759" s="17"/>
      <c r="C759" s="4"/>
      <c r="D759" s="21"/>
    </row>
    <row r="760" spans="1:4" ht="21" x14ac:dyDescent="0.25">
      <c r="A760" s="17"/>
      <c r="B760" s="17"/>
      <c r="C760" s="4"/>
      <c r="D760" s="21"/>
    </row>
    <row r="761" spans="1:4" ht="21" x14ac:dyDescent="0.25">
      <c r="A761" s="17"/>
      <c r="B761" s="17"/>
      <c r="C761" s="4"/>
      <c r="D761" s="21"/>
    </row>
    <row r="762" spans="1:4" ht="21" x14ac:dyDescent="0.25">
      <c r="A762" s="17"/>
      <c r="B762" s="17"/>
      <c r="C762" s="4"/>
      <c r="D762" s="21"/>
    </row>
    <row r="763" spans="1:4" ht="21" x14ac:dyDescent="0.25">
      <c r="A763" s="17"/>
      <c r="B763" s="17"/>
      <c r="C763" s="4"/>
      <c r="D763" s="21"/>
    </row>
    <row r="764" spans="1:4" ht="21" x14ac:dyDescent="0.25">
      <c r="A764" s="17"/>
      <c r="B764" s="17"/>
      <c r="C764" s="4"/>
      <c r="D764" s="21"/>
    </row>
    <row r="765" spans="1:4" ht="21" x14ac:dyDescent="0.25">
      <c r="A765" s="17"/>
      <c r="B765" s="17"/>
      <c r="C765" s="4"/>
      <c r="D765" s="21"/>
    </row>
    <row r="766" spans="1:4" ht="21" x14ac:dyDescent="0.25">
      <c r="A766" s="17"/>
      <c r="B766" s="17"/>
      <c r="C766" s="4"/>
      <c r="D766" s="21"/>
    </row>
    <row r="767" spans="1:4" ht="21" x14ac:dyDescent="0.25">
      <c r="A767" s="17"/>
      <c r="B767" s="17"/>
      <c r="C767" s="4"/>
      <c r="D767" s="21"/>
    </row>
    <row r="768" spans="1:4" ht="21" x14ac:dyDescent="0.25">
      <c r="A768" s="17"/>
      <c r="B768" s="17"/>
      <c r="C768" s="4"/>
      <c r="D768" s="21"/>
    </row>
    <row r="769" spans="1:4" ht="21" x14ac:dyDescent="0.25">
      <c r="A769" s="17"/>
      <c r="B769" s="17"/>
      <c r="C769" s="4"/>
      <c r="D769" s="21"/>
    </row>
    <row r="770" spans="1:4" ht="21" x14ac:dyDescent="0.25">
      <c r="A770" s="17"/>
      <c r="B770" s="17"/>
      <c r="C770" s="4"/>
      <c r="D770" s="21"/>
    </row>
    <row r="771" spans="1:4" ht="21" x14ac:dyDescent="0.25">
      <c r="A771" s="17"/>
      <c r="B771" s="17"/>
      <c r="C771" s="4"/>
      <c r="D771" s="21"/>
    </row>
    <row r="772" spans="1:4" ht="21" x14ac:dyDescent="0.25">
      <c r="A772" s="17"/>
      <c r="B772" s="17"/>
      <c r="C772" s="4"/>
      <c r="D772" s="21"/>
    </row>
    <row r="773" spans="1:4" ht="21" x14ac:dyDescent="0.25">
      <c r="A773" s="17"/>
      <c r="B773" s="17"/>
      <c r="C773" s="4"/>
      <c r="D773" s="21"/>
    </row>
    <row r="774" spans="1:4" ht="21" x14ac:dyDescent="0.25">
      <c r="A774" s="17"/>
      <c r="B774" s="17"/>
      <c r="C774" s="4"/>
      <c r="D774" s="21"/>
    </row>
    <row r="775" spans="1:4" ht="21" x14ac:dyDescent="0.25">
      <c r="A775" s="17"/>
      <c r="B775" s="17"/>
      <c r="C775" s="4"/>
      <c r="D775" s="21"/>
    </row>
    <row r="776" spans="1:4" ht="21" x14ac:dyDescent="0.25">
      <c r="A776" s="17"/>
      <c r="B776" s="17"/>
      <c r="C776" s="4"/>
      <c r="D776" s="21"/>
    </row>
    <row r="777" spans="1:4" ht="21" x14ac:dyDescent="0.25">
      <c r="A777" s="17"/>
      <c r="B777" s="17"/>
      <c r="C777" s="4"/>
      <c r="D777" s="21"/>
    </row>
    <row r="778" spans="1:4" ht="21" x14ac:dyDescent="0.25">
      <c r="A778" s="17"/>
      <c r="B778" s="17"/>
      <c r="C778" s="4"/>
      <c r="D778" s="21"/>
    </row>
    <row r="779" spans="1:4" ht="21" x14ac:dyDescent="0.25">
      <c r="A779" s="17"/>
      <c r="B779" s="17"/>
      <c r="C779" s="4"/>
      <c r="D779" s="21"/>
    </row>
    <row r="780" spans="1:4" ht="21" x14ac:dyDescent="0.25">
      <c r="A780" s="17"/>
      <c r="B780" s="17"/>
      <c r="C780" s="4"/>
      <c r="D780" s="21"/>
    </row>
    <row r="781" spans="1:4" ht="21" x14ac:dyDescent="0.25">
      <c r="A781" s="17"/>
      <c r="B781" s="17"/>
      <c r="C781" s="4"/>
      <c r="D781" s="21"/>
    </row>
    <row r="782" spans="1:4" ht="21" x14ac:dyDescent="0.25">
      <c r="A782" s="17"/>
      <c r="B782" s="17"/>
      <c r="C782" s="4"/>
      <c r="D782" s="21"/>
    </row>
    <row r="783" spans="1:4" ht="21" x14ac:dyDescent="0.25">
      <c r="A783" s="17"/>
      <c r="B783" s="17"/>
      <c r="C783" s="4"/>
      <c r="D783" s="21"/>
    </row>
    <row r="784" spans="1:4" ht="21" x14ac:dyDescent="0.25">
      <c r="A784" s="17"/>
      <c r="B784" s="17"/>
      <c r="C784" s="4"/>
      <c r="D784" s="21"/>
    </row>
    <row r="785" spans="1:4" ht="21" x14ac:dyDescent="0.25">
      <c r="A785" s="17"/>
      <c r="B785" s="17"/>
      <c r="C785" s="4"/>
      <c r="D785" s="21"/>
    </row>
    <row r="786" spans="1:4" ht="21" x14ac:dyDescent="0.25">
      <c r="A786" s="17"/>
      <c r="B786" s="17"/>
      <c r="C786" s="4"/>
      <c r="D786" s="21"/>
    </row>
    <row r="787" spans="1:4" ht="21" x14ac:dyDescent="0.25">
      <c r="A787" s="17"/>
      <c r="B787" s="17"/>
      <c r="C787" s="4"/>
      <c r="D787" s="21"/>
    </row>
    <row r="788" spans="1:4" ht="21" x14ac:dyDescent="0.25">
      <c r="A788" s="17"/>
      <c r="B788" s="17"/>
      <c r="C788" s="4"/>
      <c r="D788" s="21"/>
    </row>
    <row r="789" spans="1:4" ht="21" x14ac:dyDescent="0.25">
      <c r="A789" s="17"/>
      <c r="B789" s="17"/>
      <c r="C789" s="4"/>
      <c r="D789" s="21"/>
    </row>
    <row r="790" spans="1:4" ht="21" x14ac:dyDescent="0.25">
      <c r="A790" s="17"/>
      <c r="B790" s="17"/>
      <c r="C790" s="4"/>
      <c r="D790" s="21"/>
    </row>
    <row r="791" spans="1:4" ht="21" x14ac:dyDescent="0.25">
      <c r="A791" s="17"/>
      <c r="B791" s="17"/>
      <c r="C791" s="4"/>
      <c r="D791" s="21"/>
    </row>
    <row r="792" spans="1:4" ht="21" x14ac:dyDescent="0.25">
      <c r="A792" s="17"/>
      <c r="B792" s="17"/>
      <c r="C792" s="4"/>
      <c r="D792" s="21"/>
    </row>
    <row r="793" spans="1:4" ht="21" x14ac:dyDescent="0.25">
      <c r="A793" s="17"/>
      <c r="B793" s="17"/>
      <c r="C793" s="4"/>
      <c r="D793" s="21"/>
    </row>
    <row r="794" spans="1:4" ht="21" x14ac:dyDescent="0.25">
      <c r="A794" s="17"/>
      <c r="B794" s="17"/>
      <c r="C794" s="4"/>
      <c r="D794" s="21"/>
    </row>
    <row r="795" spans="1:4" ht="21" x14ac:dyDescent="0.25">
      <c r="A795" s="17"/>
      <c r="B795" s="17"/>
      <c r="C795" s="4"/>
      <c r="D795" s="21"/>
    </row>
    <row r="796" spans="1:4" ht="21" x14ac:dyDescent="0.25">
      <c r="A796" s="17"/>
      <c r="B796" s="17"/>
      <c r="C796" s="4"/>
      <c r="D796" s="21"/>
    </row>
    <row r="797" spans="1:4" ht="21" x14ac:dyDescent="0.25">
      <c r="A797" s="17"/>
      <c r="B797" s="17"/>
      <c r="C797" s="4"/>
      <c r="D797" s="21"/>
    </row>
    <row r="798" spans="1:4" ht="21" x14ac:dyDescent="0.25">
      <c r="A798" s="17"/>
      <c r="B798" s="17"/>
      <c r="C798" s="4"/>
      <c r="D798" s="21"/>
    </row>
    <row r="799" spans="1:4" ht="21" x14ac:dyDescent="0.25">
      <c r="A799" s="17"/>
      <c r="B799" s="17"/>
      <c r="C799" s="4"/>
      <c r="D799" s="21"/>
    </row>
    <row r="800" spans="1:4" ht="21" x14ac:dyDescent="0.25">
      <c r="A800" s="17"/>
      <c r="B800" s="17"/>
      <c r="C800" s="4"/>
      <c r="D800" s="21"/>
    </row>
    <row r="801" spans="1:4" ht="21" x14ac:dyDescent="0.25">
      <c r="A801" s="17"/>
      <c r="B801" s="17"/>
      <c r="C801" s="4"/>
      <c r="D801" s="21"/>
    </row>
    <row r="802" spans="1:4" ht="21" x14ac:dyDescent="0.25">
      <c r="A802" s="17"/>
      <c r="B802" s="17"/>
      <c r="C802" s="4"/>
      <c r="D802" s="21"/>
    </row>
    <row r="803" spans="1:4" ht="21" x14ac:dyDescent="0.25">
      <c r="A803" s="17"/>
      <c r="B803" s="17"/>
      <c r="C803" s="4"/>
      <c r="D803" s="21"/>
    </row>
    <row r="804" spans="1:4" ht="21" x14ac:dyDescent="0.25">
      <c r="A804" s="17"/>
      <c r="B804" s="17"/>
      <c r="C804" s="4"/>
      <c r="D804" s="21"/>
    </row>
    <row r="805" spans="1:4" ht="21" x14ac:dyDescent="0.25">
      <c r="A805" s="17"/>
      <c r="B805" s="17"/>
      <c r="C805" s="4"/>
      <c r="D805" s="21"/>
    </row>
    <row r="806" spans="1:4" ht="21" x14ac:dyDescent="0.25">
      <c r="A806" s="17"/>
      <c r="B806" s="17"/>
      <c r="C806" s="4"/>
      <c r="D806" s="21"/>
    </row>
    <row r="807" spans="1:4" ht="21" x14ac:dyDescent="0.25">
      <c r="A807" s="17"/>
      <c r="B807" s="17"/>
      <c r="C807" s="4"/>
      <c r="D807" s="21"/>
    </row>
    <row r="808" spans="1:4" ht="21" x14ac:dyDescent="0.25">
      <c r="A808" s="17"/>
      <c r="B808" s="17"/>
      <c r="C808" s="4"/>
      <c r="D808" s="21"/>
    </row>
    <row r="809" spans="1:4" ht="21" x14ac:dyDescent="0.25">
      <c r="A809" s="17"/>
      <c r="B809" s="17"/>
      <c r="C809" s="4"/>
      <c r="D809" s="21"/>
    </row>
    <row r="810" spans="1:4" ht="21" x14ac:dyDescent="0.25">
      <c r="A810" s="17"/>
      <c r="B810" s="17"/>
      <c r="C810" s="4"/>
      <c r="D810" s="21"/>
    </row>
    <row r="811" spans="1:4" ht="21" x14ac:dyDescent="0.25">
      <c r="A811" s="17"/>
      <c r="B811" s="17"/>
      <c r="C811" s="4"/>
      <c r="D811" s="21"/>
    </row>
    <row r="812" spans="1:4" ht="21" x14ac:dyDescent="0.25">
      <c r="A812" s="17"/>
      <c r="B812" s="17"/>
      <c r="C812" s="4"/>
      <c r="D812" s="21"/>
    </row>
    <row r="813" spans="1:4" ht="21" x14ac:dyDescent="0.25">
      <c r="A813" s="17"/>
      <c r="B813" s="17"/>
      <c r="C813" s="4"/>
      <c r="D813" s="21"/>
    </row>
    <row r="814" spans="1:4" ht="21" x14ac:dyDescent="0.25">
      <c r="A814" s="17"/>
      <c r="B814" s="17"/>
      <c r="C814" s="4"/>
      <c r="D814" s="21"/>
    </row>
    <row r="815" spans="1:4" ht="21" x14ac:dyDescent="0.25">
      <c r="A815" s="17"/>
      <c r="B815" s="17"/>
      <c r="C815" s="4"/>
      <c r="D815" s="21"/>
    </row>
    <row r="816" spans="1:4" ht="21" x14ac:dyDescent="0.25">
      <c r="A816" s="17"/>
      <c r="B816" s="17"/>
      <c r="C816" s="4"/>
      <c r="D816" s="21"/>
    </row>
    <row r="817" spans="1:4" ht="21" x14ac:dyDescent="0.25">
      <c r="A817" s="17"/>
      <c r="B817" s="17"/>
      <c r="C817" s="4"/>
      <c r="D817" s="21"/>
    </row>
    <row r="818" spans="1:4" ht="21" x14ac:dyDescent="0.25">
      <c r="A818" s="17"/>
      <c r="B818" s="17"/>
      <c r="C818" s="4"/>
      <c r="D818" s="21"/>
    </row>
    <row r="819" spans="1:4" ht="21" x14ac:dyDescent="0.25">
      <c r="A819" s="17"/>
      <c r="B819" s="17"/>
      <c r="C819" s="4"/>
      <c r="D819" s="21"/>
    </row>
    <row r="820" spans="1:4" ht="21" x14ac:dyDescent="0.25">
      <c r="A820" s="17"/>
      <c r="B820" s="17"/>
      <c r="C820" s="4"/>
      <c r="D820" s="21"/>
    </row>
    <row r="821" spans="1:4" ht="21" x14ac:dyDescent="0.25">
      <c r="A821" s="17"/>
      <c r="B821" s="17"/>
      <c r="C821" s="4"/>
      <c r="D821" s="21"/>
    </row>
    <row r="822" spans="1:4" ht="21" x14ac:dyDescent="0.25">
      <c r="A822" s="17"/>
      <c r="B822" s="17"/>
      <c r="C822" s="4"/>
      <c r="D822" s="21"/>
    </row>
    <row r="823" spans="1:4" ht="21" x14ac:dyDescent="0.25">
      <c r="A823" s="17"/>
      <c r="B823" s="17"/>
      <c r="C823" s="4"/>
      <c r="D823" s="21"/>
    </row>
    <row r="824" spans="1:4" ht="21" x14ac:dyDescent="0.25">
      <c r="A824" s="17"/>
      <c r="B824" s="17"/>
      <c r="C824" s="4"/>
      <c r="D824" s="21"/>
    </row>
    <row r="825" spans="1:4" ht="21" x14ac:dyDescent="0.25">
      <c r="A825" s="17"/>
      <c r="B825" s="17"/>
      <c r="C825" s="4"/>
      <c r="D825" s="21"/>
    </row>
    <row r="826" spans="1:4" ht="21" x14ac:dyDescent="0.25">
      <c r="A826" s="17"/>
      <c r="B826" s="17"/>
      <c r="C826" s="4"/>
      <c r="D826" s="21"/>
    </row>
    <row r="827" spans="1:4" ht="21" x14ac:dyDescent="0.25">
      <c r="A827" s="17"/>
      <c r="B827" s="17"/>
      <c r="C827" s="4"/>
      <c r="D827" s="21"/>
    </row>
    <row r="828" spans="1:4" ht="21" x14ac:dyDescent="0.25">
      <c r="A828" s="17"/>
      <c r="B828" s="17"/>
      <c r="C828" s="4"/>
      <c r="D828" s="21"/>
    </row>
    <row r="829" spans="1:4" ht="21" x14ac:dyDescent="0.25">
      <c r="A829" s="17"/>
      <c r="B829" s="17"/>
      <c r="C829" s="4"/>
      <c r="D829" s="21"/>
    </row>
    <row r="830" spans="1:4" ht="21" x14ac:dyDescent="0.25">
      <c r="A830" s="17"/>
      <c r="B830" s="17"/>
      <c r="C830" s="4"/>
      <c r="D830" s="21"/>
    </row>
    <row r="831" spans="1:4" ht="21" x14ac:dyDescent="0.25">
      <c r="A831" s="17"/>
      <c r="B831" s="17"/>
      <c r="C831" s="4"/>
      <c r="D831" s="21"/>
    </row>
    <row r="832" spans="1:4" ht="21" x14ac:dyDescent="0.25">
      <c r="A832" s="17"/>
      <c r="B832" s="17"/>
      <c r="C832" s="4"/>
      <c r="D832" s="21"/>
    </row>
    <row r="833" spans="1:4" ht="21" x14ac:dyDescent="0.25">
      <c r="A833" s="17"/>
      <c r="B833" s="17"/>
      <c r="C833" s="4"/>
      <c r="D833" s="21"/>
    </row>
    <row r="834" spans="1:4" ht="21" x14ac:dyDescent="0.25">
      <c r="A834" s="17"/>
      <c r="B834" s="17"/>
      <c r="C834" s="4"/>
      <c r="D834" s="21"/>
    </row>
    <row r="835" spans="1:4" ht="21" x14ac:dyDescent="0.25">
      <c r="A835" s="17"/>
      <c r="B835" s="17"/>
      <c r="C835" s="4"/>
      <c r="D835" s="21"/>
    </row>
    <row r="836" spans="1:4" ht="21" x14ac:dyDescent="0.25">
      <c r="A836" s="17"/>
      <c r="B836" s="17"/>
      <c r="C836" s="4"/>
      <c r="D836" s="21"/>
    </row>
    <row r="837" spans="1:4" ht="21" x14ac:dyDescent="0.25">
      <c r="A837" s="17"/>
      <c r="B837" s="17"/>
      <c r="C837" s="4"/>
      <c r="D837" s="21"/>
    </row>
    <row r="838" spans="1:4" ht="21" x14ac:dyDescent="0.25">
      <c r="A838" s="17"/>
      <c r="B838" s="17"/>
      <c r="C838" s="4"/>
      <c r="D838" s="21"/>
    </row>
    <row r="839" spans="1:4" ht="21" x14ac:dyDescent="0.25">
      <c r="A839" s="17"/>
      <c r="B839" s="17"/>
      <c r="C839" s="4"/>
      <c r="D839" s="21"/>
    </row>
    <row r="840" spans="1:4" ht="21" x14ac:dyDescent="0.25">
      <c r="A840" s="17"/>
      <c r="B840" s="17"/>
      <c r="C840" s="4"/>
      <c r="D840" s="21"/>
    </row>
    <row r="841" spans="1:4" ht="21" x14ac:dyDescent="0.25">
      <c r="A841" s="17"/>
      <c r="B841" s="17"/>
      <c r="C841" s="4"/>
      <c r="D841" s="21"/>
    </row>
    <row r="842" spans="1:4" ht="21" x14ac:dyDescent="0.25">
      <c r="A842" s="17"/>
      <c r="B842" s="17"/>
      <c r="C842" s="4"/>
      <c r="D842" s="21"/>
    </row>
    <row r="843" spans="1:4" ht="21" x14ac:dyDescent="0.25">
      <c r="A843" s="17"/>
      <c r="B843" s="17"/>
      <c r="C843" s="4"/>
      <c r="D843" s="21"/>
    </row>
    <row r="844" spans="1:4" ht="21" x14ac:dyDescent="0.25">
      <c r="A844" s="17"/>
      <c r="B844" s="17"/>
      <c r="C844" s="4"/>
      <c r="D844" s="21"/>
    </row>
    <row r="845" spans="1:4" ht="21" x14ac:dyDescent="0.25">
      <c r="A845" s="17"/>
      <c r="B845" s="17"/>
      <c r="C845" s="4"/>
      <c r="D845" s="21"/>
    </row>
    <row r="846" spans="1:4" ht="21" x14ac:dyDescent="0.25">
      <c r="A846" s="17"/>
      <c r="B846" s="17"/>
      <c r="C846" s="4"/>
      <c r="D846" s="21"/>
    </row>
    <row r="847" spans="1:4" ht="21" x14ac:dyDescent="0.25">
      <c r="A847" s="17"/>
      <c r="B847" s="17"/>
      <c r="C847" s="4"/>
      <c r="D847" s="21"/>
    </row>
    <row r="848" spans="1:4" ht="21" x14ac:dyDescent="0.25">
      <c r="A848" s="17"/>
      <c r="B848" s="17"/>
      <c r="C848" s="4"/>
      <c r="D848" s="21"/>
    </row>
    <row r="849" spans="1:4" ht="21" x14ac:dyDescent="0.25">
      <c r="A849" s="17"/>
      <c r="B849" s="17"/>
      <c r="C849" s="4"/>
      <c r="D849" s="21"/>
    </row>
    <row r="850" spans="1:4" ht="21" x14ac:dyDescent="0.25">
      <c r="A850" s="17"/>
      <c r="B850" s="17"/>
      <c r="C850" s="4"/>
      <c r="D850" s="21"/>
    </row>
    <row r="851" spans="1:4" ht="21" x14ac:dyDescent="0.25">
      <c r="A851" s="17"/>
      <c r="B851" s="17"/>
      <c r="C851" s="4"/>
      <c r="D851" s="21"/>
    </row>
    <row r="852" spans="1:4" ht="21" x14ac:dyDescent="0.25">
      <c r="A852" s="17"/>
      <c r="B852" s="17"/>
      <c r="C852" s="4"/>
      <c r="D852" s="21"/>
    </row>
    <row r="853" spans="1:4" ht="21" x14ac:dyDescent="0.25">
      <c r="A853" s="17"/>
      <c r="B853" s="17"/>
      <c r="C853" s="4"/>
      <c r="D853" s="21"/>
    </row>
    <row r="854" spans="1:4" ht="21" x14ac:dyDescent="0.25">
      <c r="A854" s="17"/>
      <c r="B854" s="17"/>
      <c r="C854" s="4"/>
      <c r="D854" s="21"/>
    </row>
    <row r="855" spans="1:4" ht="21" x14ac:dyDescent="0.25">
      <c r="A855" s="17"/>
      <c r="B855" s="17"/>
      <c r="C855" s="4"/>
      <c r="D855" s="21"/>
    </row>
    <row r="856" spans="1:4" ht="21" x14ac:dyDescent="0.25">
      <c r="A856" s="17"/>
      <c r="B856" s="17"/>
      <c r="C856" s="4"/>
      <c r="D856" s="21"/>
    </row>
    <row r="857" spans="1:4" ht="21" x14ac:dyDescent="0.25">
      <c r="A857" s="17"/>
      <c r="B857" s="17"/>
      <c r="C857" s="4"/>
      <c r="D857" s="21"/>
    </row>
    <row r="858" spans="1:4" ht="21" x14ac:dyDescent="0.25">
      <c r="A858" s="17"/>
      <c r="B858" s="17"/>
      <c r="C858" s="4"/>
      <c r="D858" s="21"/>
    </row>
    <row r="859" spans="1:4" ht="21" x14ac:dyDescent="0.25">
      <c r="A859" s="17"/>
      <c r="B859" s="17"/>
      <c r="C859" s="4"/>
      <c r="D859" s="21"/>
    </row>
    <row r="860" spans="1:4" ht="21" x14ac:dyDescent="0.25">
      <c r="A860" s="17"/>
      <c r="B860" s="17"/>
      <c r="C860" s="4"/>
      <c r="D860" s="21"/>
    </row>
    <row r="861" spans="1:4" ht="21" x14ac:dyDescent="0.25">
      <c r="A861" s="17"/>
      <c r="B861" s="17"/>
      <c r="C861" s="4"/>
      <c r="D861" s="21"/>
    </row>
    <row r="862" spans="1:4" ht="21" x14ac:dyDescent="0.25">
      <c r="A862" s="17"/>
      <c r="B862" s="17"/>
      <c r="C862" s="4"/>
      <c r="D862" s="21"/>
    </row>
    <row r="863" spans="1:4" ht="21" x14ac:dyDescent="0.25">
      <c r="A863" s="17"/>
      <c r="B863" s="17"/>
      <c r="C863" s="4"/>
      <c r="D863" s="21"/>
    </row>
    <row r="864" spans="1:4" ht="21" x14ac:dyDescent="0.25">
      <c r="A864" s="17"/>
      <c r="B864" s="17"/>
      <c r="C864" s="4"/>
      <c r="D864" s="21"/>
    </row>
    <row r="865" spans="1:4" ht="21" x14ac:dyDescent="0.25">
      <c r="A865" s="17"/>
      <c r="B865" s="17"/>
      <c r="C865" s="4"/>
      <c r="D865" s="21"/>
    </row>
    <row r="866" spans="1:4" ht="21" x14ac:dyDescent="0.25">
      <c r="A866" s="17"/>
      <c r="B866" s="17"/>
      <c r="C866" s="4"/>
      <c r="D866" s="21"/>
    </row>
    <row r="867" spans="1:4" ht="21" x14ac:dyDescent="0.25">
      <c r="A867" s="17"/>
      <c r="B867" s="17"/>
      <c r="C867" s="4"/>
      <c r="D867" s="21"/>
    </row>
    <row r="868" spans="1:4" ht="21" x14ac:dyDescent="0.25">
      <c r="A868" s="17"/>
      <c r="B868" s="17"/>
      <c r="C868" s="4"/>
      <c r="D868" s="21"/>
    </row>
    <row r="869" spans="1:4" ht="21" x14ac:dyDescent="0.25">
      <c r="A869" s="17"/>
      <c r="B869" s="17"/>
      <c r="C869" s="4"/>
      <c r="D869" s="21"/>
    </row>
    <row r="870" spans="1:4" ht="21" x14ac:dyDescent="0.25">
      <c r="A870" s="17"/>
      <c r="B870" s="17"/>
      <c r="C870" s="4"/>
      <c r="D870" s="21"/>
    </row>
    <row r="871" spans="1:4" ht="21" x14ac:dyDescent="0.25">
      <c r="A871" s="17"/>
      <c r="B871" s="17"/>
      <c r="C871" s="4"/>
      <c r="D871" s="21"/>
    </row>
    <row r="872" spans="1:4" ht="21" x14ac:dyDescent="0.25">
      <c r="A872" s="17"/>
      <c r="B872" s="17"/>
      <c r="C872" s="4"/>
      <c r="D872" s="21"/>
    </row>
    <row r="873" spans="1:4" ht="21" x14ac:dyDescent="0.25">
      <c r="A873" s="17"/>
      <c r="B873" s="17"/>
      <c r="C873" s="4"/>
      <c r="D873" s="21"/>
    </row>
    <row r="874" spans="1:4" ht="21" x14ac:dyDescent="0.25">
      <c r="A874" s="17"/>
      <c r="B874" s="17"/>
      <c r="C874" s="4"/>
      <c r="D874" s="21"/>
    </row>
    <row r="875" spans="1:4" ht="21" x14ac:dyDescent="0.25">
      <c r="A875" s="17"/>
      <c r="B875" s="17"/>
      <c r="C875" s="4"/>
      <c r="D875" s="21"/>
    </row>
    <row r="876" spans="1:4" ht="21" x14ac:dyDescent="0.25">
      <c r="A876" s="17"/>
      <c r="B876" s="17"/>
      <c r="C876" s="4"/>
      <c r="D876" s="21"/>
    </row>
    <row r="877" spans="1:4" ht="21" x14ac:dyDescent="0.25">
      <c r="A877" s="17"/>
      <c r="B877" s="17"/>
      <c r="C877" s="4"/>
      <c r="D877" s="21"/>
    </row>
    <row r="878" spans="1:4" ht="21" x14ac:dyDescent="0.25">
      <c r="A878" s="17"/>
      <c r="B878" s="17"/>
      <c r="C878" s="4"/>
      <c r="D878" s="21"/>
    </row>
    <row r="879" spans="1:4" ht="21" x14ac:dyDescent="0.25">
      <c r="A879" s="17"/>
      <c r="B879" s="17"/>
      <c r="C879" s="4"/>
      <c r="D879" s="21"/>
    </row>
    <row r="880" spans="1:4" ht="21" x14ac:dyDescent="0.25">
      <c r="A880" s="17"/>
      <c r="B880" s="17"/>
      <c r="C880" s="4"/>
      <c r="D880" s="21"/>
    </row>
    <row r="881" spans="1:4" ht="21" x14ac:dyDescent="0.25">
      <c r="A881" s="17"/>
      <c r="B881" s="17"/>
      <c r="C881" s="4"/>
      <c r="D881" s="21"/>
    </row>
    <row r="882" spans="1:4" ht="21" x14ac:dyDescent="0.25">
      <c r="A882" s="17"/>
      <c r="B882" s="17"/>
      <c r="C882" s="4"/>
      <c r="D882" s="21"/>
    </row>
    <row r="883" spans="1:4" ht="21" x14ac:dyDescent="0.25">
      <c r="A883" s="17"/>
      <c r="B883" s="17"/>
      <c r="C883" s="4"/>
      <c r="D883" s="21"/>
    </row>
    <row r="884" spans="1:4" ht="21" x14ac:dyDescent="0.25">
      <c r="A884" s="17"/>
      <c r="B884" s="17"/>
      <c r="C884" s="4"/>
      <c r="D884" s="21"/>
    </row>
    <row r="885" spans="1:4" ht="21" x14ac:dyDescent="0.25">
      <c r="A885" s="17"/>
      <c r="B885" s="17"/>
      <c r="C885" s="4"/>
      <c r="D885" s="21"/>
    </row>
    <row r="886" spans="1:4" ht="21" x14ac:dyDescent="0.25">
      <c r="A886" s="17"/>
      <c r="B886" s="17"/>
      <c r="C886" s="4"/>
      <c r="D886" s="21"/>
    </row>
    <row r="887" spans="1:4" ht="21" x14ac:dyDescent="0.25">
      <c r="A887" s="17"/>
      <c r="B887" s="17"/>
      <c r="C887" s="4"/>
      <c r="D887" s="21"/>
    </row>
    <row r="888" spans="1:4" ht="21" x14ac:dyDescent="0.25">
      <c r="A888" s="17"/>
      <c r="B888" s="17"/>
      <c r="C888" s="4"/>
      <c r="D888" s="21"/>
    </row>
    <row r="889" spans="1:4" ht="21" x14ac:dyDescent="0.25">
      <c r="A889" s="17"/>
      <c r="B889" s="17"/>
      <c r="C889" s="4"/>
      <c r="D889" s="21"/>
    </row>
    <row r="890" spans="1:4" ht="21" x14ac:dyDescent="0.25">
      <c r="A890" s="17"/>
      <c r="B890" s="17"/>
      <c r="C890" s="4"/>
      <c r="D890" s="21"/>
    </row>
    <row r="891" spans="1:4" ht="21" x14ac:dyDescent="0.25">
      <c r="A891" s="17"/>
      <c r="B891" s="17"/>
      <c r="C891" s="4"/>
      <c r="D891" s="21"/>
    </row>
    <row r="892" spans="1:4" ht="21" x14ac:dyDescent="0.25">
      <c r="A892" s="17"/>
      <c r="B892" s="17"/>
      <c r="C892" s="4"/>
      <c r="D892" s="21"/>
    </row>
  </sheetData>
  <protectedRanges>
    <protectedRange sqref="AD277" name="Rango1_1_3"/>
    <protectedRange sqref="AC145 AC151 AC156" name="Rango1_1_3_1_3"/>
    <protectedRange sqref="AC148" name="Rango1_1_3_2_2"/>
    <protectedRange sqref="AC155" name="Rango1_1_3_1_1_2"/>
  </protectedRanges>
  <autoFilter ref="A19:EV351" xr:uid="{53E4A6C0-4724-40FF-B7EF-B168AD279900}">
    <filterColumn colId="38">
      <filters>
        <filter val="RIESGO ALTO"/>
      </filters>
    </filterColumn>
  </autoFilter>
  <dataConsolidate/>
  <mergeCells count="267">
    <mergeCell ref="A349:A351"/>
    <mergeCell ref="B349:B351"/>
    <mergeCell ref="C349:C351"/>
    <mergeCell ref="D349:D351"/>
    <mergeCell ref="F349:F351"/>
    <mergeCell ref="G349:G351"/>
    <mergeCell ref="A346:A348"/>
    <mergeCell ref="B346:B348"/>
    <mergeCell ref="C346:C348"/>
    <mergeCell ref="D346:D348"/>
    <mergeCell ref="F346:F348"/>
    <mergeCell ref="G346:G348"/>
    <mergeCell ref="A343:A345"/>
    <mergeCell ref="B343:B345"/>
    <mergeCell ref="C343:C345"/>
    <mergeCell ref="D343:D345"/>
    <mergeCell ref="F343:F345"/>
    <mergeCell ref="G343:G345"/>
    <mergeCell ref="A340:A342"/>
    <mergeCell ref="B340:B342"/>
    <mergeCell ref="C340:C342"/>
    <mergeCell ref="D340:D342"/>
    <mergeCell ref="F340:F342"/>
    <mergeCell ref="G340:G342"/>
    <mergeCell ref="A337:A339"/>
    <mergeCell ref="B337:B339"/>
    <mergeCell ref="C337:C339"/>
    <mergeCell ref="D337:D339"/>
    <mergeCell ref="F337:F339"/>
    <mergeCell ref="G337:G339"/>
    <mergeCell ref="A334:A336"/>
    <mergeCell ref="B334:B336"/>
    <mergeCell ref="C334:C336"/>
    <mergeCell ref="D334:D336"/>
    <mergeCell ref="F334:F336"/>
    <mergeCell ref="G334:G336"/>
    <mergeCell ref="A331:A333"/>
    <mergeCell ref="B331:B333"/>
    <mergeCell ref="C331:C333"/>
    <mergeCell ref="D331:D333"/>
    <mergeCell ref="F331:F333"/>
    <mergeCell ref="G331:G333"/>
    <mergeCell ref="A328:A330"/>
    <mergeCell ref="B328:B330"/>
    <mergeCell ref="C328:C330"/>
    <mergeCell ref="D328:D330"/>
    <mergeCell ref="F328:F330"/>
    <mergeCell ref="G328:G330"/>
    <mergeCell ref="A325:A327"/>
    <mergeCell ref="B325:B327"/>
    <mergeCell ref="C325:C327"/>
    <mergeCell ref="D325:D327"/>
    <mergeCell ref="F325:F327"/>
    <mergeCell ref="G325:G327"/>
    <mergeCell ref="A322:A324"/>
    <mergeCell ref="B322:B324"/>
    <mergeCell ref="C322:C324"/>
    <mergeCell ref="D322:D324"/>
    <mergeCell ref="F322:F324"/>
    <mergeCell ref="G322:G324"/>
    <mergeCell ref="A319:A321"/>
    <mergeCell ref="B319:B321"/>
    <mergeCell ref="C319:C321"/>
    <mergeCell ref="D319:D321"/>
    <mergeCell ref="F319:F321"/>
    <mergeCell ref="G319:G321"/>
    <mergeCell ref="A316:A318"/>
    <mergeCell ref="B316:B318"/>
    <mergeCell ref="C316:C318"/>
    <mergeCell ref="D316:D318"/>
    <mergeCell ref="F316:F318"/>
    <mergeCell ref="G316:G318"/>
    <mergeCell ref="A313:A315"/>
    <mergeCell ref="B313:B315"/>
    <mergeCell ref="C313:C315"/>
    <mergeCell ref="D313:D315"/>
    <mergeCell ref="F313:F315"/>
    <mergeCell ref="G313:G315"/>
    <mergeCell ref="A310:A312"/>
    <mergeCell ref="B310:B312"/>
    <mergeCell ref="C310:C312"/>
    <mergeCell ref="D310:D312"/>
    <mergeCell ref="F310:F312"/>
    <mergeCell ref="G310:G312"/>
    <mergeCell ref="A307:A309"/>
    <mergeCell ref="B307:B309"/>
    <mergeCell ref="C307:C309"/>
    <mergeCell ref="D307:D309"/>
    <mergeCell ref="F307:F309"/>
    <mergeCell ref="G307:G309"/>
    <mergeCell ref="G283:G293"/>
    <mergeCell ref="I291:I293"/>
    <mergeCell ref="C294:C306"/>
    <mergeCell ref="D294:D306"/>
    <mergeCell ref="E294:E306"/>
    <mergeCell ref="F294:F306"/>
    <mergeCell ref="G294:G306"/>
    <mergeCell ref="I297:I298"/>
    <mergeCell ref="I304:I306"/>
    <mergeCell ref="A283:A306"/>
    <mergeCell ref="B283:B306"/>
    <mergeCell ref="C283:C293"/>
    <mergeCell ref="D283:D293"/>
    <mergeCell ref="E283:E293"/>
    <mergeCell ref="F283:F293"/>
    <mergeCell ref="A203:A282"/>
    <mergeCell ref="B203:B282"/>
    <mergeCell ref="C203:C214"/>
    <mergeCell ref="D203:D214"/>
    <mergeCell ref="F203:F214"/>
    <mergeCell ref="C215:C231"/>
    <mergeCell ref="D215:D231"/>
    <mergeCell ref="F215:F231"/>
    <mergeCell ref="C232:C248"/>
    <mergeCell ref="D232:D248"/>
    <mergeCell ref="C266:C272"/>
    <mergeCell ref="D266:D272"/>
    <mergeCell ref="F266:F272"/>
    <mergeCell ref="C273:C282"/>
    <mergeCell ref="D273:D282"/>
    <mergeCell ref="F273:F282"/>
    <mergeCell ref="F232:F248"/>
    <mergeCell ref="C249:C261"/>
    <mergeCell ref="D249:D261"/>
    <mergeCell ref="F249:F261"/>
    <mergeCell ref="C262:C265"/>
    <mergeCell ref="D262:D265"/>
    <mergeCell ref="F262:F265"/>
    <mergeCell ref="C190:C202"/>
    <mergeCell ref="D190:D195"/>
    <mergeCell ref="F190:F195"/>
    <mergeCell ref="D196:D197"/>
    <mergeCell ref="F196:F197"/>
    <mergeCell ref="D198:D199"/>
    <mergeCell ref="F198:F199"/>
    <mergeCell ref="D200:D201"/>
    <mergeCell ref="F200:F201"/>
    <mergeCell ref="C165:C176"/>
    <mergeCell ref="D165:D176"/>
    <mergeCell ref="F165:F176"/>
    <mergeCell ref="C177:C189"/>
    <mergeCell ref="D177:D189"/>
    <mergeCell ref="F177:F189"/>
    <mergeCell ref="D144:D150"/>
    <mergeCell ref="F144:F150"/>
    <mergeCell ref="D151:D158"/>
    <mergeCell ref="F151:F158"/>
    <mergeCell ref="D159:D164"/>
    <mergeCell ref="F159:F164"/>
    <mergeCell ref="F89:F93"/>
    <mergeCell ref="G89:G93"/>
    <mergeCell ref="D117:D123"/>
    <mergeCell ref="F117:F123"/>
    <mergeCell ref="D124:D132"/>
    <mergeCell ref="F124:F132"/>
    <mergeCell ref="D133:D143"/>
    <mergeCell ref="F133:F143"/>
    <mergeCell ref="D94:D100"/>
    <mergeCell ref="F94:F100"/>
    <mergeCell ref="D101:D108"/>
    <mergeCell ref="F101:F108"/>
    <mergeCell ref="D109:D116"/>
    <mergeCell ref="F109:F116"/>
    <mergeCell ref="G60:G73"/>
    <mergeCell ref="I60:I62"/>
    <mergeCell ref="I64:I67"/>
    <mergeCell ref="I68:I69"/>
    <mergeCell ref="I70:I72"/>
    <mergeCell ref="A74:A202"/>
    <mergeCell ref="B74:B202"/>
    <mergeCell ref="C74:C80"/>
    <mergeCell ref="D74:D80"/>
    <mergeCell ref="E74:E80"/>
    <mergeCell ref="A60:A73"/>
    <mergeCell ref="B60:B73"/>
    <mergeCell ref="C60:C73"/>
    <mergeCell ref="D60:D73"/>
    <mergeCell ref="E60:E73"/>
    <mergeCell ref="F60:F73"/>
    <mergeCell ref="F74:F80"/>
    <mergeCell ref="G74:G80"/>
    <mergeCell ref="I75:I78"/>
    <mergeCell ref="C81:C164"/>
    <mergeCell ref="D81:D88"/>
    <mergeCell ref="F81:F88"/>
    <mergeCell ref="G81:G88"/>
    <mergeCell ref="D89:D93"/>
    <mergeCell ref="C49:C59"/>
    <mergeCell ref="D49:D59"/>
    <mergeCell ref="E49:E59"/>
    <mergeCell ref="F49:F59"/>
    <mergeCell ref="G49:G59"/>
    <mergeCell ref="I58:I59"/>
    <mergeCell ref="C37:C48"/>
    <mergeCell ref="D37:D48"/>
    <mergeCell ref="E37:E48"/>
    <mergeCell ref="F37:F48"/>
    <mergeCell ref="G37:G48"/>
    <mergeCell ref="I42:I43"/>
    <mergeCell ref="I44:I45"/>
    <mergeCell ref="I46:I47"/>
    <mergeCell ref="F21:F26"/>
    <mergeCell ref="G21:G26"/>
    <mergeCell ref="I24:I25"/>
    <mergeCell ref="C27:C36"/>
    <mergeCell ref="D27:D36"/>
    <mergeCell ref="E27:E36"/>
    <mergeCell ref="F27:F36"/>
    <mergeCell ref="G27:G36"/>
    <mergeCell ref="I27:I29"/>
    <mergeCell ref="I32:I34"/>
    <mergeCell ref="AJ18:AJ19"/>
    <mergeCell ref="AK18:AK19"/>
    <mergeCell ref="AM18:AM19"/>
    <mergeCell ref="AN18:AR18"/>
    <mergeCell ref="AS18:AS19"/>
    <mergeCell ref="A21:A59"/>
    <mergeCell ref="B21:B59"/>
    <mergeCell ref="C21:C26"/>
    <mergeCell ref="D21:D26"/>
    <mergeCell ref="E21:E26"/>
    <mergeCell ref="P18:V18"/>
    <mergeCell ref="X18:Z18"/>
    <mergeCell ref="AA18:AE18"/>
    <mergeCell ref="AF18:AF19"/>
    <mergeCell ref="AG18:AG19"/>
    <mergeCell ref="AH18:AH19"/>
    <mergeCell ref="G18:G19"/>
    <mergeCell ref="H18:I18"/>
    <mergeCell ref="J18:J19"/>
    <mergeCell ref="K18:K19"/>
    <mergeCell ref="L18:L19"/>
    <mergeCell ref="M18:O18"/>
    <mergeCell ref="A18:A19"/>
    <mergeCell ref="B18:B19"/>
    <mergeCell ref="C18:C19"/>
    <mergeCell ref="D18:D19"/>
    <mergeCell ref="E18:E19"/>
    <mergeCell ref="F18:F19"/>
    <mergeCell ref="A15:D15"/>
    <mergeCell ref="E15:K15"/>
    <mergeCell ref="L15:AA15"/>
    <mergeCell ref="A16:D16"/>
    <mergeCell ref="E16:K16"/>
    <mergeCell ref="L16:AA16"/>
    <mergeCell ref="A1:B4"/>
    <mergeCell ref="C1:AQ4"/>
    <mergeCell ref="AR1:AS4"/>
    <mergeCell ref="A6:B6"/>
    <mergeCell ref="M6:N6"/>
    <mergeCell ref="AB6:AD16"/>
    <mergeCell ref="AE6:AJ16"/>
    <mergeCell ref="A7:B7"/>
    <mergeCell ref="M7:N7"/>
    <mergeCell ref="A8:B8"/>
    <mergeCell ref="A13:D13"/>
    <mergeCell ref="E13:K13"/>
    <mergeCell ref="L13:AA13"/>
    <mergeCell ref="A14:D14"/>
    <mergeCell ref="E14:K14"/>
    <mergeCell ref="L14:AA14"/>
    <mergeCell ref="M8:N8"/>
    <mergeCell ref="A9:B9"/>
    <mergeCell ref="A10:B10"/>
    <mergeCell ref="A12:D12"/>
    <mergeCell ref="E12:K12"/>
    <mergeCell ref="L12:AA12"/>
  </mergeCells>
  <conditionalFormatting sqref="P20">
    <cfRule type="cellIs" dxfId="75" priority="22" operator="equal">
      <formula xml:space="preserve"> "RIESGO NO ACEPTABLE"</formula>
    </cfRule>
    <cfRule type="cellIs" dxfId="74" priority="21" operator="equal">
      <formula xml:space="preserve"> "RIESGO ALTO"</formula>
    </cfRule>
    <cfRule type="cellIs" dxfId="73" priority="20" operator="equal">
      <formula xml:space="preserve"> "RIESGO ACEPTABLE"</formula>
    </cfRule>
  </conditionalFormatting>
  <conditionalFormatting sqref="S20:S351 R23:R26 AI23:AJ26 AJ74:AJ351 R304:R305 AI304:AI305">
    <cfRule type="cellIs" dxfId="72" priority="42" operator="equal">
      <formula xml:space="preserve"> "MUY ALTO"</formula>
    </cfRule>
    <cfRule type="cellIs" dxfId="71" priority="41" operator="equal">
      <formula xml:space="preserve"> "ALTO"</formula>
    </cfRule>
    <cfRule type="cellIs" dxfId="70" priority="40" operator="equal">
      <formula xml:space="preserve"> "MEDIO"</formula>
    </cfRule>
    <cfRule type="cellIs" dxfId="69" priority="39" operator="equal">
      <formula xml:space="preserve"> "BAJO"</formula>
    </cfRule>
  </conditionalFormatting>
  <conditionalFormatting sqref="T24:T25">
    <cfRule type="cellIs" dxfId="68" priority="17" operator="equal">
      <formula xml:space="preserve"> "RIESGO ACEPTABLE"</formula>
    </cfRule>
    <cfRule type="cellIs" dxfId="67" priority="19" operator="equal">
      <formula xml:space="preserve"> "RIESGO NO ACEPTABLE"</formula>
    </cfRule>
    <cfRule type="cellIs" dxfId="66" priority="18" operator="equal">
      <formula xml:space="preserve"> "RIESGO ALTO"</formula>
    </cfRule>
  </conditionalFormatting>
  <conditionalFormatting sqref="T27:T351">
    <cfRule type="cellIs" dxfId="65" priority="14" operator="equal">
      <formula xml:space="preserve"> "RIESGO ACEPTABLE"</formula>
    </cfRule>
    <cfRule type="cellIs" dxfId="64" priority="15" operator="equal">
      <formula xml:space="preserve"> "RIESGO ALTO"</formula>
    </cfRule>
    <cfRule type="cellIs" dxfId="63" priority="16" operator="equal">
      <formula xml:space="preserve"> "RIESGO NO ACEPTABLE"</formula>
    </cfRule>
  </conditionalFormatting>
  <conditionalFormatting sqref="U20:W351 Z20:Z351 X22:X305 AM27:AM29 AL30:AM30 AM31:AM34 AL35:AM35 AM36:AM37 AL38:AM38 AM39 AA40 AM40:AN40 AM41:AM45 AL46:AM46 AM47:AM51 AA52 AL52:AN52 AM53:AM72 AA63:AA67 AN63:AN67 AL73:AM73 AM74:AM351 AL291:AL292">
    <cfRule type="cellIs" dxfId="62" priority="44" operator="equal">
      <formula xml:space="preserve"> "RIESGO ALTO"</formula>
    </cfRule>
    <cfRule type="cellIs" dxfId="61" priority="45" operator="equal">
      <formula xml:space="preserve"> "RIESGO NO ACEPTABLE"</formula>
    </cfRule>
  </conditionalFormatting>
  <conditionalFormatting sqref="X22:X305 U20:W351 Z20:Z351 AM27:AM29 AL30:AM30 AM31:AM34 AL35:AM35 AM36:AM37 AL38:AM38 AM39 AA40 AM40:AN40 AM41:AM45 AL46:AM46 AM47:AM51 AA52 AL52:AN52 AM53:AM72 AA63:AA67 AN63:AN67 AL73:AM73 AM74:AM351 AL291:AL292">
    <cfRule type="cellIs" dxfId="60" priority="43" operator="equal">
      <formula xml:space="preserve"> "RIESGO ACEPTABLE"</formula>
    </cfRule>
  </conditionalFormatting>
  <conditionalFormatting sqref="X304:X307">
    <cfRule type="cellIs" dxfId="59" priority="12" operator="equal">
      <formula xml:space="preserve"> "RIESGO ALTO"</formula>
    </cfRule>
    <cfRule type="cellIs" dxfId="58" priority="11" operator="equal">
      <formula xml:space="preserve"> "RIESGO ACEPTABLE"</formula>
    </cfRule>
    <cfRule type="cellIs" dxfId="57" priority="13" operator="equal">
      <formula xml:space="preserve"> "RIESGO NO ACEPTABLE"</formula>
    </cfRule>
  </conditionalFormatting>
  <conditionalFormatting sqref="X306:X308">
    <cfRule type="cellIs" dxfId="56" priority="10" operator="equal">
      <formula xml:space="preserve"> "RIESGO NO ACEPTABLE"</formula>
    </cfRule>
    <cfRule type="cellIs" dxfId="55" priority="9" operator="equal">
      <formula xml:space="preserve"> "RIESGO ALTO"</formula>
    </cfRule>
    <cfRule type="cellIs" dxfId="54" priority="8" operator="equal">
      <formula xml:space="preserve"> "RIESGO ACEPTABLE"</formula>
    </cfRule>
  </conditionalFormatting>
  <conditionalFormatting sqref="X308:X324">
    <cfRule type="cellIs" dxfId="53" priority="7" operator="equal">
      <formula xml:space="preserve"> "RIESGO NO ACEPTABLE"</formula>
    </cfRule>
    <cfRule type="cellIs" dxfId="52" priority="6" operator="equal">
      <formula xml:space="preserve"> "RIESGO ALTO"</formula>
    </cfRule>
    <cfRule type="cellIs" dxfId="51" priority="5" operator="equal">
      <formula xml:space="preserve"> "RIESGO ACEPTABLE"</formula>
    </cfRule>
  </conditionalFormatting>
  <conditionalFormatting sqref="X309:X324">
    <cfRule type="cellIs" dxfId="50" priority="2" operator="equal">
      <formula xml:space="preserve"> "RIESGO ACEPTABLE"</formula>
    </cfRule>
    <cfRule type="cellIs" dxfId="49" priority="3" operator="equal">
      <formula xml:space="preserve"> "RIESGO ALTO"</formula>
    </cfRule>
    <cfRule type="cellIs" dxfId="48" priority="4" operator="equal">
      <formula xml:space="preserve"> "RIESGO NO ACEPTABLE"</formula>
    </cfRule>
  </conditionalFormatting>
  <conditionalFormatting sqref="Z20:Z351">
    <cfRule type="containsText" dxfId="47" priority="1" operator="containsText" text="SI">
      <formula>NOT(ISERROR(SEARCH("SI",Z20)))</formula>
    </cfRule>
  </conditionalFormatting>
  <conditionalFormatting sqref="AI20:AJ20">
    <cfRule type="cellIs" dxfId="46" priority="33" operator="equal">
      <formula xml:space="preserve"> "MEDIO"</formula>
    </cfRule>
    <cfRule type="cellIs" dxfId="45" priority="32" operator="equal">
      <formula xml:space="preserve"> "BAJO"</formula>
    </cfRule>
    <cfRule type="cellIs" dxfId="44" priority="34" operator="equal">
      <formula xml:space="preserve"> "ALTO"</formula>
    </cfRule>
    <cfRule type="cellIs" dxfId="43" priority="35" operator="equal">
      <formula xml:space="preserve"> "MUY ALTO"</formula>
    </cfRule>
  </conditionalFormatting>
  <conditionalFormatting sqref="AJ21:AJ22 AJ27:AJ29 R30 AI30:AJ30 AJ31:AJ34 R35 AI35:AJ35 AJ36:AJ37 R38 AI38:AJ38 AJ39 AJ40:AK40 AJ41:AJ45 R46 AI46:AJ46 AJ47:AJ51 R52 AI52:AK52 AJ53:AJ72 AK63:AK67 R73 AI73:AJ73 R291:R292 AI291:AI292">
    <cfRule type="cellIs" dxfId="42" priority="49" operator="equal">
      <formula xml:space="preserve"> "MUY ALTO"</formula>
    </cfRule>
    <cfRule type="cellIs" dxfId="41" priority="46" operator="equal">
      <formula xml:space="preserve"> "BAJO"</formula>
    </cfRule>
    <cfRule type="cellIs" dxfId="40" priority="47" operator="equal">
      <formula xml:space="preserve"> "MEDIO"</formula>
    </cfRule>
    <cfRule type="cellIs" dxfId="39" priority="48" operator="equal">
      <formula xml:space="preserve"> "ALTO"</formula>
    </cfRule>
  </conditionalFormatting>
  <conditionalFormatting sqref="AL20">
    <cfRule type="cellIs" dxfId="38" priority="26" operator="equal">
      <formula xml:space="preserve"> "RIESGO ACEPTABLE"</formula>
    </cfRule>
    <cfRule type="cellIs" dxfId="37" priority="27" operator="equal">
      <formula xml:space="preserve"> "RIESGO ALTO"</formula>
    </cfRule>
    <cfRule type="cellIs" dxfId="36" priority="28" operator="equal">
      <formula xml:space="preserve"> "RIESGO NO ACEPTABLE"</formula>
    </cfRule>
  </conditionalFormatting>
  <conditionalFormatting sqref="AL304:AL305">
    <cfRule type="cellIs" dxfId="35" priority="38" operator="equal">
      <formula xml:space="preserve"> "RIESGO NO ACEPTABLE"</formula>
    </cfRule>
    <cfRule type="cellIs" dxfId="34" priority="36" operator="equal">
      <formula xml:space="preserve"> "RIESGO ACEPTABLE"</formula>
    </cfRule>
    <cfRule type="cellIs" dxfId="33" priority="37" operator="equal">
      <formula xml:space="preserve"> "RIESGO ALTO"</formula>
    </cfRule>
  </conditionalFormatting>
  <conditionalFormatting sqref="AL23:AM26">
    <cfRule type="cellIs" dxfId="32" priority="24" operator="equal">
      <formula xml:space="preserve"> "RIESGO ALTO"</formula>
    </cfRule>
    <cfRule type="cellIs" dxfId="31" priority="25" operator="equal">
      <formula xml:space="preserve"> "RIESGO NO ACEPTABLE"</formula>
    </cfRule>
    <cfRule type="cellIs" dxfId="30" priority="23" operator="equal">
      <formula xml:space="preserve"> "RIESGO ACEPTABLE"</formula>
    </cfRule>
  </conditionalFormatting>
  <conditionalFormatting sqref="AM20:AM22">
    <cfRule type="cellIs" dxfId="29" priority="29" operator="equal">
      <formula xml:space="preserve"> "RIESGO ACEPTABLE"</formula>
    </cfRule>
    <cfRule type="cellIs" dxfId="28" priority="30" operator="equal">
      <formula xml:space="preserve"> "RIESGO ALTO"</formula>
    </cfRule>
    <cfRule type="cellIs" dxfId="27" priority="31" operator="equal">
      <formula xml:space="preserve"> "RIESGO NO ACEPTABLE"</formula>
    </cfRule>
  </conditionalFormatting>
  <dataValidations count="4">
    <dataValidation type="list" allowBlank="1" showInputMessage="1" showErrorMessage="1" sqref="L348:L349 L345:L346 L307 K308:L308 L309:L310 L342:L343 L312:L313 K344:L344 K311:L311 K314:L314 L315:L316 K317:L317 T26 L318:L319 K320:L320 L321:L322 K323:L323 K347:L347 L324:L325 K326:L326 T20:T23 L327:L328 K329:L329 L330:L331 K332:L332 L333:L334 K335:L335 L336:L337 K338:L338 L339:L340 K341:L341 I308 I311 I314 I317 I320 I323 I326 I329 I332 I335 I338 I341 I344 I347 I20:I75 AG20:AH306 I79:I306 H20:H306 AK20:AK351 K20:L306 Q187:Q306 P21:P351 Q20:Q185 L351 K350:L350 I350" xr:uid="{5A82BD88-E3BA-4274-A1EF-48B0D4D4DE04}">
      <formula1>#REF!</formula1>
    </dataValidation>
    <dataValidation type="whole" allowBlank="1" showInputMessage="1" showErrorMessage="1" sqref="AA299 AA304:AA305 AA288:AA289 AA286 AA295:AA296 AA291:AA292 AA253 AA277 AA202 AA284 AA46 AA41:AA42 AA48 AA38 AA35 AA31 AA33 AA26 AA22:AA23 AA55:AA57 AA52 AA63 AA71 AA65:AA68 AA301:AA302 AA73:AA75 AA112:AA132 AA77:AA110 AA134:AA183 AA185:AA200" xr:uid="{3F7440B4-D087-4FEF-B38D-8FBE14EF4B79}">
      <formula1>1</formula1>
      <formula2>5</formula2>
    </dataValidation>
    <dataValidation type="whole" allowBlank="1" showInputMessage="1" showErrorMessage="1" errorTitle="Datp no valido" error="Debe introducir un valor entre 1 y 5" sqref="AB299 AB304:AB305 AB288:AB289 AB286 AN295:AN296 AB291:AB292 AB253 AN277 AB199:AB200 AB202 AN202 AB177 AN284 AN167:AN171 AB131 AB78:AB80 AB109 AB172 AB166 AN173:AN174 AB175 AB46 AN41 AB42 AB48 AB38 AB35 AB31 AB33 AB26 AB23 AN22 AB55:AB57 AB52 AN63 AB71 AB73 AN65:AN67 AN77 AN74:AN75 AB301:AB302 AN110:AN130 AN81:AN108 AN132:AN165 AN176:AN198" xr:uid="{101806DE-2C82-4677-BD11-D8CFD0C3A136}">
      <formula1>1</formula1>
      <formula2>5</formula2>
    </dataValidation>
    <dataValidation type="whole" allowBlank="1" showInputMessage="1" showErrorMessage="1" errorTitle="Dato no valido" error="Debe introducir un valor entre 1 y 5" sqref="AA111 AA133:AB133" xr:uid="{707A2066-230F-4C97-BD9D-DC10CB0D3C61}">
      <formula1>1</formula1>
      <formula2>5</formula2>
    </dataValidation>
  </dataValidations>
  <pageMargins left="0.196850393700787" right="0" top="0.43307086614173201" bottom="0.27559055118110198" header="0.196850393700787" footer="0.196850393700787"/>
  <pageSetup scale="25" fitToHeight="0" orientation="landscape" cellComments="asDisplayed" r:id="rId1"/>
  <headerFooter alignWithMargins="0">
    <oddFooter>&amp;CUna vez impreso el documento será considerado como COPIA NO CONTROLADA.
Página &amp;P de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A6C0-4724-40FF-B7EF-B168AD279900}">
  <sheetPr>
    <tabColor indexed="43"/>
    <pageSetUpPr autoPageBreaks="0" fitToPage="1"/>
  </sheetPr>
  <dimension ref="A1:EV885"/>
  <sheetViews>
    <sheetView showGridLines="0" tabSelected="1" view="pageBreakPreview" topLeftCell="A137" zoomScaleNormal="50" zoomScaleSheetLayoutView="100" zoomScalePageLayoutView="25" workbookViewId="0">
      <pane xSplit="1" topLeftCell="B1" activePane="topRight" state="frozen"/>
      <selection activeCell="A18" sqref="A18"/>
      <selection pane="topRight" activeCell="D88" sqref="D88:D92"/>
    </sheetView>
  </sheetViews>
  <sheetFormatPr baseColWidth="10" defaultColWidth="4.77734375" defaultRowHeight="20.399999999999999" x14ac:dyDescent="0.25"/>
  <cols>
    <col min="1" max="1" width="15.21875" style="18" bestFit="1" customWidth="1"/>
    <col min="2" max="2" width="16.6640625" style="18" bestFit="1" customWidth="1"/>
    <col min="3" max="3" width="62" style="20" customWidth="1"/>
    <col min="4" max="4" width="53.6640625" style="22" bestFit="1" customWidth="1"/>
    <col min="5" max="5" width="14.5546875" style="2" bestFit="1" customWidth="1"/>
    <col min="6" max="6" width="22.77734375" style="2" bestFit="1" customWidth="1"/>
    <col min="7" max="7" width="16.6640625" style="2" bestFit="1" customWidth="1"/>
    <col min="8" max="8" width="14.6640625" style="2" bestFit="1" customWidth="1"/>
    <col min="9" max="9" width="21.77734375" style="2" customWidth="1"/>
    <col min="10" max="10" width="20.21875" style="2" bestFit="1" customWidth="1"/>
    <col min="11" max="11" width="11.6640625" style="2" bestFit="1" customWidth="1"/>
    <col min="12" max="12" width="16.21875" style="2" customWidth="1"/>
    <col min="13" max="13" width="15.6640625" style="2" bestFit="1" customWidth="1"/>
    <col min="14" max="14" width="20.44140625" style="2" bestFit="1" customWidth="1"/>
    <col min="15" max="15" width="19.44140625" style="2" bestFit="1" customWidth="1"/>
    <col min="16" max="17" width="25" style="2" bestFit="1" customWidth="1"/>
    <col min="18" max="18" width="28.88671875" style="2" bestFit="1" customWidth="1"/>
    <col min="19" max="19" width="36.6640625" style="2" bestFit="1" customWidth="1"/>
    <col min="20" max="20" width="25" style="2" bestFit="1" customWidth="1"/>
    <col min="21" max="21" width="32.77734375" style="2" bestFit="1" customWidth="1"/>
    <col min="22" max="22" width="17.21875" style="2" bestFit="1" customWidth="1"/>
    <col min="23" max="23" width="21.109375" style="2" bestFit="1" customWidth="1"/>
    <col min="24" max="25" width="17.21875" style="2" bestFit="1" customWidth="1"/>
    <col min="26" max="26" width="44.44140625" style="2" bestFit="1" customWidth="1"/>
    <col min="27" max="27" width="15.109375" style="2" bestFit="1" customWidth="1"/>
    <col min="28" max="28" width="14.109375" style="2" bestFit="1" customWidth="1"/>
    <col min="29" max="29" width="20.21875" style="2" bestFit="1" customWidth="1"/>
    <col min="30" max="30" width="41.33203125" style="2" bestFit="1" customWidth="1"/>
    <col min="31" max="31" width="35.109375" style="2" bestFit="1" customWidth="1"/>
    <col min="32" max="32" width="19.88671875" style="2" bestFit="1" customWidth="1"/>
    <col min="33" max="34" width="20.5546875" style="2" bestFit="1" customWidth="1"/>
    <col min="35" max="35" width="16.6640625" style="2" bestFit="1" customWidth="1"/>
    <col min="36" max="36" width="32.21875" style="2" bestFit="1" customWidth="1"/>
    <col min="37" max="37" width="20.5546875" style="2" bestFit="1" customWidth="1"/>
    <col min="38" max="38" width="12.77734375" style="2" bestFit="1" customWidth="1"/>
    <col min="39" max="39" width="16.6640625" style="2" bestFit="1" customWidth="1"/>
    <col min="40" max="40" width="21.33203125" style="2" bestFit="1" customWidth="1"/>
    <col min="41" max="41" width="22.44140625" style="2" bestFit="1" customWidth="1"/>
    <col min="42" max="42" width="20.21875" style="2" bestFit="1" customWidth="1"/>
    <col min="43" max="43" width="34.77734375" style="2" customWidth="1"/>
    <col min="44" max="44" width="18.88671875" style="2" bestFit="1" customWidth="1"/>
    <col min="45" max="45" width="28.33203125" style="2" bestFit="1" customWidth="1"/>
    <col min="46" max="46" width="4.6640625" style="2" bestFit="1" customWidth="1"/>
    <col min="47" max="49" width="4.77734375" style="2"/>
    <col min="50" max="50" width="6.21875" style="2" bestFit="1" customWidth="1"/>
    <col min="51" max="53" width="4.77734375" style="2"/>
    <col min="54" max="54" width="7.44140625" style="2" bestFit="1" customWidth="1"/>
    <col min="55" max="55" width="6.77734375" style="2" bestFit="1" customWidth="1"/>
    <col min="56" max="56" width="6.21875" style="2" bestFit="1" customWidth="1"/>
    <col min="57" max="137" width="4.77734375" style="2"/>
    <col min="138" max="152" width="20.77734375" style="2" customWidth="1"/>
    <col min="153" max="16384" width="4.77734375" style="2"/>
  </cols>
  <sheetData>
    <row r="1" spans="1:152" ht="9.6" x14ac:dyDescent="0.25">
      <c r="A1" s="153"/>
      <c r="B1" s="154"/>
      <c r="C1" s="169" t="s">
        <v>0</v>
      </c>
      <c r="D1" s="169"/>
      <c r="E1" s="169"/>
      <c r="F1" s="169"/>
      <c r="G1" s="169"/>
      <c r="H1" s="169"/>
      <c r="I1" s="169"/>
      <c r="J1" s="169"/>
      <c r="K1" s="169"/>
      <c r="L1" s="169"/>
      <c r="M1" s="169"/>
      <c r="N1" s="170"/>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39" t="s">
        <v>1266</v>
      </c>
      <c r="AS1" s="139"/>
    </row>
    <row r="2" spans="1:152" ht="9.6" x14ac:dyDescent="0.25">
      <c r="A2" s="155"/>
      <c r="B2" s="156"/>
      <c r="C2" s="169"/>
      <c r="D2" s="169"/>
      <c r="E2" s="169"/>
      <c r="F2" s="169"/>
      <c r="G2" s="169"/>
      <c r="H2" s="169"/>
      <c r="I2" s="169"/>
      <c r="J2" s="169"/>
      <c r="K2" s="169"/>
      <c r="L2" s="169"/>
      <c r="M2" s="169"/>
      <c r="N2" s="170"/>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39"/>
      <c r="AS2" s="139"/>
    </row>
    <row r="3" spans="1:152" ht="9.6" x14ac:dyDescent="0.25">
      <c r="A3" s="155"/>
      <c r="B3" s="156"/>
      <c r="C3" s="169"/>
      <c r="D3" s="169"/>
      <c r="E3" s="169"/>
      <c r="F3" s="169"/>
      <c r="G3" s="169"/>
      <c r="H3" s="169"/>
      <c r="I3" s="169"/>
      <c r="J3" s="169"/>
      <c r="K3" s="169"/>
      <c r="L3" s="169"/>
      <c r="M3" s="169"/>
      <c r="N3" s="170"/>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39"/>
      <c r="AS3" s="139"/>
    </row>
    <row r="4" spans="1:152" ht="9.6" x14ac:dyDescent="0.25">
      <c r="A4" s="157"/>
      <c r="B4" s="158"/>
      <c r="C4" s="169"/>
      <c r="D4" s="169"/>
      <c r="E4" s="169"/>
      <c r="F4" s="169"/>
      <c r="G4" s="169"/>
      <c r="H4" s="169"/>
      <c r="I4" s="169"/>
      <c r="J4" s="169"/>
      <c r="K4" s="169"/>
      <c r="L4" s="169"/>
      <c r="M4" s="169"/>
      <c r="N4" s="170"/>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39"/>
      <c r="AS4" s="139"/>
    </row>
    <row r="5" spans="1:152" x14ac:dyDescent="0.25">
      <c r="P5" s="104" t="s">
        <v>1185</v>
      </c>
      <c r="Q5" s="104" t="s">
        <v>1186</v>
      </c>
    </row>
    <row r="6" spans="1:152" s="9" customFormat="1" ht="26.4" customHeight="1" x14ac:dyDescent="0.25">
      <c r="A6" s="151" t="s">
        <v>2</v>
      </c>
      <c r="B6" s="151"/>
      <c r="C6" s="103">
        <v>46218</v>
      </c>
      <c r="D6" s="12"/>
      <c r="E6" s="27"/>
      <c r="F6" s="12"/>
      <c r="G6" s="12"/>
      <c r="H6" s="12"/>
      <c r="I6" s="81"/>
      <c r="J6" s="11"/>
      <c r="M6" s="146" t="s">
        <v>4</v>
      </c>
      <c r="N6" s="147"/>
      <c r="O6" s="24">
        <v>93</v>
      </c>
      <c r="P6" s="26">
        <v>77</v>
      </c>
      <c r="Q6" s="26">
        <v>16</v>
      </c>
      <c r="R6" s="26">
        <f>+P6+Q6</f>
        <v>93</v>
      </c>
      <c r="S6" s="26"/>
      <c r="T6" s="1"/>
      <c r="U6" s="1"/>
      <c r="V6" s="1"/>
      <c r="W6" s="1"/>
      <c r="X6" s="1"/>
      <c r="Y6" s="1"/>
      <c r="Z6" s="1"/>
      <c r="AA6" s="23"/>
      <c r="AB6" s="115"/>
      <c r="AC6" s="115"/>
      <c r="AD6" s="115"/>
      <c r="AE6" s="115"/>
      <c r="AF6" s="115"/>
      <c r="AG6" s="115"/>
      <c r="AH6" s="115"/>
      <c r="AI6" s="115"/>
      <c r="AJ6" s="115"/>
      <c r="AK6" s="1"/>
      <c r="AL6" s="1"/>
      <c r="AM6" s="1"/>
      <c r="AN6" s="1"/>
      <c r="AO6" s="1"/>
      <c r="AP6" s="1"/>
      <c r="AQ6" s="1"/>
      <c r="AR6" s="1"/>
      <c r="AS6" s="1"/>
      <c r="EQ6" s="6"/>
      <c r="ER6" s="6"/>
      <c r="ES6" s="6"/>
      <c r="ET6" s="6"/>
      <c r="EU6" s="6"/>
      <c r="EV6" s="6"/>
    </row>
    <row r="7" spans="1:152" s="9" customFormat="1" ht="26.4" customHeight="1" x14ac:dyDescent="0.25">
      <c r="A7" s="151" t="s">
        <v>5</v>
      </c>
      <c r="B7" s="151"/>
      <c r="C7" s="12" t="s">
        <v>1210</v>
      </c>
      <c r="D7" s="12"/>
      <c r="E7" s="12"/>
      <c r="F7" s="12"/>
      <c r="G7" s="12"/>
      <c r="H7" s="12"/>
      <c r="I7" s="81"/>
      <c r="J7" s="11"/>
      <c r="M7" s="146"/>
      <c r="N7" s="147"/>
      <c r="O7" s="24"/>
      <c r="P7" s="26"/>
      <c r="Q7" s="26"/>
      <c r="R7" s="26"/>
      <c r="S7" s="26"/>
      <c r="T7" s="12"/>
      <c r="U7" s="12"/>
      <c r="V7" s="12"/>
      <c r="W7" s="1"/>
      <c r="X7" s="1"/>
      <c r="Y7" s="1"/>
      <c r="Z7" s="1"/>
      <c r="AA7" s="23"/>
      <c r="AB7" s="115"/>
      <c r="AC7" s="115"/>
      <c r="AD7" s="115"/>
      <c r="AE7" s="115"/>
      <c r="AF7" s="115"/>
      <c r="AG7" s="115"/>
      <c r="AH7" s="115"/>
      <c r="AI7" s="115"/>
      <c r="AJ7" s="115"/>
      <c r="AK7" s="12"/>
      <c r="AL7" s="12"/>
      <c r="AM7" s="12"/>
      <c r="AN7" s="1"/>
      <c r="AO7" s="1"/>
      <c r="AP7" s="1"/>
      <c r="AQ7" s="1"/>
      <c r="AR7" s="1"/>
      <c r="AS7" s="1"/>
      <c r="EQ7" s="6"/>
      <c r="ER7" s="6"/>
      <c r="ES7" s="6"/>
      <c r="ET7" s="6"/>
      <c r="EU7" s="6"/>
      <c r="EV7" s="6"/>
    </row>
    <row r="8" spans="1:152" s="9" customFormat="1" ht="24" customHeight="1" x14ac:dyDescent="0.25">
      <c r="A8" s="151" t="s">
        <v>7</v>
      </c>
      <c r="B8" s="151"/>
      <c r="C8" s="12" t="s">
        <v>1268</v>
      </c>
      <c r="D8" s="12"/>
      <c r="E8" s="12"/>
      <c r="F8" s="12"/>
      <c r="G8" s="12"/>
      <c r="H8" s="12"/>
      <c r="I8" s="81"/>
      <c r="J8" s="11"/>
      <c r="M8" s="146"/>
      <c r="N8" s="147"/>
      <c r="O8" s="24"/>
      <c r="P8" s="26"/>
      <c r="Q8" s="26"/>
      <c r="R8" s="26"/>
      <c r="S8" s="26"/>
      <c r="T8" s="12"/>
      <c r="U8" s="12"/>
      <c r="V8" s="12"/>
      <c r="W8" s="1"/>
      <c r="X8" s="1"/>
      <c r="Y8" s="1"/>
      <c r="Z8" s="1"/>
      <c r="AA8" s="23"/>
      <c r="AB8" s="115"/>
      <c r="AC8" s="115"/>
      <c r="AD8" s="115"/>
      <c r="AE8" s="115"/>
      <c r="AF8" s="115"/>
      <c r="AG8" s="115"/>
      <c r="AH8" s="115"/>
      <c r="AI8" s="115"/>
      <c r="AJ8" s="115"/>
      <c r="AK8" s="12"/>
      <c r="AL8" s="12"/>
      <c r="AM8" s="12"/>
      <c r="AN8" s="1"/>
      <c r="AO8" s="1"/>
      <c r="AP8" s="1"/>
      <c r="AQ8" s="1"/>
      <c r="AR8" s="1"/>
      <c r="AS8" s="1"/>
      <c r="EQ8" s="6"/>
      <c r="ER8" s="6"/>
      <c r="ES8" s="6"/>
      <c r="ET8" s="6"/>
      <c r="EU8" s="6"/>
      <c r="EV8" s="6"/>
    </row>
    <row r="9" spans="1:152" s="9" customFormat="1" ht="21" customHeight="1" x14ac:dyDescent="0.25">
      <c r="A9" s="151" t="s">
        <v>10</v>
      </c>
      <c r="B9" s="151"/>
      <c r="C9" s="12" t="s">
        <v>11</v>
      </c>
      <c r="D9" s="12"/>
      <c r="E9" s="12"/>
      <c r="F9" s="12"/>
      <c r="G9" s="12"/>
      <c r="H9" s="12"/>
      <c r="I9" s="81"/>
      <c r="J9" s="11"/>
      <c r="L9" s="11"/>
      <c r="M9" s="11"/>
      <c r="N9" s="23"/>
      <c r="O9" s="11"/>
      <c r="P9" s="10"/>
      <c r="Q9" s="1"/>
      <c r="R9" s="1"/>
      <c r="T9" s="12"/>
      <c r="U9" s="12"/>
      <c r="V9" s="12"/>
      <c r="W9" s="1"/>
      <c r="X9" s="1"/>
      <c r="Y9" s="1"/>
      <c r="Z9" s="1"/>
      <c r="AA9" s="23"/>
      <c r="AB9" s="115"/>
      <c r="AC9" s="115"/>
      <c r="AD9" s="115"/>
      <c r="AE9" s="115"/>
      <c r="AF9" s="115"/>
      <c r="AG9" s="115"/>
      <c r="AH9" s="115"/>
      <c r="AI9" s="115"/>
      <c r="AJ9" s="115"/>
      <c r="AK9" s="12"/>
      <c r="AL9" s="12"/>
      <c r="AM9" s="12"/>
      <c r="AN9" s="1"/>
      <c r="AO9" s="1"/>
      <c r="AP9" s="1"/>
      <c r="AQ9" s="1"/>
      <c r="AR9" s="1"/>
      <c r="AS9" s="1"/>
      <c r="EQ9" s="6"/>
      <c r="ER9" s="6"/>
      <c r="ES9" s="6"/>
      <c r="ET9" s="6"/>
      <c r="EU9" s="6"/>
      <c r="EV9" s="6"/>
    </row>
    <row r="10" spans="1:152" s="9" customFormat="1" ht="26.4" customHeight="1" x14ac:dyDescent="0.25">
      <c r="A10" s="151" t="s">
        <v>12</v>
      </c>
      <c r="B10" s="151"/>
      <c r="C10" s="12" t="s">
        <v>13</v>
      </c>
      <c r="D10" s="12"/>
      <c r="E10" s="12"/>
      <c r="F10" s="12"/>
      <c r="G10" s="12"/>
      <c r="H10" s="12"/>
      <c r="I10" s="81"/>
      <c r="J10" s="1"/>
      <c r="K10" s="1"/>
      <c r="L10" s="1"/>
      <c r="M10" s="1"/>
      <c r="N10" s="1"/>
      <c r="O10" s="1"/>
      <c r="P10" s="1"/>
      <c r="Q10" s="1"/>
      <c r="R10" s="1"/>
      <c r="S10" s="1"/>
      <c r="T10" s="1"/>
      <c r="U10" s="1"/>
      <c r="V10" s="1"/>
      <c r="W10" s="1"/>
      <c r="X10" s="1"/>
      <c r="Y10" s="1"/>
      <c r="Z10" s="1"/>
      <c r="AA10" s="23"/>
      <c r="AB10" s="115"/>
      <c r="AC10" s="115"/>
      <c r="AD10" s="115"/>
      <c r="AE10" s="115"/>
      <c r="AF10" s="115"/>
      <c r="AG10" s="115"/>
      <c r="AH10" s="115"/>
      <c r="AI10" s="115"/>
      <c r="AJ10" s="115"/>
      <c r="AK10" s="1"/>
      <c r="AL10" s="1"/>
      <c r="AM10" s="1"/>
      <c r="AN10" s="1"/>
      <c r="AO10" s="1"/>
      <c r="AP10" s="1"/>
      <c r="AQ10" s="1"/>
      <c r="AR10" s="1"/>
      <c r="AS10" s="1"/>
      <c r="EQ10" s="6"/>
      <c r="ER10" s="6"/>
      <c r="ES10" s="6"/>
      <c r="ET10" s="6"/>
      <c r="EU10" s="6"/>
      <c r="EV10" s="6"/>
    </row>
    <row r="11" spans="1:152" s="9" customFormat="1" ht="21.6" thickBot="1" x14ac:dyDescent="0.3">
      <c r="A11" s="25"/>
      <c r="B11" s="25"/>
      <c r="C11" s="19"/>
      <c r="D11" s="12"/>
      <c r="E11" s="16"/>
      <c r="F11" s="16"/>
      <c r="G11" s="16"/>
      <c r="H11" s="16"/>
      <c r="I11" s="59"/>
      <c r="J11" s="1"/>
      <c r="K11" s="1"/>
      <c r="L11" s="1"/>
      <c r="M11" s="1"/>
      <c r="N11" s="1"/>
      <c r="O11" s="1"/>
      <c r="P11" s="1"/>
      <c r="Q11" s="1"/>
      <c r="R11" s="1"/>
      <c r="S11" s="1"/>
      <c r="T11" s="1"/>
      <c r="U11" s="1"/>
      <c r="V11" s="1"/>
      <c r="W11" s="1"/>
      <c r="X11" s="1"/>
      <c r="Y11" s="1"/>
      <c r="Z11" s="1"/>
      <c r="AA11" s="23"/>
      <c r="AB11" s="115"/>
      <c r="AC11" s="115"/>
      <c r="AD11" s="115"/>
      <c r="AE11" s="115"/>
      <c r="AF11" s="115"/>
      <c r="AG11" s="115"/>
      <c r="AH11" s="115"/>
      <c r="AI11" s="115"/>
      <c r="AJ11" s="115"/>
      <c r="AK11" s="1"/>
      <c r="AL11" s="1"/>
      <c r="AM11" s="1"/>
      <c r="AN11" s="1"/>
      <c r="AO11" s="1"/>
      <c r="AP11" s="1"/>
      <c r="AQ11" s="1"/>
      <c r="AR11" s="1"/>
      <c r="AS11" s="1"/>
      <c r="EQ11" s="6"/>
      <c r="ER11" s="6"/>
      <c r="ES11" s="6"/>
      <c r="ET11" s="6"/>
      <c r="EU11" s="6"/>
      <c r="EV11" s="6"/>
    </row>
    <row r="12" spans="1:152" s="100" customFormat="1" ht="17.399999999999999" x14ac:dyDescent="0.25">
      <c r="A12" s="140" t="s">
        <v>1213</v>
      </c>
      <c r="B12" s="141"/>
      <c r="C12" s="141"/>
      <c r="D12" s="142"/>
      <c r="E12" s="140" t="s">
        <v>1218</v>
      </c>
      <c r="F12" s="141"/>
      <c r="G12" s="141"/>
      <c r="H12" s="141"/>
      <c r="I12" s="141"/>
      <c r="J12" s="141"/>
      <c r="K12" s="142"/>
      <c r="L12" s="140" t="s">
        <v>1219</v>
      </c>
      <c r="M12" s="141"/>
      <c r="N12" s="141"/>
      <c r="O12" s="141"/>
      <c r="P12" s="141"/>
      <c r="Q12" s="141"/>
      <c r="R12" s="141"/>
      <c r="S12" s="141"/>
      <c r="T12" s="141"/>
      <c r="U12" s="141"/>
      <c r="V12" s="141"/>
      <c r="W12" s="141"/>
      <c r="X12" s="141"/>
      <c r="Y12" s="141"/>
      <c r="Z12" s="141"/>
      <c r="AA12" s="142"/>
      <c r="AB12" s="140" t="s">
        <v>1220</v>
      </c>
      <c r="AC12" s="141"/>
      <c r="AD12" s="141"/>
      <c r="AE12" s="142"/>
      <c r="AF12" s="115"/>
      <c r="AG12" s="115"/>
      <c r="AH12" s="115"/>
      <c r="AI12" s="115"/>
      <c r="AJ12" s="115"/>
      <c r="AK12" s="99"/>
      <c r="AL12" s="99"/>
      <c r="AM12" s="99"/>
      <c r="AN12" s="99"/>
      <c r="AO12" s="99"/>
      <c r="AP12" s="99"/>
      <c r="AQ12" s="99"/>
      <c r="AR12" s="99"/>
      <c r="AS12" s="99"/>
      <c r="EQ12" s="101"/>
      <c r="ER12" s="101"/>
      <c r="ES12" s="101"/>
      <c r="ET12" s="101"/>
      <c r="EU12" s="101"/>
      <c r="EV12" s="101"/>
    </row>
    <row r="13" spans="1:152" s="100" customFormat="1" ht="58.2" customHeight="1" x14ac:dyDescent="0.25">
      <c r="A13" s="143" t="s">
        <v>1217</v>
      </c>
      <c r="B13" s="144"/>
      <c r="C13" s="144"/>
      <c r="D13" s="145"/>
      <c r="E13" s="148" t="s">
        <v>1228</v>
      </c>
      <c r="F13" s="149"/>
      <c r="G13" s="149"/>
      <c r="H13" s="149"/>
      <c r="I13" s="149"/>
      <c r="J13" s="149"/>
      <c r="K13" s="150"/>
      <c r="L13" s="148" t="s">
        <v>1232</v>
      </c>
      <c r="M13" s="149"/>
      <c r="N13" s="149"/>
      <c r="O13" s="149"/>
      <c r="P13" s="149"/>
      <c r="Q13" s="149"/>
      <c r="R13" s="149"/>
      <c r="S13" s="149"/>
      <c r="T13" s="149"/>
      <c r="U13" s="149"/>
      <c r="V13" s="149"/>
      <c r="W13" s="149"/>
      <c r="X13" s="149"/>
      <c r="Y13" s="149"/>
      <c r="Z13" s="149"/>
      <c r="AA13" s="150"/>
      <c r="AB13" s="143" t="s">
        <v>1224</v>
      </c>
      <c r="AC13" s="144"/>
      <c r="AD13" s="144"/>
      <c r="AE13" s="145"/>
      <c r="AF13" s="115"/>
      <c r="AG13" s="115"/>
      <c r="AH13" s="115"/>
      <c r="AI13" s="115"/>
      <c r="AJ13" s="115"/>
      <c r="AK13" s="99"/>
      <c r="AL13" s="99"/>
      <c r="AM13" s="99"/>
      <c r="AN13" s="99"/>
      <c r="AO13" s="99"/>
      <c r="AP13" s="99"/>
      <c r="AQ13" s="99"/>
      <c r="AR13" s="99"/>
      <c r="AS13" s="99"/>
      <c r="EQ13" s="101"/>
      <c r="ER13" s="101"/>
      <c r="ES13" s="101"/>
      <c r="ET13" s="101"/>
      <c r="EU13" s="101"/>
      <c r="EV13" s="101"/>
    </row>
    <row r="14" spans="1:152" s="100" customFormat="1" ht="37.799999999999997" customHeight="1" x14ac:dyDescent="0.25">
      <c r="A14" s="143" t="s">
        <v>1216</v>
      </c>
      <c r="B14" s="144"/>
      <c r="C14" s="144"/>
      <c r="D14" s="145"/>
      <c r="E14" s="148" t="s">
        <v>1227</v>
      </c>
      <c r="F14" s="149"/>
      <c r="G14" s="149"/>
      <c r="H14" s="149"/>
      <c r="I14" s="149"/>
      <c r="J14" s="149"/>
      <c r="K14" s="150"/>
      <c r="L14" s="148" t="s">
        <v>1231</v>
      </c>
      <c r="M14" s="149"/>
      <c r="N14" s="149"/>
      <c r="O14" s="149"/>
      <c r="P14" s="149"/>
      <c r="Q14" s="149"/>
      <c r="R14" s="149"/>
      <c r="S14" s="149"/>
      <c r="T14" s="149"/>
      <c r="U14" s="149"/>
      <c r="V14" s="149"/>
      <c r="W14" s="149"/>
      <c r="X14" s="149"/>
      <c r="Y14" s="149"/>
      <c r="Z14" s="149"/>
      <c r="AA14" s="150"/>
      <c r="AB14" s="143" t="s">
        <v>1223</v>
      </c>
      <c r="AC14" s="144"/>
      <c r="AD14" s="144"/>
      <c r="AE14" s="145"/>
      <c r="AF14" s="115"/>
      <c r="AG14" s="115"/>
      <c r="AH14" s="115"/>
      <c r="AI14" s="115"/>
      <c r="AJ14" s="115"/>
      <c r="AK14" s="99"/>
      <c r="AL14" s="99"/>
      <c r="AM14" s="99"/>
      <c r="AN14" s="99"/>
      <c r="AO14" s="99"/>
      <c r="AP14" s="99"/>
      <c r="AQ14" s="99"/>
      <c r="AR14" s="99"/>
      <c r="AS14" s="99"/>
      <c r="EQ14" s="101"/>
      <c r="ER14" s="101"/>
      <c r="ES14" s="101"/>
      <c r="ET14" s="101"/>
      <c r="EU14" s="101"/>
      <c r="EV14" s="101"/>
    </row>
    <row r="15" spans="1:152" s="100" customFormat="1" ht="48.6" customHeight="1" x14ac:dyDescent="0.25">
      <c r="A15" s="143" t="s">
        <v>1215</v>
      </c>
      <c r="B15" s="144"/>
      <c r="C15" s="144"/>
      <c r="D15" s="145"/>
      <c r="E15" s="148" t="s">
        <v>1226</v>
      </c>
      <c r="F15" s="149"/>
      <c r="G15" s="149"/>
      <c r="H15" s="149"/>
      <c r="I15" s="149"/>
      <c r="J15" s="149"/>
      <c r="K15" s="150"/>
      <c r="L15" s="148" t="s">
        <v>1230</v>
      </c>
      <c r="M15" s="149"/>
      <c r="N15" s="149"/>
      <c r="O15" s="149"/>
      <c r="P15" s="149"/>
      <c r="Q15" s="149"/>
      <c r="R15" s="149"/>
      <c r="S15" s="149"/>
      <c r="T15" s="149"/>
      <c r="U15" s="149"/>
      <c r="V15" s="149"/>
      <c r="W15" s="149"/>
      <c r="X15" s="149"/>
      <c r="Y15" s="149"/>
      <c r="Z15" s="149"/>
      <c r="AA15" s="150"/>
      <c r="AB15" s="143" t="s">
        <v>1222</v>
      </c>
      <c r="AC15" s="144"/>
      <c r="AD15" s="144"/>
      <c r="AE15" s="145"/>
      <c r="AF15" s="115"/>
      <c r="AG15" s="115"/>
      <c r="AH15" s="115"/>
      <c r="AI15" s="115"/>
      <c r="AJ15" s="115"/>
      <c r="AK15" s="99"/>
      <c r="AL15" s="99"/>
      <c r="AM15" s="99"/>
      <c r="AN15" s="99"/>
      <c r="AO15" s="99"/>
      <c r="AP15" s="99"/>
      <c r="AQ15" s="99"/>
      <c r="AR15" s="99"/>
      <c r="AS15" s="99"/>
      <c r="EQ15" s="101"/>
      <c r="ER15" s="101"/>
      <c r="ES15" s="101"/>
      <c r="ET15" s="101"/>
      <c r="EU15" s="101"/>
      <c r="EV15" s="101"/>
    </row>
    <row r="16" spans="1:152" s="100" customFormat="1" ht="57" customHeight="1" thickBot="1" x14ac:dyDescent="0.3">
      <c r="A16" s="177" t="s">
        <v>1214</v>
      </c>
      <c r="B16" s="178"/>
      <c r="C16" s="178"/>
      <c r="D16" s="179"/>
      <c r="E16" s="162" t="s">
        <v>1225</v>
      </c>
      <c r="F16" s="163"/>
      <c r="G16" s="163"/>
      <c r="H16" s="163"/>
      <c r="I16" s="163"/>
      <c r="J16" s="163"/>
      <c r="K16" s="164"/>
      <c r="L16" s="162" t="s">
        <v>1229</v>
      </c>
      <c r="M16" s="163"/>
      <c r="N16" s="163"/>
      <c r="O16" s="163"/>
      <c r="P16" s="163"/>
      <c r="Q16" s="163"/>
      <c r="R16" s="163"/>
      <c r="S16" s="163"/>
      <c r="T16" s="163"/>
      <c r="U16" s="163"/>
      <c r="V16" s="163"/>
      <c r="W16" s="163"/>
      <c r="X16" s="163"/>
      <c r="Y16" s="163"/>
      <c r="Z16" s="163"/>
      <c r="AA16" s="164"/>
      <c r="AB16" s="177" t="s">
        <v>1221</v>
      </c>
      <c r="AC16" s="178"/>
      <c r="AD16" s="178"/>
      <c r="AE16" s="179"/>
      <c r="AF16" s="115"/>
      <c r="AG16" s="115"/>
      <c r="AH16" s="115"/>
      <c r="AI16" s="115"/>
      <c r="AJ16" s="115"/>
      <c r="AK16" s="99"/>
      <c r="AL16" s="99"/>
      <c r="AM16" s="99"/>
      <c r="AN16" s="99"/>
      <c r="AO16" s="99"/>
      <c r="AP16" s="99"/>
      <c r="AQ16" s="99"/>
      <c r="AR16" s="99"/>
      <c r="AS16" s="99"/>
      <c r="EQ16" s="101"/>
      <c r="ER16" s="101"/>
      <c r="ES16" s="101"/>
      <c r="ET16" s="101"/>
      <c r="EU16" s="101"/>
      <c r="EV16" s="101"/>
    </row>
    <row r="17" spans="1:152" s="9" customFormat="1" ht="21.6" thickBot="1" x14ac:dyDescent="0.3">
      <c r="A17" s="28"/>
      <c r="B17" s="28"/>
      <c r="C17" s="58"/>
      <c r="D17" s="16"/>
      <c r="E17" s="59"/>
      <c r="F17" s="59"/>
      <c r="G17" s="59"/>
      <c r="H17" s="59"/>
      <c r="I17" s="59"/>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99"/>
      <c r="AN17" s="1"/>
      <c r="AO17" s="1"/>
      <c r="AP17" s="1"/>
      <c r="AQ17" s="1"/>
      <c r="AR17" s="1"/>
      <c r="AS17" s="1"/>
      <c r="EQ17" s="6"/>
      <c r="ER17" s="6"/>
      <c r="ES17" s="6"/>
      <c r="ET17" s="6"/>
      <c r="EU17" s="6"/>
      <c r="EV17" s="6"/>
    </row>
    <row r="18" spans="1:152" s="91" customFormat="1" ht="60.6" x14ac:dyDescent="0.25">
      <c r="A18" s="175" t="s">
        <v>29</v>
      </c>
      <c r="B18" s="171" t="s">
        <v>30</v>
      </c>
      <c r="C18" s="171" t="s">
        <v>31</v>
      </c>
      <c r="D18" s="171" t="s">
        <v>32</v>
      </c>
      <c r="E18" s="171" t="s">
        <v>33</v>
      </c>
      <c r="F18" s="172" t="s">
        <v>34</v>
      </c>
      <c r="G18" s="172" t="s">
        <v>35</v>
      </c>
      <c r="H18" s="171" t="s">
        <v>36</v>
      </c>
      <c r="I18" s="171"/>
      <c r="J18" s="172" t="s">
        <v>37</v>
      </c>
      <c r="K18" s="172" t="s">
        <v>38</v>
      </c>
      <c r="L18" s="171" t="s">
        <v>39</v>
      </c>
      <c r="M18" s="171" t="s">
        <v>40</v>
      </c>
      <c r="N18" s="171"/>
      <c r="O18" s="171"/>
      <c r="P18" s="171" t="s">
        <v>41</v>
      </c>
      <c r="Q18" s="171"/>
      <c r="R18" s="171"/>
      <c r="S18" s="171"/>
      <c r="T18" s="171"/>
      <c r="U18" s="171"/>
      <c r="V18" s="171"/>
      <c r="W18" s="88" t="s">
        <v>42</v>
      </c>
      <c r="X18" s="171" t="s">
        <v>41</v>
      </c>
      <c r="Y18" s="171"/>
      <c r="Z18" s="171"/>
      <c r="AA18" s="171" t="s">
        <v>43</v>
      </c>
      <c r="AB18" s="186"/>
      <c r="AC18" s="186"/>
      <c r="AD18" s="186"/>
      <c r="AE18" s="186"/>
      <c r="AF18" s="172" t="s">
        <v>44</v>
      </c>
      <c r="AG18" s="180" t="s">
        <v>45</v>
      </c>
      <c r="AH18" s="180" t="s">
        <v>46</v>
      </c>
      <c r="AI18" s="89" t="s">
        <v>47</v>
      </c>
      <c r="AJ18" s="180" t="s">
        <v>48</v>
      </c>
      <c r="AK18" s="180" t="s">
        <v>49</v>
      </c>
      <c r="AL18" s="90" t="s">
        <v>50</v>
      </c>
      <c r="AM18" s="180" t="s">
        <v>51</v>
      </c>
      <c r="AN18" s="172" t="s">
        <v>52</v>
      </c>
      <c r="AO18" s="182"/>
      <c r="AP18" s="182"/>
      <c r="AQ18" s="182"/>
      <c r="AR18" s="182"/>
      <c r="AS18" s="184" t="s">
        <v>44</v>
      </c>
      <c r="EQ18" s="92"/>
      <c r="ER18" s="92"/>
      <c r="ES18" s="92"/>
      <c r="ET18" s="92"/>
      <c r="EU18" s="92"/>
      <c r="EV18" s="92"/>
    </row>
    <row r="19" spans="1:152" s="91" customFormat="1" ht="66.599999999999994" x14ac:dyDescent="0.25">
      <c r="A19" s="176"/>
      <c r="B19" s="174"/>
      <c r="C19" s="174"/>
      <c r="D19" s="174"/>
      <c r="E19" s="174"/>
      <c r="F19" s="173"/>
      <c r="G19" s="173"/>
      <c r="H19" s="95" t="s">
        <v>53</v>
      </c>
      <c r="I19" s="95" t="s">
        <v>54</v>
      </c>
      <c r="J19" s="173"/>
      <c r="K19" s="173"/>
      <c r="L19" s="174"/>
      <c r="M19" s="96" t="s">
        <v>55</v>
      </c>
      <c r="N19" s="96" t="s">
        <v>56</v>
      </c>
      <c r="O19" s="96" t="s">
        <v>57</v>
      </c>
      <c r="P19" s="97" t="s">
        <v>45</v>
      </c>
      <c r="Q19" s="97" t="s">
        <v>46</v>
      </c>
      <c r="R19" s="97" t="s">
        <v>58</v>
      </c>
      <c r="S19" s="97" t="s">
        <v>48</v>
      </c>
      <c r="T19" s="97" t="s">
        <v>49</v>
      </c>
      <c r="U19" s="97" t="s">
        <v>59</v>
      </c>
      <c r="V19" s="97" t="s">
        <v>60</v>
      </c>
      <c r="W19" s="97" t="s">
        <v>51</v>
      </c>
      <c r="X19" s="98" t="s">
        <v>61</v>
      </c>
      <c r="Y19" s="97" t="s">
        <v>62</v>
      </c>
      <c r="Z19" s="97" t="s">
        <v>63</v>
      </c>
      <c r="AA19" s="93" t="s">
        <v>64</v>
      </c>
      <c r="AB19" s="93" t="s">
        <v>65</v>
      </c>
      <c r="AC19" s="93" t="s">
        <v>66</v>
      </c>
      <c r="AD19" s="93" t="s">
        <v>67</v>
      </c>
      <c r="AE19" s="93" t="s">
        <v>68</v>
      </c>
      <c r="AF19" s="173"/>
      <c r="AG19" s="181"/>
      <c r="AH19" s="181"/>
      <c r="AI19" s="94" t="s">
        <v>69</v>
      </c>
      <c r="AJ19" s="181"/>
      <c r="AK19" s="183"/>
      <c r="AL19" s="94" t="s">
        <v>70</v>
      </c>
      <c r="AM19" s="181"/>
      <c r="AN19" s="94" t="s">
        <v>64</v>
      </c>
      <c r="AO19" s="94" t="s">
        <v>65</v>
      </c>
      <c r="AP19" s="94" t="s">
        <v>71</v>
      </c>
      <c r="AQ19" s="94" t="s">
        <v>1269</v>
      </c>
      <c r="AR19" s="94" t="s">
        <v>72</v>
      </c>
      <c r="AS19" s="185"/>
      <c r="EQ19" s="92"/>
      <c r="ER19" s="92"/>
      <c r="ES19" s="92"/>
      <c r="ET19" s="92"/>
      <c r="EU19" s="92"/>
      <c r="EV19" s="92"/>
    </row>
    <row r="20" spans="1:152" s="8" customFormat="1" ht="67.2" x14ac:dyDescent="0.25">
      <c r="A20" s="193" t="s">
        <v>95</v>
      </c>
      <c r="B20" s="208" t="s">
        <v>96</v>
      </c>
      <c r="C20" s="166" t="s">
        <v>97</v>
      </c>
      <c r="D20" s="166" t="s">
        <v>97</v>
      </c>
      <c r="E20" s="165" t="s">
        <v>98</v>
      </c>
      <c r="F20" s="167" t="s">
        <v>99</v>
      </c>
      <c r="G20" s="165" t="s">
        <v>100</v>
      </c>
      <c r="H20" s="32" t="s">
        <v>101</v>
      </c>
      <c r="I20" s="32" t="s">
        <v>1233</v>
      </c>
      <c r="J20" s="32" t="s">
        <v>103</v>
      </c>
      <c r="K20" s="40" t="s">
        <v>104</v>
      </c>
      <c r="L20" s="68" t="s">
        <v>105</v>
      </c>
      <c r="M20" s="73" t="s">
        <v>84</v>
      </c>
      <c r="N20" s="73" t="s">
        <v>106</v>
      </c>
      <c r="O20" s="73" t="s">
        <v>107</v>
      </c>
      <c r="P20" s="70">
        <v>2</v>
      </c>
      <c r="Q20" s="41">
        <v>3</v>
      </c>
      <c r="R20" s="33">
        <f t="shared" ref="R20:R34" si="0">P20*Q20</f>
        <v>6</v>
      </c>
      <c r="S20" s="33" t="str">
        <f t="shared" ref="S20:S82" si="1">IF(AND(R20&gt;=0,R20&lt;=4),"BAJO",IF(AND(R20&gt;=6,R20&lt;=8),"MEDIO",IF(AND(R20&gt;=10,R20&lt;=20),"ALTO",IF(AND(R20&gt;=24,R20&lt;=40),"MUY ALTO"))))</f>
        <v>MEDIO</v>
      </c>
      <c r="T20" s="33">
        <v>25</v>
      </c>
      <c r="U20" s="75">
        <f t="shared" ref="U20:U83" si="2">R20*T20</f>
        <v>150</v>
      </c>
      <c r="V20" s="33" t="str">
        <f t="shared" ref="V20:V83" si="3">IF(AND(U20&gt;=0,U20&lt;=20),"IV ",IF(AND(U20&gt;=40,U20&lt;=120),"lll",IF(AND(U20&gt;=150,U20&lt;=500),"ll",IF(AND(U20&gt;=600,U20&lt;=4000),"l"))))</f>
        <v>ll</v>
      </c>
      <c r="W20" s="74" t="str">
        <f t="shared" ref="W20:W83" si="4">IF(AND(V20="lV"),"SI",IF(AND(V20="lll"),"SI",IF(AND(V20="ll"),"NO",IF(AND(V20="l"),"NO"))))</f>
        <v>NO</v>
      </c>
      <c r="X20" s="5">
        <v>30</v>
      </c>
      <c r="Y20" s="31" t="s">
        <v>108</v>
      </c>
      <c r="Z20" s="33" t="s">
        <v>87</v>
      </c>
      <c r="AA20" s="34"/>
      <c r="AB20" s="34"/>
      <c r="AC20" s="42"/>
      <c r="AD20" s="42" t="s">
        <v>1274</v>
      </c>
      <c r="AE20" s="42" t="s">
        <v>93</v>
      </c>
      <c r="AF20" s="42" t="s">
        <v>110</v>
      </c>
      <c r="AG20" s="41">
        <v>2</v>
      </c>
      <c r="AH20" s="41">
        <v>2</v>
      </c>
      <c r="AI20" s="33">
        <f t="shared" ref="AI20:AI34" si="5">AG20*AH20</f>
        <v>4</v>
      </c>
      <c r="AJ20" s="33" t="str">
        <f t="shared" ref="AJ20:AJ34" si="6">IF(AND(AI20&gt;=0,AI20&lt;=4),"BAJO",IF(AND(AI20&gt;=6,AI20&lt;=8),"MEDIO",IF(AND(AI20&gt;=10,AI20&lt;=20),"ALTO",IF(AND(AI20&gt;=24,AI20&lt;=40),"MUY ALTO"))))</f>
        <v>BAJO</v>
      </c>
      <c r="AK20" s="33">
        <v>10</v>
      </c>
      <c r="AL20" s="33">
        <f t="shared" ref="AL20:AL81" si="7">AI20*AK20</f>
        <v>40</v>
      </c>
      <c r="AM20" s="33" t="str">
        <f t="shared" ref="AM20:AM83" si="8">IF(AND(AL20&gt;=0,AL20&lt;=120),"RIESGO ACEPTABLE",IF(AND(AL20&gt;=150,AL20&lt;=500)," RIESGO ACEPTABLE CON CONTROL ESPECIFICO",IF(AND(AL20&gt;=600,AL20&lt;=4000),"RIESGO NO ACEPTABLE")))</f>
        <v>RIESGO ACEPTABLE</v>
      </c>
      <c r="AN20" s="34"/>
      <c r="AO20" s="34"/>
      <c r="AP20" s="42"/>
      <c r="AQ20" s="43" t="s">
        <v>111</v>
      </c>
      <c r="AR20" s="34" t="s">
        <v>112</v>
      </c>
      <c r="AS20" s="61" t="s">
        <v>113</v>
      </c>
      <c r="EQ20" s="15"/>
      <c r="ER20" s="15"/>
      <c r="ES20" s="15"/>
      <c r="ET20" s="15"/>
      <c r="EU20" s="15"/>
      <c r="EV20" s="15"/>
    </row>
    <row r="21" spans="1:152" s="8" customFormat="1" ht="28.8" x14ac:dyDescent="0.25">
      <c r="A21" s="193"/>
      <c r="B21" s="208"/>
      <c r="C21" s="166"/>
      <c r="D21" s="166"/>
      <c r="E21" s="165"/>
      <c r="F21" s="167"/>
      <c r="G21" s="165"/>
      <c r="H21" s="32" t="s">
        <v>114</v>
      </c>
      <c r="I21" s="32" t="s">
        <v>1234</v>
      </c>
      <c r="J21" s="34" t="s">
        <v>116</v>
      </c>
      <c r="K21" s="34" t="s">
        <v>104</v>
      </c>
      <c r="L21" s="68" t="s">
        <v>117</v>
      </c>
      <c r="M21" s="73" t="s">
        <v>84</v>
      </c>
      <c r="N21" s="73" t="s">
        <v>84</v>
      </c>
      <c r="O21" s="73" t="s">
        <v>118</v>
      </c>
      <c r="P21" s="70">
        <v>2</v>
      </c>
      <c r="Q21" s="41">
        <v>2</v>
      </c>
      <c r="R21" s="33">
        <f t="shared" si="0"/>
        <v>4</v>
      </c>
      <c r="S21" s="33" t="str">
        <f t="shared" si="1"/>
        <v>BAJO</v>
      </c>
      <c r="T21" s="33">
        <v>25</v>
      </c>
      <c r="U21" s="75">
        <f t="shared" si="2"/>
        <v>100</v>
      </c>
      <c r="V21" s="33" t="str">
        <f t="shared" si="3"/>
        <v>lll</v>
      </c>
      <c r="W21" s="74" t="str">
        <f t="shared" si="4"/>
        <v>SI</v>
      </c>
      <c r="X21" s="76">
        <v>30</v>
      </c>
      <c r="Y21" s="31" t="s">
        <v>119</v>
      </c>
      <c r="Z21" s="33" t="s">
        <v>87</v>
      </c>
      <c r="AA21" s="45"/>
      <c r="AB21" s="32"/>
      <c r="AC21" s="40" t="s">
        <v>120</v>
      </c>
      <c r="AD21" s="34" t="s">
        <v>121</v>
      </c>
      <c r="AE21" s="34" t="s">
        <v>122</v>
      </c>
      <c r="AF21" s="34" t="s">
        <v>1275</v>
      </c>
      <c r="AG21" s="41">
        <v>2</v>
      </c>
      <c r="AH21" s="41">
        <v>3</v>
      </c>
      <c r="AI21" s="33">
        <f t="shared" si="5"/>
        <v>6</v>
      </c>
      <c r="AJ21" s="33" t="str">
        <f t="shared" si="6"/>
        <v>MEDIO</v>
      </c>
      <c r="AK21" s="33">
        <v>10</v>
      </c>
      <c r="AL21" s="33">
        <f t="shared" si="7"/>
        <v>60</v>
      </c>
      <c r="AM21" s="33" t="str">
        <f t="shared" si="8"/>
        <v>RIESGO ACEPTABLE</v>
      </c>
      <c r="AN21" s="33"/>
      <c r="AO21" s="32"/>
      <c r="AP21" s="40" t="s">
        <v>124</v>
      </c>
      <c r="AQ21" s="34" t="s">
        <v>1276</v>
      </c>
      <c r="AR21" s="34" t="s">
        <v>126</v>
      </c>
      <c r="AS21" s="61" t="s">
        <v>855</v>
      </c>
      <c r="EQ21" s="15"/>
      <c r="ER21" s="15"/>
      <c r="ES21" s="15"/>
      <c r="ET21" s="15"/>
      <c r="EU21" s="15"/>
      <c r="EV21" s="15"/>
    </row>
    <row r="22" spans="1:152" s="8" customFormat="1" ht="38.4" x14ac:dyDescent="0.25">
      <c r="A22" s="193"/>
      <c r="B22" s="208"/>
      <c r="C22" s="166"/>
      <c r="D22" s="166"/>
      <c r="E22" s="165"/>
      <c r="F22" s="167"/>
      <c r="G22" s="165"/>
      <c r="H22" s="34" t="s">
        <v>128</v>
      </c>
      <c r="I22" s="32" t="s">
        <v>1235</v>
      </c>
      <c r="J22" s="32" t="s">
        <v>130</v>
      </c>
      <c r="K22" s="32" t="s">
        <v>104</v>
      </c>
      <c r="L22" s="68" t="s">
        <v>131</v>
      </c>
      <c r="M22" s="73" t="s">
        <v>84</v>
      </c>
      <c r="N22" s="73" t="s">
        <v>84</v>
      </c>
      <c r="O22" s="73" t="s">
        <v>132</v>
      </c>
      <c r="P22" s="70">
        <v>2</v>
      </c>
      <c r="Q22" s="41">
        <v>2</v>
      </c>
      <c r="R22" s="33">
        <f t="shared" si="0"/>
        <v>4</v>
      </c>
      <c r="S22" s="33" t="str">
        <f t="shared" si="1"/>
        <v>BAJO</v>
      </c>
      <c r="T22" s="33">
        <v>25</v>
      </c>
      <c r="U22" s="75">
        <f t="shared" si="2"/>
        <v>100</v>
      </c>
      <c r="V22" s="33" t="str">
        <f t="shared" si="3"/>
        <v>lll</v>
      </c>
      <c r="W22" s="74" t="str">
        <f t="shared" si="4"/>
        <v>SI</v>
      </c>
      <c r="X22" s="33">
        <v>30</v>
      </c>
      <c r="Y22" s="31" t="s">
        <v>133</v>
      </c>
      <c r="Z22" s="33" t="s">
        <v>87</v>
      </c>
      <c r="AA22" s="46"/>
      <c r="AB22" s="33"/>
      <c r="AC22" s="34"/>
      <c r="AD22" s="34" t="s">
        <v>134</v>
      </c>
      <c r="AE22" s="34"/>
      <c r="AF22" s="34" t="s">
        <v>135</v>
      </c>
      <c r="AG22" s="41">
        <v>2</v>
      </c>
      <c r="AH22" s="41">
        <v>3</v>
      </c>
      <c r="AI22" s="33">
        <f t="shared" si="5"/>
        <v>6</v>
      </c>
      <c r="AJ22" s="33" t="str">
        <f t="shared" si="6"/>
        <v>MEDIO</v>
      </c>
      <c r="AK22" s="33">
        <v>10</v>
      </c>
      <c r="AL22" s="33">
        <f t="shared" si="7"/>
        <v>60</v>
      </c>
      <c r="AM22" s="33" t="str">
        <f t="shared" si="8"/>
        <v>RIESGO ACEPTABLE</v>
      </c>
      <c r="AN22" s="34"/>
      <c r="AO22" s="34"/>
      <c r="AP22" s="34"/>
      <c r="AQ22" s="34" t="s">
        <v>136</v>
      </c>
      <c r="AR22" s="34" t="s">
        <v>93</v>
      </c>
      <c r="AS22" s="61" t="s">
        <v>137</v>
      </c>
      <c r="EQ22" s="15"/>
      <c r="ER22" s="15"/>
      <c r="ES22" s="15"/>
      <c r="ET22" s="15"/>
      <c r="EU22" s="15"/>
      <c r="EV22" s="15"/>
    </row>
    <row r="23" spans="1:152" s="8" customFormat="1" ht="38.4" x14ac:dyDescent="0.25">
      <c r="A23" s="193"/>
      <c r="B23" s="208"/>
      <c r="C23" s="166"/>
      <c r="D23" s="166"/>
      <c r="E23" s="165"/>
      <c r="F23" s="167"/>
      <c r="G23" s="165"/>
      <c r="H23" s="34" t="s">
        <v>138</v>
      </c>
      <c r="I23" s="165" t="s">
        <v>1236</v>
      </c>
      <c r="J23" s="40" t="s">
        <v>140</v>
      </c>
      <c r="K23" s="32" t="s">
        <v>104</v>
      </c>
      <c r="L23" s="68" t="s">
        <v>141</v>
      </c>
      <c r="M23" s="73" t="s">
        <v>84</v>
      </c>
      <c r="N23" s="73" t="s">
        <v>84</v>
      </c>
      <c r="O23" s="73" t="s">
        <v>142</v>
      </c>
      <c r="P23" s="70">
        <v>2</v>
      </c>
      <c r="Q23" s="41">
        <v>2</v>
      </c>
      <c r="R23" s="33">
        <f t="shared" si="0"/>
        <v>4</v>
      </c>
      <c r="S23" s="33" t="str">
        <f t="shared" si="1"/>
        <v>BAJO</v>
      </c>
      <c r="T23" s="33">
        <v>10</v>
      </c>
      <c r="U23" s="75">
        <f t="shared" si="2"/>
        <v>40</v>
      </c>
      <c r="V23" s="33" t="str">
        <f t="shared" si="3"/>
        <v>lll</v>
      </c>
      <c r="W23" s="74" t="str">
        <f t="shared" si="4"/>
        <v>SI</v>
      </c>
      <c r="X23" s="33">
        <v>30</v>
      </c>
      <c r="Y23" s="31" t="s">
        <v>143</v>
      </c>
      <c r="Z23" s="33" t="s">
        <v>87</v>
      </c>
      <c r="AA23" s="34"/>
      <c r="AB23" s="34"/>
      <c r="AC23" s="34" t="s">
        <v>144</v>
      </c>
      <c r="AD23" s="34" t="s">
        <v>1270</v>
      </c>
      <c r="AE23" s="34"/>
      <c r="AF23" s="34" t="s">
        <v>855</v>
      </c>
      <c r="AG23" s="41">
        <v>2</v>
      </c>
      <c r="AH23" s="41">
        <v>3</v>
      </c>
      <c r="AI23" s="33">
        <f t="shared" si="5"/>
        <v>6</v>
      </c>
      <c r="AJ23" s="33" t="str">
        <f t="shared" si="6"/>
        <v>MEDIO</v>
      </c>
      <c r="AK23" s="33">
        <v>10</v>
      </c>
      <c r="AL23" s="33">
        <f t="shared" si="7"/>
        <v>60</v>
      </c>
      <c r="AM23" s="33" t="str">
        <f t="shared" si="8"/>
        <v>RIESGO ACEPTABLE</v>
      </c>
      <c r="AN23" s="34"/>
      <c r="AO23" s="34"/>
      <c r="AP23" s="34" t="s">
        <v>144</v>
      </c>
      <c r="AQ23" s="34" t="s">
        <v>1271</v>
      </c>
      <c r="AR23" s="34"/>
      <c r="AS23" s="61" t="s">
        <v>148</v>
      </c>
      <c r="EQ23" s="15"/>
      <c r="ER23" s="15"/>
      <c r="ES23" s="15"/>
      <c r="ET23" s="15"/>
      <c r="EU23" s="15"/>
      <c r="EV23" s="15"/>
    </row>
    <row r="24" spans="1:152" s="8" customFormat="1" ht="48" x14ac:dyDescent="0.25">
      <c r="A24" s="193"/>
      <c r="B24" s="208"/>
      <c r="C24" s="166"/>
      <c r="D24" s="166"/>
      <c r="E24" s="165"/>
      <c r="F24" s="167"/>
      <c r="G24" s="165"/>
      <c r="H24" s="34" t="s">
        <v>149</v>
      </c>
      <c r="I24" s="165"/>
      <c r="J24" s="32" t="s">
        <v>150</v>
      </c>
      <c r="K24" s="40" t="s">
        <v>104</v>
      </c>
      <c r="L24" s="68" t="s">
        <v>151</v>
      </c>
      <c r="M24" s="73" t="s">
        <v>84</v>
      </c>
      <c r="N24" s="73" t="s">
        <v>84</v>
      </c>
      <c r="O24" s="73" t="s">
        <v>152</v>
      </c>
      <c r="P24" s="70">
        <v>2</v>
      </c>
      <c r="Q24" s="41">
        <v>3</v>
      </c>
      <c r="R24" s="33">
        <f t="shared" si="0"/>
        <v>6</v>
      </c>
      <c r="S24" s="33" t="str">
        <f t="shared" si="1"/>
        <v>MEDIO</v>
      </c>
      <c r="T24" s="33">
        <v>10</v>
      </c>
      <c r="U24" s="75">
        <f t="shared" si="2"/>
        <v>60</v>
      </c>
      <c r="V24" s="33" t="str">
        <f t="shared" si="3"/>
        <v>lll</v>
      </c>
      <c r="W24" s="74" t="str">
        <f t="shared" si="4"/>
        <v>SI</v>
      </c>
      <c r="X24" s="33">
        <v>30</v>
      </c>
      <c r="Y24" s="31" t="s">
        <v>143</v>
      </c>
      <c r="Z24" s="33" t="s">
        <v>87</v>
      </c>
      <c r="AA24" s="34"/>
      <c r="AB24" s="34"/>
      <c r="AC24" s="42"/>
      <c r="AD24" s="42" t="s">
        <v>1272</v>
      </c>
      <c r="AE24" s="42"/>
      <c r="AF24" s="42" t="s">
        <v>855</v>
      </c>
      <c r="AG24" s="41">
        <v>2</v>
      </c>
      <c r="AH24" s="41">
        <v>3</v>
      </c>
      <c r="AI24" s="33">
        <f t="shared" si="5"/>
        <v>6</v>
      </c>
      <c r="AJ24" s="33" t="str">
        <f t="shared" si="6"/>
        <v>MEDIO</v>
      </c>
      <c r="AK24" s="33">
        <v>10</v>
      </c>
      <c r="AL24" s="33">
        <f>AI24*AK24</f>
        <v>60</v>
      </c>
      <c r="AM24" s="33" t="str">
        <f t="shared" si="8"/>
        <v>RIESGO ACEPTABLE</v>
      </c>
      <c r="AN24" s="34"/>
      <c r="AO24" s="34"/>
      <c r="AP24" s="42"/>
      <c r="AQ24" s="43" t="s">
        <v>1273</v>
      </c>
      <c r="AR24" s="34"/>
      <c r="AS24" s="61" t="s">
        <v>855</v>
      </c>
      <c r="EQ24" s="15"/>
      <c r="ER24" s="15"/>
      <c r="ES24" s="15"/>
      <c r="ET24" s="15"/>
      <c r="EU24" s="15"/>
      <c r="EV24" s="15"/>
    </row>
    <row r="25" spans="1:152" s="8" customFormat="1" ht="28.8" x14ac:dyDescent="0.25">
      <c r="A25" s="193"/>
      <c r="B25" s="208"/>
      <c r="C25" s="166"/>
      <c r="D25" s="166"/>
      <c r="E25" s="165"/>
      <c r="F25" s="167"/>
      <c r="G25" s="165"/>
      <c r="H25" s="34" t="s">
        <v>157</v>
      </c>
      <c r="I25" s="47" t="s">
        <v>1237</v>
      </c>
      <c r="J25" s="47" t="s">
        <v>159</v>
      </c>
      <c r="K25" s="32" t="s">
        <v>104</v>
      </c>
      <c r="L25" s="68" t="s">
        <v>160</v>
      </c>
      <c r="M25" s="73" t="s">
        <v>84</v>
      </c>
      <c r="N25" s="73" t="s">
        <v>161</v>
      </c>
      <c r="O25" s="73" t="s">
        <v>162</v>
      </c>
      <c r="P25" s="70">
        <v>2</v>
      </c>
      <c r="Q25" s="41">
        <v>3</v>
      </c>
      <c r="R25" s="33">
        <f t="shared" si="0"/>
        <v>6</v>
      </c>
      <c r="S25" s="33" t="str">
        <f t="shared" si="1"/>
        <v>MEDIO</v>
      </c>
      <c r="T25" s="33">
        <v>25</v>
      </c>
      <c r="U25" s="75">
        <f t="shared" si="2"/>
        <v>150</v>
      </c>
      <c r="V25" s="33" t="str">
        <f t="shared" si="3"/>
        <v>ll</v>
      </c>
      <c r="W25" s="74" t="str">
        <f t="shared" si="4"/>
        <v>NO</v>
      </c>
      <c r="X25" s="33">
        <v>30</v>
      </c>
      <c r="Y25" s="31" t="s">
        <v>163</v>
      </c>
      <c r="Z25" s="33" t="s">
        <v>87</v>
      </c>
      <c r="AA25" s="45"/>
      <c r="AB25" s="33"/>
      <c r="AC25" s="34"/>
      <c r="AD25" s="34" t="s">
        <v>164</v>
      </c>
      <c r="AE25" s="34" t="s">
        <v>165</v>
      </c>
      <c r="AF25" s="34" t="s">
        <v>166</v>
      </c>
      <c r="AG25" s="41">
        <v>2</v>
      </c>
      <c r="AH25" s="41">
        <v>2</v>
      </c>
      <c r="AI25" s="33">
        <f t="shared" si="5"/>
        <v>4</v>
      </c>
      <c r="AJ25" s="33" t="str">
        <f t="shared" si="6"/>
        <v>BAJO</v>
      </c>
      <c r="AK25" s="33">
        <v>10</v>
      </c>
      <c r="AL25" s="33">
        <f t="shared" si="7"/>
        <v>40</v>
      </c>
      <c r="AM25" s="33" t="str">
        <f t="shared" si="8"/>
        <v>RIESGO ACEPTABLE</v>
      </c>
      <c r="AN25" s="34"/>
      <c r="AO25" s="34"/>
      <c r="AP25" s="34" t="s">
        <v>167</v>
      </c>
      <c r="AQ25" s="34" t="s">
        <v>168</v>
      </c>
      <c r="AR25" s="34" t="s">
        <v>165</v>
      </c>
      <c r="AS25" s="61" t="s">
        <v>166</v>
      </c>
      <c r="EQ25" s="15"/>
      <c r="ER25" s="15"/>
      <c r="ES25" s="15"/>
      <c r="ET25" s="15"/>
      <c r="EU25" s="15"/>
      <c r="EV25" s="15"/>
    </row>
    <row r="26" spans="1:152" s="8" customFormat="1" ht="86.4" x14ac:dyDescent="0.25">
      <c r="A26" s="193"/>
      <c r="B26" s="208"/>
      <c r="C26" s="166" t="s">
        <v>169</v>
      </c>
      <c r="D26" s="188" t="s">
        <v>169</v>
      </c>
      <c r="E26" s="190" t="s">
        <v>87</v>
      </c>
      <c r="F26" s="165" t="s">
        <v>170</v>
      </c>
      <c r="G26" s="165" t="s">
        <v>171</v>
      </c>
      <c r="H26" s="34" t="s">
        <v>172</v>
      </c>
      <c r="I26" s="165" t="s">
        <v>1238</v>
      </c>
      <c r="J26" s="32" t="s">
        <v>174</v>
      </c>
      <c r="K26" s="40" t="s">
        <v>104</v>
      </c>
      <c r="L26" s="68" t="s">
        <v>175</v>
      </c>
      <c r="M26" s="73" t="s">
        <v>84</v>
      </c>
      <c r="N26" s="73" t="s">
        <v>176</v>
      </c>
      <c r="O26" s="73" t="s">
        <v>177</v>
      </c>
      <c r="P26" s="70">
        <v>2</v>
      </c>
      <c r="Q26" s="41">
        <v>3</v>
      </c>
      <c r="R26" s="33">
        <f t="shared" si="0"/>
        <v>6</v>
      </c>
      <c r="S26" s="33" t="str">
        <f t="shared" si="1"/>
        <v>MEDIO</v>
      </c>
      <c r="T26" s="33">
        <v>10</v>
      </c>
      <c r="U26" s="75">
        <f t="shared" si="2"/>
        <v>60</v>
      </c>
      <c r="V26" s="33" t="str">
        <f t="shared" si="3"/>
        <v>lll</v>
      </c>
      <c r="W26" s="74" t="str">
        <f t="shared" si="4"/>
        <v>SI</v>
      </c>
      <c r="X26" s="33">
        <v>30</v>
      </c>
      <c r="Y26" s="31" t="s">
        <v>178</v>
      </c>
      <c r="Z26" s="33" t="s">
        <v>87</v>
      </c>
      <c r="AA26" s="34"/>
      <c r="AB26" s="34"/>
      <c r="AC26" s="42"/>
      <c r="AD26" s="42" t="s">
        <v>179</v>
      </c>
      <c r="AE26" s="42"/>
      <c r="AF26" s="42"/>
      <c r="AG26" s="41">
        <v>2</v>
      </c>
      <c r="AH26" s="41">
        <v>3</v>
      </c>
      <c r="AI26" s="33">
        <f t="shared" si="5"/>
        <v>6</v>
      </c>
      <c r="AJ26" s="33" t="str">
        <f t="shared" si="6"/>
        <v>MEDIO</v>
      </c>
      <c r="AK26" s="33">
        <v>10</v>
      </c>
      <c r="AL26" s="33">
        <f t="shared" si="7"/>
        <v>60</v>
      </c>
      <c r="AM26" s="33" t="str">
        <f t="shared" si="8"/>
        <v>RIESGO ACEPTABLE</v>
      </c>
      <c r="AN26" s="34"/>
      <c r="AO26" s="34"/>
      <c r="AP26" s="42"/>
      <c r="AQ26" s="43" t="s">
        <v>180</v>
      </c>
      <c r="AR26" s="34" t="s">
        <v>181</v>
      </c>
      <c r="AS26" s="61" t="s">
        <v>182</v>
      </c>
      <c r="EQ26" s="15"/>
      <c r="ER26" s="15"/>
      <c r="ES26" s="15"/>
      <c r="ET26" s="15"/>
      <c r="EU26" s="15"/>
      <c r="EV26" s="15"/>
    </row>
    <row r="27" spans="1:152" s="8" customFormat="1" ht="86.4" x14ac:dyDescent="0.25">
      <c r="A27" s="193"/>
      <c r="B27" s="208"/>
      <c r="C27" s="166"/>
      <c r="D27" s="188"/>
      <c r="E27" s="190"/>
      <c r="F27" s="165"/>
      <c r="G27" s="165"/>
      <c r="H27" s="34" t="s">
        <v>183</v>
      </c>
      <c r="I27" s="165"/>
      <c r="J27" s="32" t="s">
        <v>184</v>
      </c>
      <c r="K27" s="34" t="s">
        <v>104</v>
      </c>
      <c r="L27" s="68" t="s">
        <v>185</v>
      </c>
      <c r="M27" s="73" t="s">
        <v>84</v>
      </c>
      <c r="N27" s="73" t="s">
        <v>176</v>
      </c>
      <c r="O27" s="73" t="s">
        <v>186</v>
      </c>
      <c r="P27" s="70">
        <v>2</v>
      </c>
      <c r="Q27" s="41">
        <v>3</v>
      </c>
      <c r="R27" s="33">
        <f t="shared" si="0"/>
        <v>6</v>
      </c>
      <c r="S27" s="33" t="str">
        <f t="shared" si="1"/>
        <v>MEDIO</v>
      </c>
      <c r="T27" s="33">
        <v>10</v>
      </c>
      <c r="U27" s="75">
        <f t="shared" si="2"/>
        <v>60</v>
      </c>
      <c r="V27" s="33" t="str">
        <f t="shared" si="3"/>
        <v>lll</v>
      </c>
      <c r="W27" s="74" t="str">
        <f t="shared" si="4"/>
        <v>SI</v>
      </c>
      <c r="X27" s="33">
        <v>30</v>
      </c>
      <c r="Y27" s="31" t="s">
        <v>178</v>
      </c>
      <c r="Z27" s="33" t="s">
        <v>87</v>
      </c>
      <c r="AA27" s="34"/>
      <c r="AB27" s="40"/>
      <c r="AC27" s="40"/>
      <c r="AD27" s="34" t="s">
        <v>187</v>
      </c>
      <c r="AE27" s="34" t="s">
        <v>188</v>
      </c>
      <c r="AF27" s="34"/>
      <c r="AG27" s="41">
        <v>2</v>
      </c>
      <c r="AH27" s="41">
        <v>3</v>
      </c>
      <c r="AI27" s="33">
        <f t="shared" si="5"/>
        <v>6</v>
      </c>
      <c r="AJ27" s="33" t="str">
        <f t="shared" si="6"/>
        <v>MEDIO</v>
      </c>
      <c r="AK27" s="33">
        <v>10</v>
      </c>
      <c r="AL27" s="33">
        <f t="shared" si="7"/>
        <v>60</v>
      </c>
      <c r="AM27" s="33" t="str">
        <f t="shared" si="8"/>
        <v>RIESGO ACEPTABLE</v>
      </c>
      <c r="AN27" s="34"/>
      <c r="AO27" s="40"/>
      <c r="AP27" s="40"/>
      <c r="AQ27" s="34" t="s">
        <v>189</v>
      </c>
      <c r="AR27" s="34" t="s">
        <v>190</v>
      </c>
      <c r="AS27" s="61"/>
      <c r="EQ27" s="15"/>
      <c r="ER27" s="15"/>
      <c r="ES27" s="15"/>
      <c r="ET27" s="15"/>
      <c r="EU27" s="15"/>
      <c r="EV27" s="15"/>
    </row>
    <row r="28" spans="1:152" s="8" customFormat="1" ht="86.4" x14ac:dyDescent="0.25">
      <c r="A28" s="193"/>
      <c r="B28" s="208"/>
      <c r="C28" s="166"/>
      <c r="D28" s="188"/>
      <c r="E28" s="190"/>
      <c r="F28" s="165"/>
      <c r="G28" s="165"/>
      <c r="H28" s="34" t="s">
        <v>191</v>
      </c>
      <c r="I28" s="165"/>
      <c r="J28" s="32" t="s">
        <v>192</v>
      </c>
      <c r="K28" s="34" t="s">
        <v>104</v>
      </c>
      <c r="L28" s="68" t="s">
        <v>193</v>
      </c>
      <c r="M28" s="73" t="s">
        <v>84</v>
      </c>
      <c r="N28" s="73" t="s">
        <v>176</v>
      </c>
      <c r="O28" s="73" t="s">
        <v>194</v>
      </c>
      <c r="P28" s="70">
        <v>2</v>
      </c>
      <c r="Q28" s="41">
        <v>3</v>
      </c>
      <c r="R28" s="33">
        <f t="shared" si="0"/>
        <v>6</v>
      </c>
      <c r="S28" s="33" t="str">
        <f t="shared" si="1"/>
        <v>MEDIO</v>
      </c>
      <c r="T28" s="33">
        <v>10</v>
      </c>
      <c r="U28" s="75">
        <f t="shared" si="2"/>
        <v>60</v>
      </c>
      <c r="V28" s="33" t="str">
        <f t="shared" si="3"/>
        <v>lll</v>
      </c>
      <c r="W28" s="74" t="str">
        <f t="shared" si="4"/>
        <v>SI</v>
      </c>
      <c r="X28" s="33">
        <v>30</v>
      </c>
      <c r="Y28" s="31" t="s">
        <v>195</v>
      </c>
      <c r="Z28" s="33" t="s">
        <v>87</v>
      </c>
      <c r="AA28" s="34"/>
      <c r="AB28" s="40"/>
      <c r="AC28" s="40"/>
      <c r="AD28" s="34" t="s">
        <v>196</v>
      </c>
      <c r="AE28" s="34" t="s">
        <v>93</v>
      </c>
      <c r="AF28" s="34"/>
      <c r="AG28" s="41">
        <v>2</v>
      </c>
      <c r="AH28" s="41">
        <v>2</v>
      </c>
      <c r="AI28" s="33">
        <f t="shared" si="5"/>
        <v>4</v>
      </c>
      <c r="AJ28" s="33" t="str">
        <f t="shared" si="6"/>
        <v>BAJO</v>
      </c>
      <c r="AK28" s="33">
        <v>25</v>
      </c>
      <c r="AL28" s="33">
        <f t="shared" si="7"/>
        <v>100</v>
      </c>
      <c r="AM28" s="33" t="str">
        <f t="shared" si="8"/>
        <v>RIESGO ACEPTABLE</v>
      </c>
      <c r="AN28" s="34"/>
      <c r="AO28" s="40"/>
      <c r="AP28" s="40"/>
      <c r="AQ28" s="34" t="s">
        <v>197</v>
      </c>
      <c r="AR28" s="34" t="s">
        <v>181</v>
      </c>
      <c r="AS28" s="61"/>
      <c r="EQ28" s="15"/>
      <c r="ER28" s="15"/>
      <c r="ES28" s="15"/>
      <c r="ET28" s="15"/>
      <c r="EU28" s="15"/>
      <c r="EV28" s="15"/>
    </row>
    <row r="29" spans="1:152" s="8" customFormat="1" ht="86.4" x14ac:dyDescent="0.25">
      <c r="A29" s="193"/>
      <c r="B29" s="208"/>
      <c r="C29" s="166"/>
      <c r="D29" s="188"/>
      <c r="E29" s="190"/>
      <c r="F29" s="165"/>
      <c r="G29" s="165"/>
      <c r="H29" s="34" t="s">
        <v>198</v>
      </c>
      <c r="I29" s="32" t="s">
        <v>1234</v>
      </c>
      <c r="J29" s="32" t="s">
        <v>199</v>
      </c>
      <c r="K29" s="34" t="s">
        <v>104</v>
      </c>
      <c r="L29" s="68" t="s">
        <v>200</v>
      </c>
      <c r="M29" s="73" t="s">
        <v>84</v>
      </c>
      <c r="N29" s="73" t="s">
        <v>176</v>
      </c>
      <c r="O29" s="73" t="s">
        <v>201</v>
      </c>
      <c r="P29" s="70">
        <v>2</v>
      </c>
      <c r="Q29" s="41">
        <v>3</v>
      </c>
      <c r="R29" s="33">
        <f t="shared" si="0"/>
        <v>6</v>
      </c>
      <c r="S29" s="33" t="str">
        <f t="shared" si="1"/>
        <v>MEDIO</v>
      </c>
      <c r="T29" s="33">
        <v>10</v>
      </c>
      <c r="U29" s="75">
        <f t="shared" si="2"/>
        <v>60</v>
      </c>
      <c r="V29" s="33" t="str">
        <f t="shared" si="3"/>
        <v>lll</v>
      </c>
      <c r="W29" s="74" t="str">
        <f t="shared" si="4"/>
        <v>SI</v>
      </c>
      <c r="X29" s="33">
        <v>30</v>
      </c>
      <c r="Y29" s="31" t="s">
        <v>202</v>
      </c>
      <c r="Z29" s="33" t="s">
        <v>87</v>
      </c>
      <c r="AA29" s="34"/>
      <c r="AB29" s="40"/>
      <c r="AC29" s="40"/>
      <c r="AD29" s="34" t="s">
        <v>203</v>
      </c>
      <c r="AE29" s="34"/>
      <c r="AF29" s="34"/>
      <c r="AG29" s="41"/>
      <c r="AH29" s="41">
        <v>2</v>
      </c>
      <c r="AI29" s="33">
        <f t="shared" si="5"/>
        <v>0</v>
      </c>
      <c r="AJ29" s="33" t="str">
        <f t="shared" si="6"/>
        <v>BAJO</v>
      </c>
      <c r="AK29" s="33">
        <v>10</v>
      </c>
      <c r="AL29" s="33">
        <f t="shared" si="7"/>
        <v>0</v>
      </c>
      <c r="AM29" s="33" t="str">
        <f t="shared" si="8"/>
        <v>RIESGO ACEPTABLE</v>
      </c>
      <c r="AN29" s="34"/>
      <c r="AO29" s="40"/>
      <c r="AP29" s="40"/>
      <c r="AQ29" s="34" t="s">
        <v>204</v>
      </c>
      <c r="AR29" s="34"/>
      <c r="AS29" s="61"/>
      <c r="EQ29" s="15"/>
      <c r="ER29" s="15"/>
      <c r="ES29" s="15"/>
      <c r="ET29" s="15"/>
      <c r="EU29" s="15"/>
      <c r="EV29" s="15"/>
    </row>
    <row r="30" spans="1:152" s="8" customFormat="1" ht="86.4" x14ac:dyDescent="0.25">
      <c r="A30" s="193"/>
      <c r="B30" s="208"/>
      <c r="C30" s="166"/>
      <c r="D30" s="188"/>
      <c r="E30" s="190"/>
      <c r="F30" s="165"/>
      <c r="G30" s="165"/>
      <c r="H30" s="34" t="s">
        <v>205</v>
      </c>
      <c r="I30" s="32" t="s">
        <v>1233</v>
      </c>
      <c r="J30" s="47" t="s">
        <v>206</v>
      </c>
      <c r="K30" s="32" t="s">
        <v>104</v>
      </c>
      <c r="L30" s="68" t="s">
        <v>207</v>
      </c>
      <c r="M30" s="73" t="s">
        <v>84</v>
      </c>
      <c r="N30" s="73" t="s">
        <v>176</v>
      </c>
      <c r="O30" s="73" t="s">
        <v>208</v>
      </c>
      <c r="P30" s="70">
        <v>2</v>
      </c>
      <c r="Q30" s="41">
        <v>3</v>
      </c>
      <c r="R30" s="33">
        <f t="shared" si="0"/>
        <v>6</v>
      </c>
      <c r="S30" s="33" t="str">
        <f t="shared" si="1"/>
        <v>MEDIO</v>
      </c>
      <c r="T30" s="33">
        <v>10</v>
      </c>
      <c r="U30" s="75">
        <f t="shared" si="2"/>
        <v>60</v>
      </c>
      <c r="V30" s="33" t="str">
        <f t="shared" si="3"/>
        <v>lll</v>
      </c>
      <c r="W30" s="74" t="str">
        <f t="shared" si="4"/>
        <v>SI</v>
      </c>
      <c r="X30" s="33">
        <v>30</v>
      </c>
      <c r="Y30" s="31" t="s">
        <v>209</v>
      </c>
      <c r="Z30" s="33" t="s">
        <v>87</v>
      </c>
      <c r="AA30" s="45"/>
      <c r="AB30" s="33"/>
      <c r="AC30" s="34"/>
      <c r="AD30" s="34" t="s">
        <v>210</v>
      </c>
      <c r="AE30" s="34" t="s">
        <v>93</v>
      </c>
      <c r="AF30" s="34"/>
      <c r="AG30" s="41">
        <v>2</v>
      </c>
      <c r="AH30" s="41">
        <v>3</v>
      </c>
      <c r="AI30" s="33">
        <f t="shared" si="5"/>
        <v>6</v>
      </c>
      <c r="AJ30" s="33" t="str">
        <f t="shared" si="6"/>
        <v>MEDIO</v>
      </c>
      <c r="AK30" s="33">
        <v>10</v>
      </c>
      <c r="AL30" s="33">
        <f t="shared" si="7"/>
        <v>60</v>
      </c>
      <c r="AM30" s="33" t="str">
        <f t="shared" si="8"/>
        <v>RIESGO ACEPTABLE</v>
      </c>
      <c r="AN30" s="34"/>
      <c r="AO30" s="34"/>
      <c r="AP30" s="34" t="s">
        <v>211</v>
      </c>
      <c r="AQ30" s="34" t="s">
        <v>210</v>
      </c>
      <c r="AR30" s="34" t="s">
        <v>212</v>
      </c>
      <c r="AS30" s="61"/>
      <c r="EQ30" s="15"/>
      <c r="ER30" s="15"/>
      <c r="ES30" s="15"/>
      <c r="ET30" s="15"/>
      <c r="EU30" s="15"/>
      <c r="EV30" s="15"/>
    </row>
    <row r="31" spans="1:152" s="8" customFormat="1" ht="86.4" x14ac:dyDescent="0.25">
      <c r="A31" s="193"/>
      <c r="B31" s="208"/>
      <c r="C31" s="166"/>
      <c r="D31" s="188"/>
      <c r="E31" s="190"/>
      <c r="F31" s="165"/>
      <c r="G31" s="165"/>
      <c r="H31" s="34" t="s">
        <v>138</v>
      </c>
      <c r="I31" s="165" t="s">
        <v>1236</v>
      </c>
      <c r="J31" s="40" t="s">
        <v>140</v>
      </c>
      <c r="K31" s="32" t="s">
        <v>104</v>
      </c>
      <c r="L31" s="68" t="s">
        <v>141</v>
      </c>
      <c r="M31" s="73" t="s">
        <v>84</v>
      </c>
      <c r="N31" s="73" t="s">
        <v>176</v>
      </c>
      <c r="O31" s="73" t="s">
        <v>213</v>
      </c>
      <c r="P31" s="70">
        <v>2</v>
      </c>
      <c r="Q31" s="41">
        <v>2</v>
      </c>
      <c r="R31" s="33">
        <f t="shared" si="0"/>
        <v>4</v>
      </c>
      <c r="S31" s="33" t="str">
        <f t="shared" si="1"/>
        <v>BAJO</v>
      </c>
      <c r="T31" s="33">
        <v>10</v>
      </c>
      <c r="U31" s="75">
        <f t="shared" si="2"/>
        <v>40</v>
      </c>
      <c r="V31" s="33" t="str">
        <f t="shared" si="3"/>
        <v>lll</v>
      </c>
      <c r="W31" s="74" t="str">
        <f t="shared" si="4"/>
        <v>SI</v>
      </c>
      <c r="X31" s="33">
        <v>30</v>
      </c>
      <c r="Y31" s="31" t="s">
        <v>143</v>
      </c>
      <c r="Z31" s="33" t="s">
        <v>87</v>
      </c>
      <c r="AA31" s="34"/>
      <c r="AB31" s="34"/>
      <c r="AC31" s="34"/>
      <c r="AD31" s="34" t="s">
        <v>1277</v>
      </c>
      <c r="AE31" s="34"/>
      <c r="AF31" s="34" t="s">
        <v>855</v>
      </c>
      <c r="AG31" s="41">
        <v>2</v>
      </c>
      <c r="AH31" s="41">
        <v>3</v>
      </c>
      <c r="AI31" s="33">
        <f t="shared" si="5"/>
        <v>6</v>
      </c>
      <c r="AJ31" s="33" t="str">
        <f t="shared" si="6"/>
        <v>MEDIO</v>
      </c>
      <c r="AK31" s="33">
        <v>10</v>
      </c>
      <c r="AL31" s="33">
        <f t="shared" si="7"/>
        <v>60</v>
      </c>
      <c r="AM31" s="33" t="str">
        <f t="shared" si="8"/>
        <v>RIESGO ACEPTABLE</v>
      </c>
      <c r="AN31" s="34"/>
      <c r="AO31" s="34"/>
      <c r="AP31" s="34"/>
      <c r="AQ31" s="34" t="s">
        <v>1278</v>
      </c>
      <c r="AR31" s="34"/>
      <c r="AS31" s="61" t="s">
        <v>148</v>
      </c>
      <c r="EQ31" s="15"/>
      <c r="ER31" s="15"/>
      <c r="ES31" s="15"/>
      <c r="ET31" s="15"/>
      <c r="EU31" s="15"/>
      <c r="EV31" s="15"/>
    </row>
    <row r="32" spans="1:152" s="8" customFormat="1" ht="86.4" x14ac:dyDescent="0.25">
      <c r="A32" s="193"/>
      <c r="B32" s="208"/>
      <c r="C32" s="166"/>
      <c r="D32" s="188"/>
      <c r="E32" s="190"/>
      <c r="F32" s="165"/>
      <c r="G32" s="165"/>
      <c r="H32" s="34" t="s">
        <v>214</v>
      </c>
      <c r="I32" s="165"/>
      <c r="J32" s="47" t="s">
        <v>215</v>
      </c>
      <c r="K32" s="32" t="s">
        <v>104</v>
      </c>
      <c r="L32" s="68" t="s">
        <v>216</v>
      </c>
      <c r="M32" s="73" t="s">
        <v>84</v>
      </c>
      <c r="N32" s="73" t="s">
        <v>176</v>
      </c>
      <c r="O32" s="73" t="s">
        <v>217</v>
      </c>
      <c r="P32" s="70">
        <v>2</v>
      </c>
      <c r="Q32" s="41">
        <v>3</v>
      </c>
      <c r="R32" s="33">
        <f t="shared" si="0"/>
        <v>6</v>
      </c>
      <c r="S32" s="33" t="str">
        <f t="shared" si="1"/>
        <v>MEDIO</v>
      </c>
      <c r="T32" s="33">
        <v>10</v>
      </c>
      <c r="U32" s="75">
        <f t="shared" si="2"/>
        <v>60</v>
      </c>
      <c r="V32" s="33" t="str">
        <f t="shared" si="3"/>
        <v>lll</v>
      </c>
      <c r="W32" s="74" t="str">
        <f t="shared" si="4"/>
        <v>SI</v>
      </c>
      <c r="X32" s="33">
        <v>30</v>
      </c>
      <c r="Y32" s="31" t="s">
        <v>218</v>
      </c>
      <c r="Z32" s="33" t="s">
        <v>87</v>
      </c>
      <c r="AA32" s="46"/>
      <c r="AB32" s="33"/>
      <c r="AC32" s="34"/>
      <c r="AD32" s="34" t="s">
        <v>1279</v>
      </c>
      <c r="AE32" s="34"/>
      <c r="AF32" s="34" t="s">
        <v>855</v>
      </c>
      <c r="AG32" s="41">
        <v>2</v>
      </c>
      <c r="AH32" s="41">
        <v>3</v>
      </c>
      <c r="AI32" s="33">
        <f t="shared" si="5"/>
        <v>6</v>
      </c>
      <c r="AJ32" s="33" t="str">
        <f t="shared" si="6"/>
        <v>MEDIO</v>
      </c>
      <c r="AK32" s="33">
        <v>10</v>
      </c>
      <c r="AL32" s="33">
        <f t="shared" si="7"/>
        <v>60</v>
      </c>
      <c r="AM32" s="33" t="str">
        <f t="shared" si="8"/>
        <v>RIESGO ACEPTABLE</v>
      </c>
      <c r="AN32" s="34"/>
      <c r="AO32" s="34"/>
      <c r="AP32" s="34"/>
      <c r="AQ32" s="34" t="s">
        <v>1308</v>
      </c>
      <c r="AR32" s="34"/>
      <c r="AS32" s="61" t="s">
        <v>222</v>
      </c>
      <c r="EQ32" s="15"/>
      <c r="ER32" s="15"/>
      <c r="ES32" s="15"/>
      <c r="ET32" s="15"/>
      <c r="EU32" s="15"/>
      <c r="EV32" s="15"/>
    </row>
    <row r="33" spans="1:152" s="8" customFormat="1" ht="86.4" x14ac:dyDescent="0.25">
      <c r="A33" s="193"/>
      <c r="B33" s="208"/>
      <c r="C33" s="166"/>
      <c r="D33" s="188"/>
      <c r="E33" s="190"/>
      <c r="F33" s="165"/>
      <c r="G33" s="165"/>
      <c r="H33" s="34" t="s">
        <v>149</v>
      </c>
      <c r="I33" s="165"/>
      <c r="J33" s="32" t="s">
        <v>150</v>
      </c>
      <c r="K33" s="40" t="s">
        <v>104</v>
      </c>
      <c r="L33" s="68" t="s">
        <v>151</v>
      </c>
      <c r="M33" s="73" t="s">
        <v>84</v>
      </c>
      <c r="N33" s="73" t="s">
        <v>176</v>
      </c>
      <c r="O33" s="73" t="s">
        <v>223</v>
      </c>
      <c r="P33" s="70">
        <v>2</v>
      </c>
      <c r="Q33" s="41">
        <v>3</v>
      </c>
      <c r="R33" s="33">
        <f t="shared" si="0"/>
        <v>6</v>
      </c>
      <c r="S33" s="33" t="str">
        <f t="shared" si="1"/>
        <v>MEDIO</v>
      </c>
      <c r="T33" s="33">
        <v>10</v>
      </c>
      <c r="U33" s="75">
        <f t="shared" si="2"/>
        <v>60</v>
      </c>
      <c r="V33" s="33" t="str">
        <f t="shared" si="3"/>
        <v>lll</v>
      </c>
      <c r="W33" s="74" t="str">
        <f t="shared" si="4"/>
        <v>SI</v>
      </c>
      <c r="X33" s="33">
        <v>30</v>
      </c>
      <c r="Y33" s="31" t="s">
        <v>143</v>
      </c>
      <c r="Z33" s="33" t="s">
        <v>87</v>
      </c>
      <c r="AA33" s="34"/>
      <c r="AB33" s="34"/>
      <c r="AC33" s="42"/>
      <c r="AD33" s="42" t="s">
        <v>1309</v>
      </c>
      <c r="AE33" s="42"/>
      <c r="AF33" s="42" t="s">
        <v>154</v>
      </c>
      <c r="AG33" s="41">
        <v>2</v>
      </c>
      <c r="AH33" s="41">
        <v>3</v>
      </c>
      <c r="AI33" s="33">
        <f t="shared" si="5"/>
        <v>6</v>
      </c>
      <c r="AJ33" s="33" t="str">
        <f t="shared" si="6"/>
        <v>MEDIO</v>
      </c>
      <c r="AK33" s="33">
        <v>10</v>
      </c>
      <c r="AL33" s="33">
        <f t="shared" si="7"/>
        <v>60</v>
      </c>
      <c r="AM33" s="33" t="str">
        <f t="shared" si="8"/>
        <v>RIESGO ACEPTABLE</v>
      </c>
      <c r="AN33" s="34"/>
      <c r="AO33" s="34"/>
      <c r="AP33" s="42" t="s">
        <v>225</v>
      </c>
      <c r="AQ33" s="43" t="s">
        <v>1280</v>
      </c>
      <c r="AR33" s="34"/>
      <c r="AS33" s="61" t="s">
        <v>1281</v>
      </c>
      <c r="EQ33" s="15"/>
      <c r="ER33" s="15"/>
      <c r="ES33" s="15"/>
      <c r="ET33" s="15"/>
      <c r="EU33" s="15"/>
      <c r="EV33" s="15"/>
    </row>
    <row r="34" spans="1:152" s="8" customFormat="1" ht="86.4" x14ac:dyDescent="0.25">
      <c r="A34" s="193"/>
      <c r="B34" s="208"/>
      <c r="C34" s="166"/>
      <c r="D34" s="188"/>
      <c r="E34" s="190"/>
      <c r="F34" s="165"/>
      <c r="G34" s="165"/>
      <c r="H34" s="34" t="s">
        <v>157</v>
      </c>
      <c r="I34" s="32" t="s">
        <v>1239</v>
      </c>
      <c r="J34" s="47" t="s">
        <v>1256</v>
      </c>
      <c r="K34" s="32" t="s">
        <v>104</v>
      </c>
      <c r="L34" s="68" t="s">
        <v>160</v>
      </c>
      <c r="M34" s="73" t="s">
        <v>84</v>
      </c>
      <c r="N34" s="73" t="s">
        <v>176</v>
      </c>
      <c r="O34" s="73" t="s">
        <v>162</v>
      </c>
      <c r="P34" s="70">
        <v>2</v>
      </c>
      <c r="Q34" s="41">
        <v>3</v>
      </c>
      <c r="R34" s="33">
        <f t="shared" si="0"/>
        <v>6</v>
      </c>
      <c r="S34" s="33" t="str">
        <f t="shared" si="1"/>
        <v>MEDIO</v>
      </c>
      <c r="T34" s="33">
        <v>10</v>
      </c>
      <c r="U34" s="75">
        <f t="shared" si="2"/>
        <v>60</v>
      </c>
      <c r="V34" s="33" t="str">
        <f t="shared" si="3"/>
        <v>lll</v>
      </c>
      <c r="W34" s="74" t="str">
        <f t="shared" si="4"/>
        <v>SI</v>
      </c>
      <c r="X34" s="33">
        <v>30</v>
      </c>
      <c r="Y34" s="31" t="s">
        <v>163</v>
      </c>
      <c r="Z34" s="33" t="s">
        <v>87</v>
      </c>
      <c r="AA34" s="45"/>
      <c r="AB34" s="33"/>
      <c r="AC34" s="34"/>
      <c r="AD34" s="34" t="s">
        <v>164</v>
      </c>
      <c r="AE34" s="34" t="s">
        <v>93</v>
      </c>
      <c r="AF34" s="34" t="s">
        <v>166</v>
      </c>
      <c r="AG34" s="41">
        <v>2</v>
      </c>
      <c r="AH34" s="41">
        <v>3</v>
      </c>
      <c r="AI34" s="33">
        <f t="shared" si="5"/>
        <v>6</v>
      </c>
      <c r="AJ34" s="33" t="str">
        <f t="shared" si="6"/>
        <v>MEDIO</v>
      </c>
      <c r="AK34" s="33">
        <v>10</v>
      </c>
      <c r="AL34" s="33">
        <f t="shared" si="7"/>
        <v>60</v>
      </c>
      <c r="AM34" s="33" t="str">
        <f t="shared" si="8"/>
        <v>RIESGO ACEPTABLE</v>
      </c>
      <c r="AN34" s="34"/>
      <c r="AO34" s="34"/>
      <c r="AP34" s="34" t="s">
        <v>167</v>
      </c>
      <c r="AQ34" s="34" t="s">
        <v>168</v>
      </c>
      <c r="AR34" s="34" t="s">
        <v>93</v>
      </c>
      <c r="AS34" s="61" t="s">
        <v>166</v>
      </c>
      <c r="EQ34" s="15"/>
      <c r="ER34" s="15"/>
      <c r="ES34" s="15"/>
      <c r="ET34" s="15"/>
      <c r="EU34" s="15"/>
      <c r="EV34" s="15"/>
    </row>
    <row r="35" spans="1:152" s="8" customFormat="1" ht="86.4" x14ac:dyDescent="0.25">
      <c r="A35" s="193"/>
      <c r="B35" s="208"/>
      <c r="C35" s="166"/>
      <c r="D35" s="188"/>
      <c r="E35" s="190"/>
      <c r="F35" s="165"/>
      <c r="G35" s="165"/>
      <c r="H35" s="34" t="s">
        <v>227</v>
      </c>
      <c r="I35" s="47" t="s">
        <v>1239</v>
      </c>
      <c r="J35" s="32" t="s">
        <v>228</v>
      </c>
      <c r="K35" s="34" t="s">
        <v>104</v>
      </c>
      <c r="L35" s="68" t="s">
        <v>229</v>
      </c>
      <c r="M35" s="73" t="s">
        <v>84</v>
      </c>
      <c r="N35" s="73" t="s">
        <v>176</v>
      </c>
      <c r="O35" s="73" t="s">
        <v>230</v>
      </c>
      <c r="P35" s="70">
        <v>2</v>
      </c>
      <c r="Q35" s="41">
        <v>3</v>
      </c>
      <c r="R35" s="33">
        <f>P35*Q35</f>
        <v>6</v>
      </c>
      <c r="S35" s="33" t="str">
        <f t="shared" si="1"/>
        <v>MEDIO</v>
      </c>
      <c r="T35" s="33">
        <v>10</v>
      </c>
      <c r="U35" s="75">
        <f t="shared" si="2"/>
        <v>60</v>
      </c>
      <c r="V35" s="33" t="str">
        <f t="shared" si="3"/>
        <v>lll</v>
      </c>
      <c r="W35" s="74" t="str">
        <f t="shared" si="4"/>
        <v>SI</v>
      </c>
      <c r="X35" s="33">
        <v>30</v>
      </c>
      <c r="Y35" s="31" t="s">
        <v>163</v>
      </c>
      <c r="Z35" s="33" t="s">
        <v>87</v>
      </c>
      <c r="AA35" s="34"/>
      <c r="AB35" s="40"/>
      <c r="AC35" s="40"/>
      <c r="AD35" s="34" t="s">
        <v>231</v>
      </c>
      <c r="AE35" s="34" t="s">
        <v>93</v>
      </c>
      <c r="AF35" s="34" t="s">
        <v>166</v>
      </c>
      <c r="AG35" s="41">
        <v>2</v>
      </c>
      <c r="AH35" s="41">
        <v>3</v>
      </c>
      <c r="AI35" s="33">
        <f>AG35*AH35</f>
        <v>6</v>
      </c>
      <c r="AJ35" s="33" t="str">
        <f>IF(AND(AI35&gt;=0,AI35&lt;=4),"BAJO",IF(AND(AI35&gt;=6,AI35&lt;=8),"MEDIO",IF(AND(AI35&gt;=10,AI35&lt;=20),"ALTO",IF(AND(AI35&gt;=24,AI35&lt;=40),"MUY ALTO"))))</f>
        <v>MEDIO</v>
      </c>
      <c r="AK35" s="33">
        <v>10</v>
      </c>
      <c r="AL35" s="33">
        <f t="shared" si="7"/>
        <v>60</v>
      </c>
      <c r="AM35" s="33" t="str">
        <f t="shared" si="8"/>
        <v>RIESGO ACEPTABLE</v>
      </c>
      <c r="AN35" s="34"/>
      <c r="AO35" s="40"/>
      <c r="AP35" s="40" t="s">
        <v>232</v>
      </c>
      <c r="AQ35" s="34" t="s">
        <v>233</v>
      </c>
      <c r="AR35" s="34" t="s">
        <v>234</v>
      </c>
      <c r="AS35" s="61" t="s">
        <v>235</v>
      </c>
      <c r="EQ35" s="15"/>
      <c r="ER35" s="15"/>
      <c r="ES35" s="15"/>
      <c r="ET35" s="15"/>
      <c r="EU35" s="15"/>
      <c r="EV35" s="15"/>
    </row>
    <row r="36" spans="1:152" s="8" customFormat="1" ht="38.4" x14ac:dyDescent="0.25">
      <c r="A36" s="193"/>
      <c r="B36" s="208"/>
      <c r="C36" s="166" t="s">
        <v>236</v>
      </c>
      <c r="D36" s="188" t="s">
        <v>237</v>
      </c>
      <c r="E36" s="190" t="s">
        <v>87</v>
      </c>
      <c r="F36" s="165" t="s">
        <v>238</v>
      </c>
      <c r="G36" s="165" t="s">
        <v>239</v>
      </c>
      <c r="H36" s="34" t="s">
        <v>183</v>
      </c>
      <c r="I36" s="47" t="s">
        <v>1239</v>
      </c>
      <c r="J36" s="32" t="s">
        <v>240</v>
      </c>
      <c r="K36" s="34" t="s">
        <v>104</v>
      </c>
      <c r="L36" s="68" t="s">
        <v>185</v>
      </c>
      <c r="M36" s="73" t="s">
        <v>84</v>
      </c>
      <c r="N36" s="73" t="s">
        <v>161</v>
      </c>
      <c r="O36" s="73" t="s">
        <v>241</v>
      </c>
      <c r="P36" s="70">
        <v>2</v>
      </c>
      <c r="Q36" s="41">
        <v>3</v>
      </c>
      <c r="R36" s="33">
        <f>P36*Q36</f>
        <v>6</v>
      </c>
      <c r="S36" s="33" t="str">
        <f t="shared" si="1"/>
        <v>MEDIO</v>
      </c>
      <c r="T36" s="33">
        <v>10</v>
      </c>
      <c r="U36" s="75">
        <f t="shared" si="2"/>
        <v>60</v>
      </c>
      <c r="V36" s="33" t="str">
        <f t="shared" si="3"/>
        <v>lll</v>
      </c>
      <c r="W36" s="74" t="str">
        <f t="shared" si="4"/>
        <v>SI</v>
      </c>
      <c r="X36" s="33">
        <v>30</v>
      </c>
      <c r="Y36" s="31" t="s">
        <v>178</v>
      </c>
      <c r="Z36" s="33" t="s">
        <v>87</v>
      </c>
      <c r="AA36" s="34"/>
      <c r="AB36" s="40"/>
      <c r="AC36" s="40"/>
      <c r="AD36" s="34" t="s">
        <v>187</v>
      </c>
      <c r="AE36" s="34" t="s">
        <v>188</v>
      </c>
      <c r="AF36" s="34" t="s">
        <v>166</v>
      </c>
      <c r="AG36" s="41">
        <v>2</v>
      </c>
      <c r="AH36" s="41">
        <v>3</v>
      </c>
      <c r="AI36" s="33">
        <f>AG36*AH36</f>
        <v>6</v>
      </c>
      <c r="AJ36" s="33" t="str">
        <f>IF(AND(AI36&gt;=0,AI36&lt;=4),"BAJO",IF(AND(AI36&gt;=6,AI36&lt;=8),"MEDIO",IF(AND(AI36&gt;=10,AI36&lt;=20),"ALTO",IF(AND(AI36&gt;=24,AI36&lt;=40),"MUY ALTO"))))</f>
        <v>MEDIO</v>
      </c>
      <c r="AK36" s="33">
        <v>10</v>
      </c>
      <c r="AL36" s="33">
        <f t="shared" si="7"/>
        <v>60</v>
      </c>
      <c r="AM36" s="33" t="str">
        <f t="shared" si="8"/>
        <v>RIESGO ACEPTABLE</v>
      </c>
      <c r="AN36" s="34"/>
      <c r="AO36" s="40"/>
      <c r="AP36" s="40"/>
      <c r="AQ36" s="34" t="s">
        <v>189</v>
      </c>
      <c r="AR36" s="34" t="s">
        <v>190</v>
      </c>
      <c r="AS36" s="61" t="s">
        <v>166</v>
      </c>
      <c r="EQ36" s="15"/>
      <c r="ER36" s="15"/>
      <c r="ES36" s="15"/>
      <c r="ET36" s="15"/>
      <c r="EU36" s="15"/>
      <c r="EV36" s="15"/>
    </row>
    <row r="37" spans="1:152" s="8" customFormat="1" ht="67.2" x14ac:dyDescent="0.25">
      <c r="A37" s="193"/>
      <c r="B37" s="208"/>
      <c r="C37" s="166"/>
      <c r="D37" s="188"/>
      <c r="E37" s="190"/>
      <c r="F37" s="165"/>
      <c r="G37" s="165"/>
      <c r="H37" s="34" t="s">
        <v>242</v>
      </c>
      <c r="I37" s="32" t="s">
        <v>1240</v>
      </c>
      <c r="J37" s="32" t="s">
        <v>130</v>
      </c>
      <c r="K37" s="32" t="s">
        <v>104</v>
      </c>
      <c r="L37" s="68" t="s">
        <v>243</v>
      </c>
      <c r="M37" s="73" t="s">
        <v>84</v>
      </c>
      <c r="N37" s="73" t="s">
        <v>106</v>
      </c>
      <c r="O37" s="73" t="s">
        <v>132</v>
      </c>
      <c r="P37" s="70">
        <v>2</v>
      </c>
      <c r="Q37" s="41">
        <v>3</v>
      </c>
      <c r="R37" s="33">
        <f t="shared" ref="R37:R45" si="9">P37*Q37</f>
        <v>6</v>
      </c>
      <c r="S37" s="33" t="str">
        <f t="shared" si="1"/>
        <v>MEDIO</v>
      </c>
      <c r="T37" s="33">
        <v>10</v>
      </c>
      <c r="U37" s="75">
        <f t="shared" si="2"/>
        <v>60</v>
      </c>
      <c r="V37" s="33" t="str">
        <f t="shared" si="3"/>
        <v>lll</v>
      </c>
      <c r="W37" s="74" t="str">
        <f t="shared" si="4"/>
        <v>SI</v>
      </c>
      <c r="X37" s="33">
        <v>30</v>
      </c>
      <c r="Y37" s="31" t="s">
        <v>133</v>
      </c>
      <c r="Z37" s="33" t="s">
        <v>87</v>
      </c>
      <c r="AA37" s="46"/>
      <c r="AB37" s="33"/>
      <c r="AC37" s="34"/>
      <c r="AD37" s="34" t="s">
        <v>244</v>
      </c>
      <c r="AE37" s="34"/>
      <c r="AF37" s="34" t="s">
        <v>245</v>
      </c>
      <c r="AG37" s="41">
        <v>2</v>
      </c>
      <c r="AH37" s="41">
        <v>3</v>
      </c>
      <c r="AI37" s="33">
        <f t="shared" ref="AI37:AI98" si="10">AG37*AH37</f>
        <v>6</v>
      </c>
      <c r="AJ37" s="33" t="str">
        <f t="shared" ref="AJ37:AJ98" si="11">IF(AND(AI37&gt;=0,AI37&lt;=4),"BAJO",IF(AND(AI37&gt;=6,AI37&lt;=8),"MEDIO",IF(AND(AI37&gt;=10,AI37&lt;=20),"ALTO",IF(AND(AI37&gt;=24,AI37&lt;=40),"MUY ALTO"))))</f>
        <v>MEDIO</v>
      </c>
      <c r="AK37" s="33">
        <v>10</v>
      </c>
      <c r="AL37" s="33">
        <f t="shared" si="7"/>
        <v>60</v>
      </c>
      <c r="AM37" s="33" t="str">
        <f t="shared" si="8"/>
        <v>RIESGO ACEPTABLE</v>
      </c>
      <c r="AN37" s="34"/>
      <c r="AO37" s="34"/>
      <c r="AP37" s="34"/>
      <c r="AQ37" s="34" t="s">
        <v>136</v>
      </c>
      <c r="AR37" s="34" t="s">
        <v>93</v>
      </c>
      <c r="AS37" s="61" t="s">
        <v>245</v>
      </c>
      <c r="EQ37" s="15"/>
      <c r="ER37" s="15"/>
      <c r="ES37" s="15"/>
      <c r="ET37" s="15"/>
      <c r="EU37" s="15"/>
      <c r="EV37" s="15"/>
    </row>
    <row r="38" spans="1:152" s="8" customFormat="1" ht="67.2" x14ac:dyDescent="0.25">
      <c r="A38" s="193"/>
      <c r="B38" s="208"/>
      <c r="C38" s="166"/>
      <c r="D38" s="188"/>
      <c r="E38" s="190"/>
      <c r="F38" s="165"/>
      <c r="G38" s="165"/>
      <c r="H38" s="34" t="s">
        <v>246</v>
      </c>
      <c r="I38" s="32" t="s">
        <v>1234</v>
      </c>
      <c r="J38" s="32" t="s">
        <v>247</v>
      </c>
      <c r="K38" s="32" t="s">
        <v>248</v>
      </c>
      <c r="L38" s="68" t="s">
        <v>249</v>
      </c>
      <c r="M38" s="73" t="s">
        <v>84</v>
      </c>
      <c r="N38" s="73" t="s">
        <v>106</v>
      </c>
      <c r="O38" s="73" t="s">
        <v>250</v>
      </c>
      <c r="P38" s="70">
        <v>2</v>
      </c>
      <c r="Q38" s="41">
        <v>2</v>
      </c>
      <c r="R38" s="33">
        <f t="shared" si="9"/>
        <v>4</v>
      </c>
      <c r="S38" s="33" t="str">
        <f t="shared" si="1"/>
        <v>BAJO</v>
      </c>
      <c r="T38" s="33">
        <v>10</v>
      </c>
      <c r="U38" s="75">
        <f t="shared" si="2"/>
        <v>40</v>
      </c>
      <c r="V38" s="33" t="str">
        <f t="shared" si="3"/>
        <v>lll</v>
      </c>
      <c r="W38" s="74" t="str">
        <f t="shared" si="4"/>
        <v>SI</v>
      </c>
      <c r="X38" s="33">
        <v>30</v>
      </c>
      <c r="Y38" s="31" t="s">
        <v>251</v>
      </c>
      <c r="Z38" s="33" t="s">
        <v>87</v>
      </c>
      <c r="AA38" s="34"/>
      <c r="AB38" s="40"/>
      <c r="AC38" s="40"/>
      <c r="AD38" s="34" t="s">
        <v>252</v>
      </c>
      <c r="AE38" s="34"/>
      <c r="AF38" s="34"/>
      <c r="AG38" s="41">
        <v>2</v>
      </c>
      <c r="AH38" s="41">
        <v>3</v>
      </c>
      <c r="AI38" s="33">
        <f t="shared" si="10"/>
        <v>6</v>
      </c>
      <c r="AJ38" s="33" t="str">
        <f t="shared" si="11"/>
        <v>MEDIO</v>
      </c>
      <c r="AK38" s="33">
        <v>10</v>
      </c>
      <c r="AL38" s="33">
        <f t="shared" si="7"/>
        <v>60</v>
      </c>
      <c r="AM38" s="33" t="str">
        <f t="shared" si="8"/>
        <v>RIESGO ACEPTABLE</v>
      </c>
      <c r="AN38" s="34"/>
      <c r="AO38" s="40"/>
      <c r="AP38" s="40"/>
      <c r="AQ38" s="34" t="s">
        <v>252</v>
      </c>
      <c r="AR38" s="34"/>
      <c r="AS38" s="61"/>
      <c r="EQ38" s="15"/>
      <c r="ER38" s="15"/>
      <c r="ES38" s="15"/>
      <c r="ET38" s="15"/>
      <c r="EU38" s="15"/>
      <c r="EV38" s="15"/>
    </row>
    <row r="39" spans="1:152" s="107" customFormat="1" ht="48" x14ac:dyDescent="0.25">
      <c r="A39" s="194"/>
      <c r="B39" s="209"/>
      <c r="C39" s="187"/>
      <c r="D39" s="189"/>
      <c r="E39" s="191"/>
      <c r="F39" s="192"/>
      <c r="G39" s="165"/>
      <c r="H39" s="34" t="s">
        <v>253</v>
      </c>
      <c r="I39" s="32" t="s">
        <v>1234</v>
      </c>
      <c r="J39" s="32" t="s">
        <v>254</v>
      </c>
      <c r="K39" s="34" t="s">
        <v>104</v>
      </c>
      <c r="L39" s="68" t="s">
        <v>255</v>
      </c>
      <c r="M39" s="7" t="s">
        <v>84</v>
      </c>
      <c r="N39" s="7" t="s">
        <v>161</v>
      </c>
      <c r="O39" s="7" t="s">
        <v>256</v>
      </c>
      <c r="P39" s="70">
        <v>6</v>
      </c>
      <c r="Q39" s="41">
        <v>2</v>
      </c>
      <c r="R39" s="33">
        <f>P39*Q39</f>
        <v>12</v>
      </c>
      <c r="S39" s="106" t="str">
        <f t="shared" si="1"/>
        <v>ALTO</v>
      </c>
      <c r="T39" s="33">
        <v>25</v>
      </c>
      <c r="U39" s="33">
        <v>120</v>
      </c>
      <c r="V39" s="33" t="str">
        <f t="shared" si="3"/>
        <v>lll</v>
      </c>
      <c r="W39" s="74" t="str">
        <f t="shared" si="4"/>
        <v>SI</v>
      </c>
      <c r="X39" s="33">
        <v>30</v>
      </c>
      <c r="Y39" s="42" t="s">
        <v>257</v>
      </c>
      <c r="Z39" s="106" t="s">
        <v>87</v>
      </c>
      <c r="AA39" s="34"/>
      <c r="AB39" s="40"/>
      <c r="AC39" s="40" t="s">
        <v>258</v>
      </c>
      <c r="AD39" s="34" t="s">
        <v>259</v>
      </c>
      <c r="AE39" s="34"/>
      <c r="AF39" s="34" t="s">
        <v>260</v>
      </c>
      <c r="AG39" s="41">
        <v>2</v>
      </c>
      <c r="AH39" s="41">
        <v>3</v>
      </c>
      <c r="AI39" s="75">
        <f>AG39*AH39</f>
        <v>6</v>
      </c>
      <c r="AJ39" s="106" t="str">
        <f t="shared" si="11"/>
        <v>MEDIO</v>
      </c>
      <c r="AK39" s="33">
        <v>10</v>
      </c>
      <c r="AL39" s="75">
        <f t="shared" si="7"/>
        <v>60</v>
      </c>
      <c r="AM39" s="33" t="str">
        <f t="shared" si="8"/>
        <v>RIESGO ACEPTABLE</v>
      </c>
      <c r="AN39" s="50"/>
      <c r="AO39" s="54"/>
      <c r="AP39" s="54" t="s">
        <v>261</v>
      </c>
      <c r="AQ39" s="50" t="s">
        <v>262</v>
      </c>
      <c r="AR39" s="50"/>
      <c r="AS39" s="62" t="s">
        <v>260</v>
      </c>
      <c r="EQ39" s="108"/>
      <c r="ER39" s="108"/>
      <c r="ES39" s="108"/>
      <c r="ET39" s="108"/>
      <c r="EU39" s="108"/>
      <c r="EV39" s="108"/>
    </row>
    <row r="40" spans="1:152" s="8" customFormat="1" ht="86.4" x14ac:dyDescent="0.25">
      <c r="A40" s="193"/>
      <c r="B40" s="208"/>
      <c r="C40" s="166"/>
      <c r="D40" s="188"/>
      <c r="E40" s="190"/>
      <c r="F40" s="165"/>
      <c r="G40" s="165"/>
      <c r="H40" s="34" t="s">
        <v>114</v>
      </c>
      <c r="I40" s="32" t="s">
        <v>1241</v>
      </c>
      <c r="J40" s="34" t="s">
        <v>263</v>
      </c>
      <c r="K40" s="34" t="s">
        <v>104</v>
      </c>
      <c r="L40" s="68" t="s">
        <v>117</v>
      </c>
      <c r="M40" s="73" t="s">
        <v>84</v>
      </c>
      <c r="N40" s="73" t="s">
        <v>176</v>
      </c>
      <c r="O40" s="73" t="s">
        <v>264</v>
      </c>
      <c r="P40" s="70">
        <v>2</v>
      </c>
      <c r="Q40" s="41">
        <v>3</v>
      </c>
      <c r="R40" s="33">
        <f t="shared" si="9"/>
        <v>6</v>
      </c>
      <c r="S40" s="33" t="str">
        <f t="shared" si="1"/>
        <v>MEDIO</v>
      </c>
      <c r="T40" s="33">
        <v>10</v>
      </c>
      <c r="U40" s="75">
        <f t="shared" si="2"/>
        <v>60</v>
      </c>
      <c r="V40" s="33" t="str">
        <f t="shared" si="3"/>
        <v>lll</v>
      </c>
      <c r="W40" s="74" t="str">
        <f t="shared" si="4"/>
        <v>SI</v>
      </c>
      <c r="X40" s="33">
        <v>30</v>
      </c>
      <c r="Y40" s="31" t="s">
        <v>119</v>
      </c>
      <c r="Z40" s="33" t="s">
        <v>87</v>
      </c>
      <c r="AA40" s="45"/>
      <c r="AB40" s="32"/>
      <c r="AC40" s="40" t="s">
        <v>120</v>
      </c>
      <c r="AD40" s="34" t="s">
        <v>121</v>
      </c>
      <c r="AE40" s="34" t="s">
        <v>265</v>
      </c>
      <c r="AF40" s="34" t="s">
        <v>1310</v>
      </c>
      <c r="AG40" s="41">
        <v>2</v>
      </c>
      <c r="AH40" s="41">
        <v>3</v>
      </c>
      <c r="AI40" s="33">
        <f t="shared" si="10"/>
        <v>6</v>
      </c>
      <c r="AJ40" s="33" t="str">
        <f t="shared" si="11"/>
        <v>MEDIO</v>
      </c>
      <c r="AK40" s="33">
        <v>10</v>
      </c>
      <c r="AL40" s="33">
        <f t="shared" si="7"/>
        <v>60</v>
      </c>
      <c r="AM40" s="33" t="str">
        <f t="shared" si="8"/>
        <v>RIESGO ACEPTABLE</v>
      </c>
      <c r="AN40" s="33"/>
      <c r="AO40" s="32"/>
      <c r="AP40" s="40" t="s">
        <v>266</v>
      </c>
      <c r="AQ40" s="34" t="s">
        <v>267</v>
      </c>
      <c r="AR40" s="34" t="s">
        <v>265</v>
      </c>
      <c r="AS40" s="61" t="s">
        <v>1310</v>
      </c>
      <c r="EQ40" s="15"/>
      <c r="ER40" s="15"/>
      <c r="ES40" s="15"/>
      <c r="ET40" s="15"/>
      <c r="EU40" s="15"/>
      <c r="EV40" s="15"/>
    </row>
    <row r="41" spans="1:152" s="8" customFormat="1" ht="67.2" x14ac:dyDescent="0.25">
      <c r="A41" s="193"/>
      <c r="B41" s="208"/>
      <c r="C41" s="166"/>
      <c r="D41" s="188"/>
      <c r="E41" s="190"/>
      <c r="F41" s="165"/>
      <c r="G41" s="165"/>
      <c r="H41" s="34" t="s">
        <v>205</v>
      </c>
      <c r="I41" s="165" t="s">
        <v>1242</v>
      </c>
      <c r="J41" s="47" t="s">
        <v>268</v>
      </c>
      <c r="K41" s="32" t="s">
        <v>104</v>
      </c>
      <c r="L41" s="68" t="s">
        <v>207</v>
      </c>
      <c r="M41" s="73" t="s">
        <v>84</v>
      </c>
      <c r="N41" s="73" t="s">
        <v>106</v>
      </c>
      <c r="O41" s="73" t="s">
        <v>132</v>
      </c>
      <c r="P41" s="70">
        <v>6</v>
      </c>
      <c r="Q41" s="41">
        <v>3</v>
      </c>
      <c r="R41" s="33">
        <f t="shared" si="9"/>
        <v>18</v>
      </c>
      <c r="S41" s="105" t="str">
        <f t="shared" si="1"/>
        <v>ALTO</v>
      </c>
      <c r="T41" s="33">
        <v>10</v>
      </c>
      <c r="U41" s="75">
        <f t="shared" si="2"/>
        <v>180</v>
      </c>
      <c r="V41" s="33" t="str">
        <f t="shared" si="3"/>
        <v>ll</v>
      </c>
      <c r="W41" s="74" t="str">
        <f t="shared" si="4"/>
        <v>NO</v>
      </c>
      <c r="X41" s="33">
        <v>30</v>
      </c>
      <c r="Y41" s="31" t="s">
        <v>209</v>
      </c>
      <c r="Z41" s="33" t="s">
        <v>87</v>
      </c>
      <c r="AA41" s="45"/>
      <c r="AB41" s="33"/>
      <c r="AC41" s="34"/>
      <c r="AD41" s="34" t="s">
        <v>210</v>
      </c>
      <c r="AE41" s="34" t="s">
        <v>93</v>
      </c>
      <c r="AF41" s="34"/>
      <c r="AG41" s="41">
        <v>2</v>
      </c>
      <c r="AH41" s="41">
        <v>3</v>
      </c>
      <c r="AI41" s="33">
        <f>AG41*AH41</f>
        <v>6</v>
      </c>
      <c r="AJ41" s="33" t="str">
        <f t="shared" si="11"/>
        <v>MEDIO</v>
      </c>
      <c r="AK41" s="33">
        <v>10</v>
      </c>
      <c r="AL41" s="33">
        <f t="shared" si="7"/>
        <v>60</v>
      </c>
      <c r="AM41" s="33" t="str">
        <f t="shared" si="8"/>
        <v>RIESGO ACEPTABLE</v>
      </c>
      <c r="AN41" s="34"/>
      <c r="AO41" s="34"/>
      <c r="AP41" s="34" t="s">
        <v>211</v>
      </c>
      <c r="AQ41" s="34" t="s">
        <v>269</v>
      </c>
      <c r="AR41" s="34" t="s">
        <v>212</v>
      </c>
      <c r="AS41" s="61" t="s">
        <v>113</v>
      </c>
      <c r="EQ41" s="15"/>
      <c r="ER41" s="15"/>
      <c r="ES41" s="15"/>
      <c r="ET41" s="15"/>
      <c r="EU41" s="15"/>
      <c r="EV41" s="15"/>
    </row>
    <row r="42" spans="1:152" s="8" customFormat="1" ht="67.2" x14ac:dyDescent="0.25">
      <c r="A42" s="193"/>
      <c r="B42" s="208"/>
      <c r="C42" s="166"/>
      <c r="D42" s="188"/>
      <c r="E42" s="190"/>
      <c r="F42" s="165"/>
      <c r="G42" s="165"/>
      <c r="H42" s="34" t="s">
        <v>101</v>
      </c>
      <c r="I42" s="165"/>
      <c r="J42" s="32" t="s">
        <v>270</v>
      </c>
      <c r="K42" s="40" t="s">
        <v>104</v>
      </c>
      <c r="L42" s="68" t="s">
        <v>105</v>
      </c>
      <c r="M42" s="73" t="s">
        <v>84</v>
      </c>
      <c r="N42" s="73" t="s">
        <v>106</v>
      </c>
      <c r="O42" s="73" t="s">
        <v>107</v>
      </c>
      <c r="P42" s="70">
        <v>2</v>
      </c>
      <c r="Q42" s="41">
        <v>3</v>
      </c>
      <c r="R42" s="33">
        <f t="shared" si="9"/>
        <v>6</v>
      </c>
      <c r="S42" s="33" t="str">
        <f t="shared" si="1"/>
        <v>MEDIO</v>
      </c>
      <c r="T42" s="33">
        <v>10</v>
      </c>
      <c r="U42" s="75">
        <f t="shared" si="2"/>
        <v>60</v>
      </c>
      <c r="V42" s="33" t="str">
        <f t="shared" si="3"/>
        <v>lll</v>
      </c>
      <c r="W42" s="74" t="str">
        <f t="shared" si="4"/>
        <v>SI</v>
      </c>
      <c r="X42" s="33">
        <v>30</v>
      </c>
      <c r="Y42" s="31" t="s">
        <v>108</v>
      </c>
      <c r="Z42" s="33" t="s">
        <v>87</v>
      </c>
      <c r="AA42" s="34"/>
      <c r="AB42" s="34" t="s">
        <v>271</v>
      </c>
      <c r="AC42" s="42" t="s">
        <v>272</v>
      </c>
      <c r="AD42" s="42" t="s">
        <v>273</v>
      </c>
      <c r="AE42" s="42" t="s">
        <v>93</v>
      </c>
      <c r="AF42" s="42" t="s">
        <v>274</v>
      </c>
      <c r="AG42" s="41">
        <v>2</v>
      </c>
      <c r="AH42" s="41">
        <v>3</v>
      </c>
      <c r="AI42" s="33">
        <f t="shared" si="10"/>
        <v>6</v>
      </c>
      <c r="AJ42" s="33" t="str">
        <f t="shared" si="11"/>
        <v>MEDIO</v>
      </c>
      <c r="AK42" s="33">
        <v>10</v>
      </c>
      <c r="AL42" s="33">
        <f t="shared" si="7"/>
        <v>60</v>
      </c>
      <c r="AM42" s="33" t="str">
        <f t="shared" si="8"/>
        <v>RIESGO ACEPTABLE</v>
      </c>
      <c r="AN42" s="34"/>
      <c r="AO42" s="34" t="s">
        <v>275</v>
      </c>
      <c r="AP42" s="42" t="s">
        <v>276</v>
      </c>
      <c r="AQ42" s="43" t="s">
        <v>111</v>
      </c>
      <c r="AR42" s="34" t="s">
        <v>112</v>
      </c>
      <c r="AS42" s="61" t="s">
        <v>113</v>
      </c>
      <c r="EQ42" s="15"/>
      <c r="ER42" s="15"/>
      <c r="ES42" s="15"/>
      <c r="ET42" s="15"/>
      <c r="EU42" s="15"/>
      <c r="EV42" s="15"/>
    </row>
    <row r="43" spans="1:152" s="8" customFormat="1" ht="48" x14ac:dyDescent="0.25">
      <c r="A43" s="193"/>
      <c r="B43" s="208"/>
      <c r="C43" s="166"/>
      <c r="D43" s="188"/>
      <c r="E43" s="190"/>
      <c r="F43" s="165"/>
      <c r="G43" s="165"/>
      <c r="H43" s="34" t="s">
        <v>138</v>
      </c>
      <c r="I43" s="165" t="s">
        <v>1243</v>
      </c>
      <c r="J43" s="40" t="s">
        <v>277</v>
      </c>
      <c r="K43" s="32" t="s">
        <v>104</v>
      </c>
      <c r="L43" s="68" t="s">
        <v>141</v>
      </c>
      <c r="M43" s="73" t="s">
        <v>84</v>
      </c>
      <c r="N43" s="73" t="s">
        <v>278</v>
      </c>
      <c r="O43" s="73" t="s">
        <v>213</v>
      </c>
      <c r="P43" s="70">
        <v>2</v>
      </c>
      <c r="Q43" s="41">
        <v>2</v>
      </c>
      <c r="R43" s="33">
        <f t="shared" si="9"/>
        <v>4</v>
      </c>
      <c r="S43" s="33" t="str">
        <f t="shared" si="1"/>
        <v>BAJO</v>
      </c>
      <c r="T43" s="33">
        <v>10</v>
      </c>
      <c r="U43" s="75">
        <f t="shared" si="2"/>
        <v>40</v>
      </c>
      <c r="V43" s="33" t="str">
        <f t="shared" si="3"/>
        <v>lll</v>
      </c>
      <c r="W43" s="74" t="str">
        <f t="shared" si="4"/>
        <v>SI</v>
      </c>
      <c r="X43" s="33">
        <v>30</v>
      </c>
      <c r="Y43" s="31" t="s">
        <v>143</v>
      </c>
      <c r="Z43" s="33" t="s">
        <v>87</v>
      </c>
      <c r="AA43" s="34"/>
      <c r="AB43" s="34"/>
      <c r="AC43" s="34" t="s">
        <v>144</v>
      </c>
      <c r="AD43" s="34" t="s">
        <v>279</v>
      </c>
      <c r="AE43" s="34"/>
      <c r="AF43" s="34" t="s">
        <v>146</v>
      </c>
      <c r="AG43" s="41">
        <v>2</v>
      </c>
      <c r="AH43" s="41">
        <v>3</v>
      </c>
      <c r="AI43" s="33">
        <f t="shared" si="10"/>
        <v>6</v>
      </c>
      <c r="AJ43" s="33" t="str">
        <f t="shared" si="11"/>
        <v>MEDIO</v>
      </c>
      <c r="AK43" s="33">
        <v>10</v>
      </c>
      <c r="AL43" s="33">
        <f t="shared" si="7"/>
        <v>60</v>
      </c>
      <c r="AM43" s="33" t="str">
        <f t="shared" si="8"/>
        <v>RIESGO ACEPTABLE</v>
      </c>
      <c r="AN43" s="34"/>
      <c r="AO43" s="34"/>
      <c r="AP43" s="34" t="s">
        <v>144</v>
      </c>
      <c r="AQ43" s="34" t="s">
        <v>1311</v>
      </c>
      <c r="AR43" s="34"/>
      <c r="AS43" s="61" t="s">
        <v>280</v>
      </c>
      <c r="EQ43" s="15"/>
      <c r="ER43" s="15"/>
      <c r="ES43" s="15"/>
      <c r="ET43" s="15"/>
      <c r="EU43" s="15"/>
      <c r="EV43" s="15"/>
    </row>
    <row r="44" spans="1:152" s="8" customFormat="1" ht="86.4" x14ac:dyDescent="0.25">
      <c r="A44" s="193"/>
      <c r="B44" s="208"/>
      <c r="C44" s="166"/>
      <c r="D44" s="188"/>
      <c r="E44" s="190"/>
      <c r="F44" s="165"/>
      <c r="G44" s="165"/>
      <c r="H44" s="34" t="s">
        <v>149</v>
      </c>
      <c r="I44" s="165"/>
      <c r="J44" s="32" t="s">
        <v>281</v>
      </c>
      <c r="K44" s="40" t="s">
        <v>104</v>
      </c>
      <c r="L44" s="68" t="s">
        <v>151</v>
      </c>
      <c r="M44" s="73" t="s">
        <v>84</v>
      </c>
      <c r="N44" s="73" t="s">
        <v>176</v>
      </c>
      <c r="O44" s="73" t="s">
        <v>1258</v>
      </c>
      <c r="P44" s="70">
        <v>2</v>
      </c>
      <c r="Q44" s="41">
        <v>3</v>
      </c>
      <c r="R44" s="33">
        <f t="shared" si="9"/>
        <v>6</v>
      </c>
      <c r="S44" s="33" t="str">
        <f t="shared" si="1"/>
        <v>MEDIO</v>
      </c>
      <c r="T44" s="33">
        <v>10</v>
      </c>
      <c r="U44" s="75">
        <f t="shared" si="2"/>
        <v>60</v>
      </c>
      <c r="V44" s="33" t="str">
        <f t="shared" si="3"/>
        <v>lll</v>
      </c>
      <c r="W44" s="74" t="str">
        <f t="shared" si="4"/>
        <v>SI</v>
      </c>
      <c r="X44" s="33">
        <v>30</v>
      </c>
      <c r="Y44" s="31" t="s">
        <v>143</v>
      </c>
      <c r="Z44" s="33" t="s">
        <v>87</v>
      </c>
      <c r="AA44" s="34"/>
      <c r="AB44" s="34"/>
      <c r="AC44" s="42"/>
      <c r="AD44" s="42" t="s">
        <v>1312</v>
      </c>
      <c r="AE44" s="42"/>
      <c r="AF44" s="34" t="s">
        <v>146</v>
      </c>
      <c r="AG44" s="41">
        <v>2</v>
      </c>
      <c r="AH44" s="41">
        <v>3</v>
      </c>
      <c r="AI44" s="33">
        <f t="shared" si="10"/>
        <v>6</v>
      </c>
      <c r="AJ44" s="33" t="str">
        <f t="shared" si="11"/>
        <v>MEDIO</v>
      </c>
      <c r="AK44" s="33">
        <v>10</v>
      </c>
      <c r="AL44" s="33">
        <f t="shared" si="7"/>
        <v>60</v>
      </c>
      <c r="AM44" s="33" t="str">
        <f t="shared" si="8"/>
        <v>RIESGO ACEPTABLE</v>
      </c>
      <c r="AN44" s="34"/>
      <c r="AO44" s="34"/>
      <c r="AP44" s="42"/>
      <c r="AQ44" s="43" t="s">
        <v>1313</v>
      </c>
      <c r="AR44" s="34"/>
      <c r="AS44" s="61" t="s">
        <v>1314</v>
      </c>
      <c r="EQ44" s="15"/>
      <c r="ER44" s="15"/>
      <c r="ES44" s="15"/>
      <c r="ET44" s="15"/>
      <c r="EU44" s="15"/>
      <c r="EV44" s="15"/>
    </row>
    <row r="45" spans="1:152" s="8" customFormat="1" ht="28.8" x14ac:dyDescent="0.25">
      <c r="A45" s="193"/>
      <c r="B45" s="208"/>
      <c r="C45" s="166"/>
      <c r="D45" s="188"/>
      <c r="E45" s="190"/>
      <c r="F45" s="165"/>
      <c r="G45" s="165"/>
      <c r="H45" s="34" t="s">
        <v>157</v>
      </c>
      <c r="I45" s="165" t="s">
        <v>1239</v>
      </c>
      <c r="J45" s="47" t="s">
        <v>285</v>
      </c>
      <c r="K45" s="32" t="s">
        <v>104</v>
      </c>
      <c r="L45" s="68" t="s">
        <v>160</v>
      </c>
      <c r="M45" s="73" t="s">
        <v>84</v>
      </c>
      <c r="N45" s="73" t="s">
        <v>161</v>
      </c>
      <c r="O45" s="73" t="s">
        <v>286</v>
      </c>
      <c r="P45" s="70">
        <v>2</v>
      </c>
      <c r="Q45" s="41">
        <v>3</v>
      </c>
      <c r="R45" s="33">
        <f t="shared" si="9"/>
        <v>6</v>
      </c>
      <c r="S45" s="33" t="str">
        <f t="shared" si="1"/>
        <v>MEDIO</v>
      </c>
      <c r="T45" s="33">
        <v>10</v>
      </c>
      <c r="U45" s="75">
        <f t="shared" si="2"/>
        <v>60</v>
      </c>
      <c r="V45" s="33" t="str">
        <f t="shared" si="3"/>
        <v>lll</v>
      </c>
      <c r="W45" s="74" t="str">
        <f t="shared" si="4"/>
        <v>SI</v>
      </c>
      <c r="X45" s="33">
        <v>30</v>
      </c>
      <c r="Y45" s="31" t="s">
        <v>163</v>
      </c>
      <c r="Z45" s="33" t="s">
        <v>87</v>
      </c>
      <c r="AA45" s="45"/>
      <c r="AB45" s="33"/>
      <c r="AC45" s="34"/>
      <c r="AD45" s="34" t="s">
        <v>231</v>
      </c>
      <c r="AE45" s="34" t="s">
        <v>287</v>
      </c>
      <c r="AF45" s="34" t="s">
        <v>182</v>
      </c>
      <c r="AG45" s="41">
        <v>2</v>
      </c>
      <c r="AH45" s="41">
        <v>3</v>
      </c>
      <c r="AI45" s="33">
        <f t="shared" si="10"/>
        <v>6</v>
      </c>
      <c r="AJ45" s="33" t="str">
        <f t="shared" si="11"/>
        <v>MEDIO</v>
      </c>
      <c r="AK45" s="33">
        <v>10</v>
      </c>
      <c r="AL45" s="33">
        <f t="shared" si="7"/>
        <v>60</v>
      </c>
      <c r="AM45" s="33" t="str">
        <f t="shared" si="8"/>
        <v>RIESGO ACEPTABLE</v>
      </c>
      <c r="AN45" s="34"/>
      <c r="AO45" s="34"/>
      <c r="AP45" s="40" t="s">
        <v>232</v>
      </c>
      <c r="AQ45" s="34" t="s">
        <v>233</v>
      </c>
      <c r="AR45" s="34" t="s">
        <v>234</v>
      </c>
      <c r="AS45" s="61" t="s">
        <v>235</v>
      </c>
      <c r="EQ45" s="15"/>
      <c r="ER45" s="15"/>
      <c r="ES45" s="15"/>
      <c r="ET45" s="15"/>
      <c r="EU45" s="15"/>
      <c r="EV45" s="15"/>
    </row>
    <row r="46" spans="1:152" s="8" customFormat="1" ht="28.8" x14ac:dyDescent="0.25">
      <c r="A46" s="193"/>
      <c r="B46" s="208"/>
      <c r="C46" s="166"/>
      <c r="D46" s="188"/>
      <c r="E46" s="190"/>
      <c r="F46" s="165"/>
      <c r="G46" s="165"/>
      <c r="H46" s="34" t="s">
        <v>227</v>
      </c>
      <c r="I46" s="165"/>
      <c r="J46" s="32" t="s">
        <v>288</v>
      </c>
      <c r="K46" s="34" t="s">
        <v>104</v>
      </c>
      <c r="L46" s="68" t="s">
        <v>229</v>
      </c>
      <c r="M46" s="73" t="s">
        <v>84</v>
      </c>
      <c r="N46" s="73" t="s">
        <v>161</v>
      </c>
      <c r="O46" s="73" t="s">
        <v>289</v>
      </c>
      <c r="P46" s="70">
        <v>2</v>
      </c>
      <c r="Q46" s="41">
        <v>3</v>
      </c>
      <c r="R46" s="33">
        <f>P46*Q46</f>
        <v>6</v>
      </c>
      <c r="S46" s="33" t="str">
        <f t="shared" si="1"/>
        <v>MEDIO</v>
      </c>
      <c r="T46" s="33">
        <v>10</v>
      </c>
      <c r="U46" s="75">
        <f t="shared" si="2"/>
        <v>60</v>
      </c>
      <c r="V46" s="33" t="str">
        <f t="shared" si="3"/>
        <v>lll</v>
      </c>
      <c r="W46" s="74" t="str">
        <f t="shared" si="4"/>
        <v>SI</v>
      </c>
      <c r="X46" s="33">
        <v>30</v>
      </c>
      <c r="Y46" s="31" t="s">
        <v>163</v>
      </c>
      <c r="Z46" s="33" t="s">
        <v>87</v>
      </c>
      <c r="AA46" s="34"/>
      <c r="AB46" s="40"/>
      <c r="AC46" s="40"/>
      <c r="AD46" s="34" t="s">
        <v>231</v>
      </c>
      <c r="AE46" s="34" t="s">
        <v>287</v>
      </c>
      <c r="AF46" s="34" t="s">
        <v>166</v>
      </c>
      <c r="AG46" s="41">
        <v>2</v>
      </c>
      <c r="AH46" s="41">
        <v>3</v>
      </c>
      <c r="AI46" s="33">
        <f t="shared" si="10"/>
        <v>6</v>
      </c>
      <c r="AJ46" s="33" t="str">
        <f t="shared" si="11"/>
        <v>MEDIO</v>
      </c>
      <c r="AK46" s="33">
        <v>10</v>
      </c>
      <c r="AL46" s="33">
        <f t="shared" si="7"/>
        <v>60</v>
      </c>
      <c r="AM46" s="33" t="str">
        <f t="shared" si="8"/>
        <v>RIESGO ACEPTABLE</v>
      </c>
      <c r="AN46" s="34"/>
      <c r="AO46" s="40"/>
      <c r="AP46" s="40" t="s">
        <v>232</v>
      </c>
      <c r="AQ46" s="34" t="s">
        <v>233</v>
      </c>
      <c r="AR46" s="34" t="s">
        <v>234</v>
      </c>
      <c r="AS46" s="61" t="s">
        <v>235</v>
      </c>
      <c r="EQ46" s="15"/>
      <c r="ER46" s="15"/>
      <c r="ES46" s="15"/>
      <c r="ET46" s="15"/>
      <c r="EU46" s="15"/>
      <c r="EV46" s="15"/>
    </row>
    <row r="47" spans="1:152" s="8" customFormat="1" ht="67.2" x14ac:dyDescent="0.25">
      <c r="A47" s="193"/>
      <c r="B47" s="208"/>
      <c r="C47" s="166"/>
      <c r="D47" s="188"/>
      <c r="E47" s="190"/>
      <c r="F47" s="165"/>
      <c r="G47" s="165"/>
      <c r="H47" s="34" t="s">
        <v>290</v>
      </c>
      <c r="I47" s="32" t="s">
        <v>1244</v>
      </c>
      <c r="J47" s="47" t="s">
        <v>292</v>
      </c>
      <c r="K47" s="32" t="s">
        <v>104</v>
      </c>
      <c r="L47" s="68" t="s">
        <v>293</v>
      </c>
      <c r="M47" s="73" t="s">
        <v>84</v>
      </c>
      <c r="N47" s="73" t="s">
        <v>106</v>
      </c>
      <c r="O47" s="73" t="s">
        <v>294</v>
      </c>
      <c r="P47" s="70">
        <v>2</v>
      </c>
      <c r="Q47" s="41">
        <v>3</v>
      </c>
      <c r="R47" s="33">
        <f t="shared" ref="R47:R72" si="12">P47*Q47</f>
        <v>6</v>
      </c>
      <c r="S47" s="33" t="str">
        <f t="shared" si="1"/>
        <v>MEDIO</v>
      </c>
      <c r="T47" s="33">
        <v>10</v>
      </c>
      <c r="U47" s="75">
        <f t="shared" si="2"/>
        <v>60</v>
      </c>
      <c r="V47" s="33" t="str">
        <f t="shared" si="3"/>
        <v>lll</v>
      </c>
      <c r="W47" s="74" t="str">
        <f t="shared" si="4"/>
        <v>SI</v>
      </c>
      <c r="X47" s="33">
        <v>30</v>
      </c>
      <c r="Y47" s="31" t="s">
        <v>295</v>
      </c>
      <c r="Z47" s="33" t="s">
        <v>87</v>
      </c>
      <c r="AA47" s="46"/>
      <c r="AB47" s="33"/>
      <c r="AC47" s="34" t="s">
        <v>296</v>
      </c>
      <c r="AD47" s="34" t="s">
        <v>297</v>
      </c>
      <c r="AE47" s="34" t="s">
        <v>93</v>
      </c>
      <c r="AF47" s="34"/>
      <c r="AG47" s="41">
        <v>2</v>
      </c>
      <c r="AH47" s="41">
        <v>3</v>
      </c>
      <c r="AI47" s="33">
        <f t="shared" si="10"/>
        <v>6</v>
      </c>
      <c r="AJ47" s="33" t="str">
        <f t="shared" si="11"/>
        <v>MEDIO</v>
      </c>
      <c r="AK47" s="33">
        <v>10</v>
      </c>
      <c r="AL47" s="33">
        <f t="shared" si="7"/>
        <v>60</v>
      </c>
      <c r="AM47" s="33" t="str">
        <f t="shared" si="8"/>
        <v>RIESGO ACEPTABLE</v>
      </c>
      <c r="AN47" s="34"/>
      <c r="AO47" s="34"/>
      <c r="AP47" s="34" t="s">
        <v>298</v>
      </c>
      <c r="AQ47" s="34" t="s">
        <v>299</v>
      </c>
      <c r="AR47" s="34"/>
      <c r="AS47" s="61" t="s">
        <v>182</v>
      </c>
      <c r="EQ47" s="15"/>
      <c r="ER47" s="15"/>
      <c r="ES47" s="15"/>
      <c r="ET47" s="15"/>
      <c r="EU47" s="15"/>
      <c r="EV47" s="15"/>
    </row>
    <row r="48" spans="1:152" s="8" customFormat="1" ht="48" x14ac:dyDescent="0.25">
      <c r="A48" s="193"/>
      <c r="B48" s="208"/>
      <c r="C48" s="166" t="s">
        <v>300</v>
      </c>
      <c r="D48" s="188" t="s">
        <v>301</v>
      </c>
      <c r="E48" s="190" t="s">
        <v>87</v>
      </c>
      <c r="F48" s="165" t="s">
        <v>302</v>
      </c>
      <c r="G48" s="165" t="s">
        <v>303</v>
      </c>
      <c r="H48" s="34" t="s">
        <v>183</v>
      </c>
      <c r="I48" s="32" t="s">
        <v>1245</v>
      </c>
      <c r="J48" s="32" t="s">
        <v>304</v>
      </c>
      <c r="K48" s="34" t="s">
        <v>104</v>
      </c>
      <c r="L48" s="68" t="s">
        <v>185</v>
      </c>
      <c r="M48" s="73" t="s">
        <v>84</v>
      </c>
      <c r="N48" s="73" t="s">
        <v>161</v>
      </c>
      <c r="O48" s="73" t="s">
        <v>186</v>
      </c>
      <c r="P48" s="70">
        <v>2</v>
      </c>
      <c r="Q48" s="41">
        <v>3</v>
      </c>
      <c r="R48" s="33">
        <f>P48*Q48</f>
        <v>6</v>
      </c>
      <c r="S48" s="33" t="str">
        <f t="shared" si="1"/>
        <v>MEDIO</v>
      </c>
      <c r="T48" s="33">
        <v>10</v>
      </c>
      <c r="U48" s="75">
        <f t="shared" si="2"/>
        <v>60</v>
      </c>
      <c r="V48" s="33" t="str">
        <f t="shared" si="3"/>
        <v>lll</v>
      </c>
      <c r="W48" s="74" t="str">
        <f t="shared" si="4"/>
        <v>SI</v>
      </c>
      <c r="X48" s="33">
        <v>30</v>
      </c>
      <c r="Y48" s="31" t="s">
        <v>178</v>
      </c>
      <c r="Z48" s="33" t="s">
        <v>87</v>
      </c>
      <c r="AA48" s="34"/>
      <c r="AB48" s="40"/>
      <c r="AC48" s="40"/>
      <c r="AD48" s="34" t="s">
        <v>305</v>
      </c>
      <c r="AE48" s="34" t="s">
        <v>93</v>
      </c>
      <c r="AF48" s="34"/>
      <c r="AG48" s="41">
        <v>2</v>
      </c>
      <c r="AH48" s="41">
        <v>3</v>
      </c>
      <c r="AI48" s="33">
        <f t="shared" si="10"/>
        <v>6</v>
      </c>
      <c r="AJ48" s="33" t="str">
        <f t="shared" si="11"/>
        <v>MEDIO</v>
      </c>
      <c r="AK48" s="33">
        <v>10</v>
      </c>
      <c r="AL48" s="33">
        <f t="shared" si="7"/>
        <v>60</v>
      </c>
      <c r="AM48" s="33" t="str">
        <f t="shared" si="8"/>
        <v>RIESGO ACEPTABLE</v>
      </c>
      <c r="AN48" s="34"/>
      <c r="AO48" s="40"/>
      <c r="AP48" s="40" t="s">
        <v>306</v>
      </c>
      <c r="AQ48" s="34" t="s">
        <v>305</v>
      </c>
      <c r="AR48" s="34" t="s">
        <v>307</v>
      </c>
      <c r="AS48" s="61" t="s">
        <v>182</v>
      </c>
      <c r="EQ48" s="15"/>
      <c r="ER48" s="15"/>
      <c r="ES48" s="15"/>
      <c r="ET48" s="15"/>
      <c r="EU48" s="15"/>
      <c r="EV48" s="15"/>
    </row>
    <row r="49" spans="1:152" s="8" customFormat="1" ht="93.6" customHeight="1" x14ac:dyDescent="0.25">
      <c r="A49" s="193"/>
      <c r="B49" s="208"/>
      <c r="C49" s="166"/>
      <c r="D49" s="188"/>
      <c r="E49" s="190"/>
      <c r="F49" s="165"/>
      <c r="G49" s="165"/>
      <c r="H49" s="34" t="s">
        <v>308</v>
      </c>
      <c r="I49" s="32" t="s">
        <v>1245</v>
      </c>
      <c r="J49" s="32" t="s">
        <v>309</v>
      </c>
      <c r="K49" s="34" t="s">
        <v>248</v>
      </c>
      <c r="L49" s="68" t="s">
        <v>310</v>
      </c>
      <c r="M49" s="73" t="s">
        <v>84</v>
      </c>
      <c r="N49" s="73" t="s">
        <v>311</v>
      </c>
      <c r="O49" s="73" t="s">
        <v>312</v>
      </c>
      <c r="P49" s="70">
        <v>2</v>
      </c>
      <c r="Q49" s="41">
        <v>3</v>
      </c>
      <c r="R49" s="33">
        <f t="shared" si="12"/>
        <v>6</v>
      </c>
      <c r="S49" s="33" t="str">
        <f t="shared" si="1"/>
        <v>MEDIO</v>
      </c>
      <c r="T49" s="33">
        <v>10</v>
      </c>
      <c r="U49" s="75">
        <f t="shared" si="2"/>
        <v>60</v>
      </c>
      <c r="V49" s="33" t="str">
        <f t="shared" si="3"/>
        <v>lll</v>
      </c>
      <c r="W49" s="74" t="str">
        <f t="shared" si="4"/>
        <v>SI</v>
      </c>
      <c r="X49" s="33">
        <v>30</v>
      </c>
      <c r="Y49" s="31" t="s">
        <v>313</v>
      </c>
      <c r="Z49" s="33" t="s">
        <v>87</v>
      </c>
      <c r="AA49" s="34"/>
      <c r="AB49" s="40"/>
      <c r="AC49" s="40"/>
      <c r="AD49" s="34" t="s">
        <v>314</v>
      </c>
      <c r="AE49" s="34"/>
      <c r="AF49" s="34"/>
      <c r="AG49" s="41">
        <v>2</v>
      </c>
      <c r="AH49" s="41">
        <v>3</v>
      </c>
      <c r="AI49" s="33">
        <f t="shared" si="10"/>
        <v>6</v>
      </c>
      <c r="AJ49" s="33" t="str">
        <f t="shared" si="11"/>
        <v>MEDIO</v>
      </c>
      <c r="AK49" s="33">
        <v>25</v>
      </c>
      <c r="AL49" s="33">
        <f t="shared" si="7"/>
        <v>150</v>
      </c>
      <c r="AM49" s="33" t="str">
        <f t="shared" si="8"/>
        <v xml:space="preserve"> RIESGO ACEPTABLE CON CONTROL ESPECIFICO</v>
      </c>
      <c r="AN49" s="34"/>
      <c r="AO49" s="40"/>
      <c r="AP49" s="40"/>
      <c r="AQ49" s="34" t="s">
        <v>1211</v>
      </c>
      <c r="AR49" s="34"/>
      <c r="AS49" s="61"/>
      <c r="EQ49" s="15"/>
      <c r="ER49" s="15"/>
      <c r="ES49" s="15"/>
      <c r="ET49" s="15"/>
      <c r="EU49" s="15"/>
      <c r="EV49" s="15"/>
    </row>
    <row r="50" spans="1:152" s="8" customFormat="1" ht="76.8" x14ac:dyDescent="0.25">
      <c r="A50" s="193"/>
      <c r="B50" s="208"/>
      <c r="C50" s="166"/>
      <c r="D50" s="188"/>
      <c r="E50" s="190"/>
      <c r="F50" s="165"/>
      <c r="G50" s="165"/>
      <c r="H50" s="34" t="s">
        <v>316</v>
      </c>
      <c r="I50" s="34" t="s">
        <v>1233</v>
      </c>
      <c r="J50" s="32" t="s">
        <v>317</v>
      </c>
      <c r="K50" s="34" t="s">
        <v>104</v>
      </c>
      <c r="L50" s="68" t="s">
        <v>83</v>
      </c>
      <c r="M50" s="73" t="s">
        <v>84</v>
      </c>
      <c r="N50" s="73" t="s">
        <v>106</v>
      </c>
      <c r="O50" s="73" t="s">
        <v>318</v>
      </c>
      <c r="P50" s="70">
        <v>2</v>
      </c>
      <c r="Q50" s="41">
        <v>3</v>
      </c>
      <c r="R50" s="33">
        <f t="shared" si="12"/>
        <v>6</v>
      </c>
      <c r="S50" s="33" t="str">
        <f t="shared" si="1"/>
        <v>MEDIO</v>
      </c>
      <c r="T50" s="33">
        <v>10</v>
      </c>
      <c r="U50" s="75">
        <f t="shared" si="2"/>
        <v>60</v>
      </c>
      <c r="V50" s="33" t="str">
        <f t="shared" si="3"/>
        <v>lll</v>
      </c>
      <c r="W50" s="74" t="str">
        <f t="shared" si="4"/>
        <v>SI</v>
      </c>
      <c r="X50" s="33">
        <v>30</v>
      </c>
      <c r="Y50" s="31" t="s">
        <v>108</v>
      </c>
      <c r="Z50" s="33" t="s">
        <v>87</v>
      </c>
      <c r="AA50" s="34"/>
      <c r="AB50" s="40"/>
      <c r="AC50" s="34" t="s">
        <v>319</v>
      </c>
      <c r="AD50" s="34" t="s">
        <v>109</v>
      </c>
      <c r="AE50" s="34" t="s">
        <v>274</v>
      </c>
      <c r="AF50" s="34" t="s">
        <v>320</v>
      </c>
      <c r="AG50" s="41">
        <v>2</v>
      </c>
      <c r="AH50" s="41">
        <v>3</v>
      </c>
      <c r="AI50" s="33">
        <f t="shared" si="10"/>
        <v>6</v>
      </c>
      <c r="AJ50" s="33" t="str">
        <f t="shared" si="11"/>
        <v>MEDIO</v>
      </c>
      <c r="AK50" s="33">
        <v>10</v>
      </c>
      <c r="AL50" s="33">
        <f t="shared" si="7"/>
        <v>60</v>
      </c>
      <c r="AM50" s="33" t="str">
        <f t="shared" si="8"/>
        <v>RIESGO ACEPTABLE</v>
      </c>
      <c r="AN50" s="34"/>
      <c r="AO50" s="40"/>
      <c r="AP50" s="40" t="s">
        <v>321</v>
      </c>
      <c r="AQ50" s="34" t="s">
        <v>322</v>
      </c>
      <c r="AR50" s="34" t="s">
        <v>323</v>
      </c>
      <c r="AS50" s="61" t="s">
        <v>320</v>
      </c>
      <c r="EQ50" s="15"/>
      <c r="ER50" s="15"/>
      <c r="ES50" s="15"/>
      <c r="ET50" s="15"/>
      <c r="EU50" s="15"/>
      <c r="EV50" s="15"/>
    </row>
    <row r="51" spans="1:152" s="8" customFormat="1" ht="67.2" x14ac:dyDescent="0.25">
      <c r="A51" s="193"/>
      <c r="B51" s="208"/>
      <c r="C51" s="166"/>
      <c r="D51" s="188"/>
      <c r="E51" s="190"/>
      <c r="F51" s="165"/>
      <c r="G51" s="165"/>
      <c r="H51" s="34" t="s">
        <v>242</v>
      </c>
      <c r="I51" s="32" t="s">
        <v>1235</v>
      </c>
      <c r="J51" s="32" t="s">
        <v>130</v>
      </c>
      <c r="K51" s="32" t="s">
        <v>104</v>
      </c>
      <c r="L51" s="68" t="s">
        <v>243</v>
      </c>
      <c r="M51" s="73" t="s">
        <v>84</v>
      </c>
      <c r="N51" s="73" t="s">
        <v>1259</v>
      </c>
      <c r="O51" s="73" t="s">
        <v>132</v>
      </c>
      <c r="P51" s="70">
        <v>2</v>
      </c>
      <c r="Q51" s="41">
        <v>3</v>
      </c>
      <c r="R51" s="33">
        <f t="shared" si="12"/>
        <v>6</v>
      </c>
      <c r="S51" s="33" t="str">
        <f t="shared" si="1"/>
        <v>MEDIO</v>
      </c>
      <c r="T51" s="33">
        <v>10</v>
      </c>
      <c r="U51" s="75">
        <f t="shared" si="2"/>
        <v>60</v>
      </c>
      <c r="V51" s="33" t="str">
        <f t="shared" si="3"/>
        <v>lll</v>
      </c>
      <c r="W51" s="74" t="str">
        <f t="shared" si="4"/>
        <v>SI</v>
      </c>
      <c r="X51" s="33">
        <v>30</v>
      </c>
      <c r="Y51" s="31" t="s">
        <v>133</v>
      </c>
      <c r="Z51" s="33" t="s">
        <v>87</v>
      </c>
      <c r="AA51" s="46"/>
      <c r="AB51" s="33"/>
      <c r="AC51" s="34"/>
      <c r="AD51" s="34" t="s">
        <v>325</v>
      </c>
      <c r="AE51" s="34"/>
      <c r="AF51" s="34" t="s">
        <v>245</v>
      </c>
      <c r="AG51" s="41">
        <v>2</v>
      </c>
      <c r="AH51" s="41">
        <v>3</v>
      </c>
      <c r="AI51" s="33">
        <f t="shared" si="10"/>
        <v>6</v>
      </c>
      <c r="AJ51" s="33" t="str">
        <f t="shared" si="11"/>
        <v>MEDIO</v>
      </c>
      <c r="AK51" s="33">
        <v>10</v>
      </c>
      <c r="AL51" s="33">
        <f t="shared" si="7"/>
        <v>60</v>
      </c>
      <c r="AM51" s="33" t="str">
        <f t="shared" si="8"/>
        <v>RIESGO ACEPTABLE</v>
      </c>
      <c r="AN51" s="34"/>
      <c r="AO51" s="34"/>
      <c r="AP51" s="34"/>
      <c r="AQ51" s="34" t="s">
        <v>136</v>
      </c>
      <c r="AR51" s="34" t="s">
        <v>93</v>
      </c>
      <c r="AS51" s="61" t="s">
        <v>245</v>
      </c>
      <c r="EQ51" s="15"/>
      <c r="ER51" s="15"/>
      <c r="ES51" s="15"/>
      <c r="ET51" s="15"/>
      <c r="EU51" s="15"/>
      <c r="EV51" s="15"/>
    </row>
    <row r="52" spans="1:152" s="8" customFormat="1" ht="67.2" x14ac:dyDescent="0.25">
      <c r="A52" s="193"/>
      <c r="B52" s="208"/>
      <c r="C52" s="166"/>
      <c r="D52" s="188"/>
      <c r="E52" s="190"/>
      <c r="F52" s="165"/>
      <c r="G52" s="165"/>
      <c r="H52" s="34" t="s">
        <v>149</v>
      </c>
      <c r="I52" s="34" t="s">
        <v>1236</v>
      </c>
      <c r="J52" s="32" t="s">
        <v>326</v>
      </c>
      <c r="K52" s="40" t="s">
        <v>104</v>
      </c>
      <c r="L52" s="68" t="s">
        <v>327</v>
      </c>
      <c r="M52" s="73" t="s">
        <v>84</v>
      </c>
      <c r="N52" s="73" t="s">
        <v>1259</v>
      </c>
      <c r="O52" s="73" t="s">
        <v>328</v>
      </c>
      <c r="P52" s="70">
        <v>2</v>
      </c>
      <c r="Q52" s="41">
        <v>3</v>
      </c>
      <c r="R52" s="33">
        <f t="shared" si="12"/>
        <v>6</v>
      </c>
      <c r="S52" s="33" t="str">
        <f t="shared" si="1"/>
        <v>MEDIO</v>
      </c>
      <c r="T52" s="33">
        <v>10</v>
      </c>
      <c r="U52" s="75">
        <f t="shared" si="2"/>
        <v>60</v>
      </c>
      <c r="V52" s="33" t="str">
        <f t="shared" si="3"/>
        <v>lll</v>
      </c>
      <c r="W52" s="74" t="str">
        <f t="shared" si="4"/>
        <v>SI</v>
      </c>
      <c r="X52" s="33">
        <v>30</v>
      </c>
      <c r="Y52" s="31" t="s">
        <v>143</v>
      </c>
      <c r="Z52" s="33" t="s">
        <v>87</v>
      </c>
      <c r="AA52" s="34"/>
      <c r="AB52" s="34"/>
      <c r="AC52" s="42" t="s">
        <v>329</v>
      </c>
      <c r="AD52" s="42" t="s">
        <v>330</v>
      </c>
      <c r="AE52" s="42"/>
      <c r="AF52" s="42" t="s">
        <v>148</v>
      </c>
      <c r="AG52" s="41">
        <v>2</v>
      </c>
      <c r="AH52" s="41">
        <v>3</v>
      </c>
      <c r="AI52" s="33">
        <f t="shared" si="10"/>
        <v>6</v>
      </c>
      <c r="AJ52" s="33" t="str">
        <f t="shared" si="11"/>
        <v>MEDIO</v>
      </c>
      <c r="AK52" s="33">
        <v>10</v>
      </c>
      <c r="AL52" s="33">
        <f t="shared" si="7"/>
        <v>60</v>
      </c>
      <c r="AM52" s="33" t="str">
        <f t="shared" si="8"/>
        <v>RIESGO ACEPTABLE</v>
      </c>
      <c r="AN52" s="34"/>
      <c r="AO52" s="34"/>
      <c r="AP52" s="42" t="s">
        <v>329</v>
      </c>
      <c r="AQ52" s="43" t="s">
        <v>1315</v>
      </c>
      <c r="AR52" s="34"/>
      <c r="AS52" s="61" t="s">
        <v>156</v>
      </c>
      <c r="EQ52" s="15"/>
      <c r="ER52" s="15"/>
      <c r="ES52" s="15"/>
      <c r="ET52" s="15"/>
      <c r="EU52" s="15"/>
      <c r="EV52" s="15"/>
    </row>
    <row r="53" spans="1:152" s="8" customFormat="1" ht="48" x14ac:dyDescent="0.25">
      <c r="A53" s="193"/>
      <c r="B53" s="208"/>
      <c r="C53" s="166"/>
      <c r="D53" s="188"/>
      <c r="E53" s="190"/>
      <c r="F53" s="165"/>
      <c r="G53" s="165"/>
      <c r="H53" s="34" t="s">
        <v>138</v>
      </c>
      <c r="I53" s="34" t="s">
        <v>1243</v>
      </c>
      <c r="J53" s="40" t="s">
        <v>277</v>
      </c>
      <c r="K53" s="32" t="s">
        <v>104</v>
      </c>
      <c r="L53" s="68" t="s">
        <v>141</v>
      </c>
      <c r="M53" s="73" t="s">
        <v>332</v>
      </c>
      <c r="N53" s="73" t="s">
        <v>333</v>
      </c>
      <c r="O53" s="73" t="s">
        <v>213</v>
      </c>
      <c r="P53" s="70">
        <v>2</v>
      </c>
      <c r="Q53" s="41">
        <v>2</v>
      </c>
      <c r="R53" s="33">
        <f t="shared" si="12"/>
        <v>4</v>
      </c>
      <c r="S53" s="33" t="str">
        <f t="shared" si="1"/>
        <v>BAJO</v>
      </c>
      <c r="T53" s="33">
        <v>10</v>
      </c>
      <c r="U53" s="75">
        <f t="shared" si="2"/>
        <v>40</v>
      </c>
      <c r="V53" s="33" t="str">
        <f t="shared" si="3"/>
        <v>lll</v>
      </c>
      <c r="W53" s="74" t="str">
        <f t="shared" si="4"/>
        <v>SI</v>
      </c>
      <c r="X53" s="33">
        <v>30</v>
      </c>
      <c r="Y53" s="31" t="s">
        <v>143</v>
      </c>
      <c r="Z53" s="33" t="s">
        <v>87</v>
      </c>
      <c r="AA53" s="34"/>
      <c r="AB53" s="34"/>
      <c r="AC53" s="42" t="s">
        <v>329</v>
      </c>
      <c r="AD53" s="34" t="s">
        <v>1316</v>
      </c>
      <c r="AE53" s="34"/>
      <c r="AF53" s="34" t="s">
        <v>146</v>
      </c>
      <c r="AG53" s="41">
        <v>2</v>
      </c>
      <c r="AH53" s="41">
        <v>3</v>
      </c>
      <c r="AI53" s="33">
        <f t="shared" si="10"/>
        <v>6</v>
      </c>
      <c r="AJ53" s="33" t="str">
        <f t="shared" si="11"/>
        <v>MEDIO</v>
      </c>
      <c r="AK53" s="33">
        <v>10</v>
      </c>
      <c r="AL53" s="33">
        <f t="shared" si="7"/>
        <v>60</v>
      </c>
      <c r="AM53" s="33" t="str">
        <f t="shared" si="8"/>
        <v>RIESGO ACEPTABLE</v>
      </c>
      <c r="AN53" s="34"/>
      <c r="AO53" s="34"/>
      <c r="AP53" s="42" t="s">
        <v>329</v>
      </c>
      <c r="AQ53" s="34" t="s">
        <v>1317</v>
      </c>
      <c r="AR53" s="34"/>
      <c r="AS53" s="61" t="s">
        <v>280</v>
      </c>
      <c r="EQ53" s="15"/>
      <c r="ER53" s="15"/>
      <c r="ES53" s="15"/>
      <c r="ET53" s="15"/>
      <c r="EU53" s="15"/>
      <c r="EV53" s="15"/>
    </row>
    <row r="54" spans="1:152" s="8" customFormat="1" ht="67.2" x14ac:dyDescent="0.25">
      <c r="A54" s="193"/>
      <c r="B54" s="208"/>
      <c r="C54" s="166"/>
      <c r="D54" s="188"/>
      <c r="E54" s="190"/>
      <c r="F54" s="165"/>
      <c r="G54" s="165"/>
      <c r="H54" s="34" t="s">
        <v>214</v>
      </c>
      <c r="I54" s="34" t="s">
        <v>1236</v>
      </c>
      <c r="J54" s="47" t="s">
        <v>215</v>
      </c>
      <c r="K54" s="32" t="s">
        <v>104</v>
      </c>
      <c r="L54" s="68" t="s">
        <v>216</v>
      </c>
      <c r="M54" s="73" t="s">
        <v>84</v>
      </c>
      <c r="N54" s="73" t="s">
        <v>1259</v>
      </c>
      <c r="O54" s="73" t="s">
        <v>217</v>
      </c>
      <c r="P54" s="70">
        <v>2</v>
      </c>
      <c r="Q54" s="41">
        <v>3</v>
      </c>
      <c r="R54" s="33">
        <f t="shared" si="12"/>
        <v>6</v>
      </c>
      <c r="S54" s="33" t="str">
        <f t="shared" si="1"/>
        <v>MEDIO</v>
      </c>
      <c r="T54" s="33">
        <v>10</v>
      </c>
      <c r="U54" s="75">
        <f t="shared" si="2"/>
        <v>60</v>
      </c>
      <c r="V54" s="33" t="str">
        <f t="shared" si="3"/>
        <v>lll</v>
      </c>
      <c r="W54" s="74" t="str">
        <f t="shared" si="4"/>
        <v>SI</v>
      </c>
      <c r="X54" s="33">
        <v>30</v>
      </c>
      <c r="Y54" s="31" t="s">
        <v>218</v>
      </c>
      <c r="Z54" s="33" t="s">
        <v>87</v>
      </c>
      <c r="AA54" s="46"/>
      <c r="AB54" s="33"/>
      <c r="AC54" s="42" t="s">
        <v>329</v>
      </c>
      <c r="AD54" s="42" t="s">
        <v>330</v>
      </c>
      <c r="AE54" s="42"/>
      <c r="AF54" s="42" t="s">
        <v>148</v>
      </c>
      <c r="AG54" s="41">
        <v>2</v>
      </c>
      <c r="AH54" s="41">
        <v>3</v>
      </c>
      <c r="AI54" s="33">
        <f t="shared" si="10"/>
        <v>6</v>
      </c>
      <c r="AJ54" s="33" t="str">
        <f t="shared" si="11"/>
        <v>MEDIO</v>
      </c>
      <c r="AK54" s="33">
        <v>10</v>
      </c>
      <c r="AL54" s="33">
        <f t="shared" si="7"/>
        <v>60</v>
      </c>
      <c r="AM54" s="33" t="str">
        <f t="shared" si="8"/>
        <v>RIESGO ACEPTABLE</v>
      </c>
      <c r="AN54" s="34"/>
      <c r="AO54" s="34"/>
      <c r="AP54" s="42" t="s">
        <v>329</v>
      </c>
      <c r="AQ54" s="34" t="s">
        <v>1318</v>
      </c>
      <c r="AR54" s="34"/>
      <c r="AS54" s="61" t="s">
        <v>1319</v>
      </c>
      <c r="EQ54" s="15"/>
      <c r="ER54" s="15"/>
      <c r="ES54" s="15"/>
      <c r="ET54" s="15"/>
      <c r="EU54" s="15"/>
      <c r="EV54" s="15"/>
    </row>
    <row r="55" spans="1:152" s="8" customFormat="1" ht="67.2" x14ac:dyDescent="0.25">
      <c r="A55" s="193"/>
      <c r="B55" s="208"/>
      <c r="C55" s="166"/>
      <c r="D55" s="188"/>
      <c r="E55" s="190"/>
      <c r="F55" s="165"/>
      <c r="G55" s="165"/>
      <c r="H55" s="34" t="s">
        <v>334</v>
      </c>
      <c r="I55" s="32" t="s">
        <v>1245</v>
      </c>
      <c r="J55" s="32" t="s">
        <v>335</v>
      </c>
      <c r="K55" s="32" t="s">
        <v>248</v>
      </c>
      <c r="L55" s="68" t="s">
        <v>336</v>
      </c>
      <c r="M55" s="73" t="s">
        <v>332</v>
      </c>
      <c r="N55" s="73" t="s">
        <v>1259</v>
      </c>
      <c r="O55" s="73" t="s">
        <v>337</v>
      </c>
      <c r="P55" s="70">
        <v>2</v>
      </c>
      <c r="Q55" s="41">
        <v>3</v>
      </c>
      <c r="R55" s="33">
        <f>P55*Q55</f>
        <v>6</v>
      </c>
      <c r="S55" s="33" t="str">
        <f t="shared" si="1"/>
        <v>MEDIO</v>
      </c>
      <c r="T55" s="33">
        <v>25</v>
      </c>
      <c r="U55" s="75">
        <f t="shared" si="2"/>
        <v>150</v>
      </c>
      <c r="V55" s="33" t="str">
        <f t="shared" si="3"/>
        <v>ll</v>
      </c>
      <c r="W55" s="74" t="str">
        <f t="shared" si="4"/>
        <v>NO</v>
      </c>
      <c r="X55" s="33">
        <v>30</v>
      </c>
      <c r="Y55" s="31" t="s">
        <v>178</v>
      </c>
      <c r="Z55" s="33" t="s">
        <v>87</v>
      </c>
      <c r="AA55" s="45"/>
      <c r="AB55" s="33"/>
      <c r="AC55" s="34"/>
      <c r="AD55" s="34" t="s">
        <v>338</v>
      </c>
      <c r="AE55" s="34" t="s">
        <v>93</v>
      </c>
      <c r="AF55" s="34" t="s">
        <v>339</v>
      </c>
      <c r="AG55" s="41">
        <v>2</v>
      </c>
      <c r="AH55" s="41">
        <v>3</v>
      </c>
      <c r="AI55" s="33">
        <f>AG55*AH55</f>
        <v>6</v>
      </c>
      <c r="AJ55" s="33" t="str">
        <f t="shared" si="11"/>
        <v>MEDIO</v>
      </c>
      <c r="AK55" s="33">
        <v>25</v>
      </c>
      <c r="AL55" s="33">
        <f t="shared" si="7"/>
        <v>150</v>
      </c>
      <c r="AM55" s="33" t="str">
        <f t="shared" si="8"/>
        <v xml:space="preserve"> RIESGO ACEPTABLE CON CONTROL ESPECIFICO</v>
      </c>
      <c r="AN55" s="34"/>
      <c r="AO55" s="34"/>
      <c r="AP55" s="34"/>
      <c r="AQ55" s="42" t="s">
        <v>340</v>
      </c>
      <c r="AR55" s="34"/>
      <c r="AS55" s="61" t="s">
        <v>339</v>
      </c>
      <c r="EQ55" s="15"/>
      <c r="ER55" s="15"/>
      <c r="ES55" s="15"/>
      <c r="ET55" s="15"/>
      <c r="EU55" s="15"/>
      <c r="EV55" s="15"/>
    </row>
    <row r="56" spans="1:152" s="8" customFormat="1" ht="45.6" x14ac:dyDescent="0.25">
      <c r="A56" s="193"/>
      <c r="B56" s="208"/>
      <c r="C56" s="166"/>
      <c r="D56" s="188"/>
      <c r="E56" s="190"/>
      <c r="F56" s="165"/>
      <c r="G56" s="165"/>
      <c r="H56" s="34" t="s">
        <v>341</v>
      </c>
      <c r="I56" s="32" t="s">
        <v>1245</v>
      </c>
      <c r="J56" s="32" t="s">
        <v>342</v>
      </c>
      <c r="K56" s="32" t="s">
        <v>104</v>
      </c>
      <c r="L56" s="68" t="s">
        <v>336</v>
      </c>
      <c r="M56" s="73" t="s">
        <v>332</v>
      </c>
      <c r="N56" s="73" t="s">
        <v>161</v>
      </c>
      <c r="O56" s="73" t="s">
        <v>343</v>
      </c>
      <c r="P56" s="70">
        <v>2</v>
      </c>
      <c r="Q56" s="41">
        <v>3</v>
      </c>
      <c r="R56" s="33">
        <f t="shared" si="12"/>
        <v>6</v>
      </c>
      <c r="S56" s="33" t="str">
        <f t="shared" si="1"/>
        <v>MEDIO</v>
      </c>
      <c r="T56" s="33">
        <v>25</v>
      </c>
      <c r="U56" s="75">
        <f t="shared" si="2"/>
        <v>150</v>
      </c>
      <c r="V56" s="33" t="str">
        <f t="shared" si="3"/>
        <v>ll</v>
      </c>
      <c r="W56" s="74" t="str">
        <f t="shared" si="4"/>
        <v>NO</v>
      </c>
      <c r="X56" s="33">
        <v>30</v>
      </c>
      <c r="Y56" s="31" t="s">
        <v>178</v>
      </c>
      <c r="Z56" s="33" t="s">
        <v>87</v>
      </c>
      <c r="AA56" s="45"/>
      <c r="AB56" s="33"/>
      <c r="AC56" s="34"/>
      <c r="AD56" s="34" t="s">
        <v>344</v>
      </c>
      <c r="AE56" s="34" t="s">
        <v>93</v>
      </c>
      <c r="AF56" s="34" t="s">
        <v>345</v>
      </c>
      <c r="AG56" s="41">
        <v>2</v>
      </c>
      <c r="AH56" s="41">
        <v>3</v>
      </c>
      <c r="AI56" s="33">
        <f t="shared" si="10"/>
        <v>6</v>
      </c>
      <c r="AJ56" s="33" t="str">
        <f t="shared" si="11"/>
        <v>MEDIO</v>
      </c>
      <c r="AK56" s="33">
        <v>25</v>
      </c>
      <c r="AL56" s="33">
        <f t="shared" si="7"/>
        <v>150</v>
      </c>
      <c r="AM56" s="33" t="str">
        <f t="shared" si="8"/>
        <v xml:space="preserve"> RIESGO ACEPTABLE CON CONTROL ESPECIFICO</v>
      </c>
      <c r="AN56" s="34"/>
      <c r="AO56" s="34"/>
      <c r="AP56" s="34" t="s">
        <v>346</v>
      </c>
      <c r="AQ56" s="42" t="s">
        <v>347</v>
      </c>
      <c r="AR56" s="34" t="s">
        <v>348</v>
      </c>
      <c r="AS56" s="61" t="s">
        <v>345</v>
      </c>
      <c r="EQ56" s="15"/>
      <c r="ER56" s="15"/>
      <c r="ES56" s="15"/>
      <c r="ET56" s="15"/>
      <c r="EU56" s="15"/>
      <c r="EV56" s="15"/>
    </row>
    <row r="57" spans="1:152" s="8" customFormat="1" ht="67.2" x14ac:dyDescent="0.25">
      <c r="A57" s="193"/>
      <c r="B57" s="208"/>
      <c r="C57" s="166"/>
      <c r="D57" s="188"/>
      <c r="E57" s="190"/>
      <c r="F57" s="165"/>
      <c r="G57" s="165"/>
      <c r="H57" s="34" t="s">
        <v>290</v>
      </c>
      <c r="I57" s="168" t="s">
        <v>1245</v>
      </c>
      <c r="J57" s="32" t="s">
        <v>349</v>
      </c>
      <c r="K57" s="34" t="s">
        <v>104</v>
      </c>
      <c r="L57" s="68" t="s">
        <v>293</v>
      </c>
      <c r="M57" s="73" t="s">
        <v>332</v>
      </c>
      <c r="N57" s="73" t="s">
        <v>106</v>
      </c>
      <c r="O57" s="73" t="s">
        <v>294</v>
      </c>
      <c r="P57" s="70">
        <v>2</v>
      </c>
      <c r="Q57" s="41">
        <v>3</v>
      </c>
      <c r="R57" s="33">
        <f t="shared" si="12"/>
        <v>6</v>
      </c>
      <c r="S57" s="33" t="str">
        <f t="shared" si="1"/>
        <v>MEDIO</v>
      </c>
      <c r="T57" s="33">
        <v>25</v>
      </c>
      <c r="U57" s="75">
        <f t="shared" si="2"/>
        <v>150</v>
      </c>
      <c r="V57" s="33" t="str">
        <f t="shared" si="3"/>
        <v>ll</v>
      </c>
      <c r="W57" s="74" t="str">
        <f t="shared" si="4"/>
        <v>NO</v>
      </c>
      <c r="X57" s="33">
        <v>30</v>
      </c>
      <c r="Y57" s="31" t="s">
        <v>295</v>
      </c>
      <c r="Z57" s="33" t="s">
        <v>87</v>
      </c>
      <c r="AA57" s="34"/>
      <c r="AB57" s="40"/>
      <c r="AC57" s="40"/>
      <c r="AD57" s="34" t="s">
        <v>350</v>
      </c>
      <c r="AE57" s="34" t="s">
        <v>93</v>
      </c>
      <c r="AF57" s="34" t="s">
        <v>182</v>
      </c>
      <c r="AG57" s="41">
        <v>2</v>
      </c>
      <c r="AH57" s="41">
        <v>3</v>
      </c>
      <c r="AI57" s="33">
        <f t="shared" si="10"/>
        <v>6</v>
      </c>
      <c r="AJ57" s="33" t="str">
        <f t="shared" si="11"/>
        <v>MEDIO</v>
      </c>
      <c r="AK57" s="33">
        <v>25</v>
      </c>
      <c r="AL57" s="33">
        <f t="shared" si="7"/>
        <v>150</v>
      </c>
      <c r="AM57" s="33" t="str">
        <f t="shared" si="8"/>
        <v xml:space="preserve"> RIESGO ACEPTABLE CON CONTROL ESPECIFICO</v>
      </c>
      <c r="AN57" s="34"/>
      <c r="AO57" s="40"/>
      <c r="AP57" s="40" t="s">
        <v>351</v>
      </c>
      <c r="AQ57" s="34" t="s">
        <v>1212</v>
      </c>
      <c r="AR57" s="34" t="s">
        <v>93</v>
      </c>
      <c r="AS57" s="61" t="s">
        <v>353</v>
      </c>
      <c r="EQ57" s="15"/>
      <c r="ER57" s="15"/>
      <c r="ES57" s="15"/>
      <c r="ET57" s="15"/>
      <c r="EU57" s="15"/>
      <c r="EV57" s="15"/>
    </row>
    <row r="58" spans="1:152" s="8" customFormat="1" ht="57.6" x14ac:dyDescent="0.25">
      <c r="A58" s="193"/>
      <c r="B58" s="208"/>
      <c r="C58" s="166"/>
      <c r="D58" s="188"/>
      <c r="E58" s="190"/>
      <c r="F58" s="165"/>
      <c r="G58" s="165"/>
      <c r="H58" s="34" t="s">
        <v>354</v>
      </c>
      <c r="I58" s="168"/>
      <c r="J58" s="32" t="s">
        <v>355</v>
      </c>
      <c r="K58" s="34" t="s">
        <v>104</v>
      </c>
      <c r="L58" s="68" t="s">
        <v>356</v>
      </c>
      <c r="M58" s="73" t="s">
        <v>332</v>
      </c>
      <c r="N58" s="73" t="s">
        <v>333</v>
      </c>
      <c r="O58" s="73" t="s">
        <v>357</v>
      </c>
      <c r="P58" s="70">
        <v>2</v>
      </c>
      <c r="Q58" s="41">
        <v>3</v>
      </c>
      <c r="R58" s="33">
        <f t="shared" si="12"/>
        <v>6</v>
      </c>
      <c r="S58" s="33" t="str">
        <f t="shared" si="1"/>
        <v>MEDIO</v>
      </c>
      <c r="T58" s="33">
        <v>25</v>
      </c>
      <c r="U58" s="75">
        <f t="shared" si="2"/>
        <v>150</v>
      </c>
      <c r="V58" s="33" t="str">
        <f t="shared" si="3"/>
        <v>ll</v>
      </c>
      <c r="W58" s="74" t="str">
        <f t="shared" si="4"/>
        <v>NO</v>
      </c>
      <c r="X58" s="33">
        <v>30</v>
      </c>
      <c r="Y58" s="31" t="s">
        <v>358</v>
      </c>
      <c r="Z58" s="33" t="s">
        <v>87</v>
      </c>
      <c r="AA58" s="34"/>
      <c r="AB58" s="40"/>
      <c r="AC58" s="40" t="s">
        <v>359</v>
      </c>
      <c r="AD58" s="34" t="s">
        <v>360</v>
      </c>
      <c r="AE58" s="34" t="s">
        <v>93</v>
      </c>
      <c r="AF58" s="34" t="s">
        <v>353</v>
      </c>
      <c r="AG58" s="41">
        <v>2</v>
      </c>
      <c r="AH58" s="41">
        <v>3</v>
      </c>
      <c r="AI58" s="33">
        <f t="shared" si="10"/>
        <v>6</v>
      </c>
      <c r="AJ58" s="33" t="str">
        <f t="shared" si="11"/>
        <v>MEDIO</v>
      </c>
      <c r="AK58" s="33">
        <v>25</v>
      </c>
      <c r="AL58" s="33">
        <f t="shared" si="7"/>
        <v>150</v>
      </c>
      <c r="AM58" s="33" t="str">
        <f t="shared" si="8"/>
        <v xml:space="preserve"> RIESGO ACEPTABLE CON CONTROL ESPECIFICO</v>
      </c>
      <c r="AN58" s="34"/>
      <c r="AO58" s="40"/>
      <c r="AP58" s="40" t="s">
        <v>359</v>
      </c>
      <c r="AQ58" s="34" t="s">
        <v>1193</v>
      </c>
      <c r="AR58" s="34" t="s">
        <v>93</v>
      </c>
      <c r="AS58" s="61" t="s">
        <v>353</v>
      </c>
      <c r="EQ58" s="15"/>
      <c r="ER58" s="15"/>
      <c r="ES58" s="15"/>
      <c r="ET58" s="15"/>
      <c r="EU58" s="15"/>
      <c r="EV58" s="15"/>
    </row>
    <row r="59" spans="1:152" s="8" customFormat="1" ht="48" x14ac:dyDescent="0.25">
      <c r="A59" s="193" t="s">
        <v>361</v>
      </c>
      <c r="B59" s="197" t="s">
        <v>96</v>
      </c>
      <c r="C59" s="166" t="s">
        <v>362</v>
      </c>
      <c r="D59" s="188" t="s">
        <v>363</v>
      </c>
      <c r="E59" s="190" t="s">
        <v>87</v>
      </c>
      <c r="F59" s="165" t="s">
        <v>364</v>
      </c>
      <c r="G59" s="165" t="s">
        <v>365</v>
      </c>
      <c r="H59" s="34" t="s">
        <v>183</v>
      </c>
      <c r="I59" s="168" t="s">
        <v>1245</v>
      </c>
      <c r="J59" s="32" t="s">
        <v>366</v>
      </c>
      <c r="K59" s="34" t="s">
        <v>104</v>
      </c>
      <c r="L59" s="68" t="s">
        <v>185</v>
      </c>
      <c r="M59" s="73" t="s">
        <v>332</v>
      </c>
      <c r="N59" s="73" t="s">
        <v>278</v>
      </c>
      <c r="O59" s="73" t="s">
        <v>367</v>
      </c>
      <c r="P59" s="70">
        <v>2</v>
      </c>
      <c r="Q59" s="41">
        <v>3</v>
      </c>
      <c r="R59" s="33">
        <f t="shared" si="12"/>
        <v>6</v>
      </c>
      <c r="S59" s="33" t="str">
        <f t="shared" si="1"/>
        <v>MEDIO</v>
      </c>
      <c r="T59" s="33">
        <v>10</v>
      </c>
      <c r="U59" s="75">
        <f t="shared" si="2"/>
        <v>60</v>
      </c>
      <c r="V59" s="33" t="str">
        <f t="shared" si="3"/>
        <v>lll</v>
      </c>
      <c r="W59" s="74" t="str">
        <f t="shared" si="4"/>
        <v>SI</v>
      </c>
      <c r="X59" s="33">
        <v>4</v>
      </c>
      <c r="Y59" s="31" t="s">
        <v>178</v>
      </c>
      <c r="Z59" s="33" t="s">
        <v>87</v>
      </c>
      <c r="AA59" s="34"/>
      <c r="AB59" s="40"/>
      <c r="AC59" s="40"/>
      <c r="AD59" s="34" t="s">
        <v>368</v>
      </c>
      <c r="AE59" s="34" t="s">
        <v>369</v>
      </c>
      <c r="AF59" s="34" t="s">
        <v>370</v>
      </c>
      <c r="AG59" s="41">
        <v>2</v>
      </c>
      <c r="AH59" s="41">
        <v>3</v>
      </c>
      <c r="AI59" s="33">
        <f t="shared" si="10"/>
        <v>6</v>
      </c>
      <c r="AJ59" s="33" t="str">
        <f t="shared" si="11"/>
        <v>MEDIO</v>
      </c>
      <c r="AK59" s="33">
        <v>10</v>
      </c>
      <c r="AL59" s="33">
        <f t="shared" si="7"/>
        <v>60</v>
      </c>
      <c r="AM59" s="33" t="str">
        <f t="shared" si="8"/>
        <v>RIESGO ACEPTABLE</v>
      </c>
      <c r="AN59" s="34"/>
      <c r="AO59" s="40"/>
      <c r="AP59" s="40"/>
      <c r="AQ59" s="34" t="s">
        <v>371</v>
      </c>
      <c r="AR59" s="34" t="s">
        <v>369</v>
      </c>
      <c r="AS59" s="61" t="s">
        <v>370</v>
      </c>
      <c r="EQ59" s="15"/>
      <c r="ER59" s="15"/>
      <c r="ES59" s="15"/>
      <c r="ET59" s="15"/>
      <c r="EU59" s="15"/>
      <c r="EV59" s="15"/>
    </row>
    <row r="60" spans="1:152" s="8" customFormat="1" ht="48" x14ac:dyDescent="0.25">
      <c r="A60" s="193"/>
      <c r="B60" s="197"/>
      <c r="C60" s="166"/>
      <c r="D60" s="188"/>
      <c r="E60" s="190"/>
      <c r="F60" s="165"/>
      <c r="G60" s="165"/>
      <c r="H60" s="34" t="s">
        <v>372</v>
      </c>
      <c r="I60" s="168"/>
      <c r="J60" s="32" t="s">
        <v>373</v>
      </c>
      <c r="K60" s="34" t="s">
        <v>104</v>
      </c>
      <c r="L60" s="68" t="s">
        <v>374</v>
      </c>
      <c r="M60" s="73" t="s">
        <v>332</v>
      </c>
      <c r="N60" s="73" t="s">
        <v>278</v>
      </c>
      <c r="O60" s="73" t="s">
        <v>375</v>
      </c>
      <c r="P60" s="70">
        <v>2</v>
      </c>
      <c r="Q60" s="41">
        <v>3</v>
      </c>
      <c r="R60" s="33">
        <f t="shared" si="12"/>
        <v>6</v>
      </c>
      <c r="S60" s="33" t="str">
        <f t="shared" si="1"/>
        <v>MEDIO</v>
      </c>
      <c r="T60" s="33">
        <v>10</v>
      </c>
      <c r="U60" s="75">
        <f t="shared" si="2"/>
        <v>60</v>
      </c>
      <c r="V60" s="33" t="str">
        <f t="shared" si="3"/>
        <v>lll</v>
      </c>
      <c r="W60" s="74" t="str">
        <f t="shared" si="4"/>
        <v>SI</v>
      </c>
      <c r="X60" s="33">
        <v>4</v>
      </c>
      <c r="Y60" s="31" t="s">
        <v>376</v>
      </c>
      <c r="Z60" s="33" t="s">
        <v>87</v>
      </c>
      <c r="AA60" s="34"/>
      <c r="AB60" s="40"/>
      <c r="AC60" s="40" t="s">
        <v>377</v>
      </c>
      <c r="AD60" s="34" t="s">
        <v>368</v>
      </c>
      <c r="AE60" s="34" t="s">
        <v>369</v>
      </c>
      <c r="AF60" s="34" t="s">
        <v>370</v>
      </c>
      <c r="AG60" s="41">
        <v>2</v>
      </c>
      <c r="AH60" s="41">
        <v>3</v>
      </c>
      <c r="AI60" s="33">
        <f t="shared" si="10"/>
        <v>6</v>
      </c>
      <c r="AJ60" s="33" t="str">
        <f t="shared" si="11"/>
        <v>MEDIO</v>
      </c>
      <c r="AK60" s="33">
        <v>10</v>
      </c>
      <c r="AL60" s="33">
        <f t="shared" si="7"/>
        <v>60</v>
      </c>
      <c r="AM60" s="33" t="str">
        <f t="shared" si="8"/>
        <v>RIESGO ACEPTABLE</v>
      </c>
      <c r="AN60" s="34"/>
      <c r="AO60" s="40"/>
      <c r="AP60" s="40"/>
      <c r="AQ60" s="34" t="s">
        <v>371</v>
      </c>
      <c r="AR60" s="34" t="s">
        <v>369</v>
      </c>
      <c r="AS60" s="61" t="s">
        <v>370</v>
      </c>
      <c r="EQ60" s="15"/>
      <c r="ER60" s="15"/>
      <c r="ES60" s="15"/>
      <c r="ET60" s="15"/>
      <c r="EU60" s="15"/>
      <c r="EV60" s="15"/>
    </row>
    <row r="61" spans="1:152" s="8" customFormat="1" ht="38.4" x14ac:dyDescent="0.25">
      <c r="A61" s="193"/>
      <c r="B61" s="197"/>
      <c r="C61" s="166"/>
      <c r="D61" s="188"/>
      <c r="E61" s="190"/>
      <c r="F61" s="165"/>
      <c r="G61" s="165"/>
      <c r="H61" s="34" t="s">
        <v>191</v>
      </c>
      <c r="I61" s="168"/>
      <c r="J61" s="32" t="s">
        <v>1257</v>
      </c>
      <c r="K61" s="34" t="s">
        <v>104</v>
      </c>
      <c r="L61" s="68" t="s">
        <v>193</v>
      </c>
      <c r="M61" s="73" t="s">
        <v>332</v>
      </c>
      <c r="N61" s="73" t="s">
        <v>278</v>
      </c>
      <c r="O61" s="73" t="s">
        <v>379</v>
      </c>
      <c r="P61" s="70">
        <v>2</v>
      </c>
      <c r="Q61" s="41">
        <v>3</v>
      </c>
      <c r="R61" s="33">
        <f t="shared" si="12"/>
        <v>6</v>
      </c>
      <c r="S61" s="33" t="str">
        <f t="shared" si="1"/>
        <v>MEDIO</v>
      </c>
      <c r="T61" s="33">
        <v>10</v>
      </c>
      <c r="U61" s="75">
        <f t="shared" si="2"/>
        <v>60</v>
      </c>
      <c r="V61" s="33" t="str">
        <f t="shared" si="3"/>
        <v>lll</v>
      </c>
      <c r="W61" s="74" t="str">
        <f t="shared" si="4"/>
        <v>SI</v>
      </c>
      <c r="X61" s="33">
        <v>4</v>
      </c>
      <c r="Y61" s="31" t="s">
        <v>195</v>
      </c>
      <c r="Z61" s="33" t="s">
        <v>87</v>
      </c>
      <c r="AA61" s="34"/>
      <c r="AB61" s="40"/>
      <c r="AC61" s="40"/>
      <c r="AD61" s="34" t="s">
        <v>368</v>
      </c>
      <c r="AE61" s="34" t="s">
        <v>369</v>
      </c>
      <c r="AF61" s="34" t="s">
        <v>370</v>
      </c>
      <c r="AG61" s="41">
        <v>2</v>
      </c>
      <c r="AH61" s="41">
        <v>3</v>
      </c>
      <c r="AI61" s="33">
        <f t="shared" si="10"/>
        <v>6</v>
      </c>
      <c r="AJ61" s="33" t="str">
        <f t="shared" si="11"/>
        <v>MEDIO</v>
      </c>
      <c r="AK61" s="33">
        <v>10</v>
      </c>
      <c r="AL61" s="33">
        <f t="shared" si="7"/>
        <v>60</v>
      </c>
      <c r="AM61" s="33" t="str">
        <f t="shared" si="8"/>
        <v>RIESGO ACEPTABLE</v>
      </c>
      <c r="AN61" s="34"/>
      <c r="AO61" s="40"/>
      <c r="AP61" s="40"/>
      <c r="AQ61" s="34" t="s">
        <v>197</v>
      </c>
      <c r="AR61" s="34" t="s">
        <v>369</v>
      </c>
      <c r="AS61" s="61" t="s">
        <v>370</v>
      </c>
      <c r="EQ61" s="15"/>
      <c r="ER61" s="15"/>
      <c r="ES61" s="15"/>
      <c r="ET61" s="15"/>
      <c r="EU61" s="15"/>
      <c r="EV61" s="15"/>
    </row>
    <row r="62" spans="1:152" s="8" customFormat="1" ht="38.4" x14ac:dyDescent="0.25">
      <c r="A62" s="193"/>
      <c r="B62" s="197"/>
      <c r="C62" s="166"/>
      <c r="D62" s="188"/>
      <c r="E62" s="190"/>
      <c r="F62" s="165"/>
      <c r="G62" s="165"/>
      <c r="H62" s="34" t="s">
        <v>1247</v>
      </c>
      <c r="I62" s="34" t="s">
        <v>1246</v>
      </c>
      <c r="J62" s="34" t="s">
        <v>382</v>
      </c>
      <c r="K62" s="34" t="s">
        <v>104</v>
      </c>
      <c r="L62" s="68" t="s">
        <v>383</v>
      </c>
      <c r="M62" s="73" t="s">
        <v>332</v>
      </c>
      <c r="N62" s="73" t="s">
        <v>278</v>
      </c>
      <c r="O62" s="73" t="s">
        <v>384</v>
      </c>
      <c r="P62" s="70">
        <v>2</v>
      </c>
      <c r="Q62" s="41">
        <v>3</v>
      </c>
      <c r="R62" s="33">
        <f t="shared" si="12"/>
        <v>6</v>
      </c>
      <c r="S62" s="33" t="str">
        <f t="shared" si="1"/>
        <v>MEDIO</v>
      </c>
      <c r="T62" s="33">
        <v>10</v>
      </c>
      <c r="U62" s="75">
        <f t="shared" si="2"/>
        <v>60</v>
      </c>
      <c r="V62" s="33" t="str">
        <f t="shared" si="3"/>
        <v>lll</v>
      </c>
      <c r="W62" s="74" t="str">
        <f t="shared" si="4"/>
        <v>SI</v>
      </c>
      <c r="X62" s="33">
        <v>4</v>
      </c>
      <c r="Y62" s="31" t="s">
        <v>385</v>
      </c>
      <c r="Z62" s="33" t="s">
        <v>87</v>
      </c>
      <c r="AA62" s="45"/>
      <c r="AB62" s="32"/>
      <c r="AC62" s="40"/>
      <c r="AD62" s="34" t="s">
        <v>386</v>
      </c>
      <c r="AE62" s="34" t="s">
        <v>93</v>
      </c>
      <c r="AF62" s="34"/>
      <c r="AG62" s="41">
        <v>2</v>
      </c>
      <c r="AH62" s="41">
        <v>3</v>
      </c>
      <c r="AI62" s="33">
        <f t="shared" si="10"/>
        <v>6</v>
      </c>
      <c r="AJ62" s="33" t="str">
        <f t="shared" si="11"/>
        <v>MEDIO</v>
      </c>
      <c r="AK62" s="33">
        <v>10</v>
      </c>
      <c r="AL62" s="33">
        <f t="shared" si="7"/>
        <v>60</v>
      </c>
      <c r="AM62" s="33" t="str">
        <f t="shared" si="8"/>
        <v>RIESGO ACEPTABLE</v>
      </c>
      <c r="AN62" s="33"/>
      <c r="AO62" s="32"/>
      <c r="AP62" s="40"/>
      <c r="AQ62" s="34" t="s">
        <v>387</v>
      </c>
      <c r="AR62" s="34"/>
      <c r="AS62" s="61" t="s">
        <v>388</v>
      </c>
      <c r="EQ62" s="15"/>
      <c r="ER62" s="15"/>
      <c r="ES62" s="15"/>
      <c r="ET62" s="15"/>
      <c r="EU62" s="15"/>
      <c r="EV62" s="15"/>
    </row>
    <row r="63" spans="1:152" s="8" customFormat="1" ht="48" x14ac:dyDescent="0.25">
      <c r="A63" s="193"/>
      <c r="B63" s="197"/>
      <c r="C63" s="166"/>
      <c r="D63" s="188"/>
      <c r="E63" s="190"/>
      <c r="F63" s="165"/>
      <c r="G63" s="165"/>
      <c r="H63" s="34" t="s">
        <v>253</v>
      </c>
      <c r="I63" s="165" t="s">
        <v>1241</v>
      </c>
      <c r="J63" s="32" t="s">
        <v>389</v>
      </c>
      <c r="K63" s="34" t="s">
        <v>104</v>
      </c>
      <c r="L63" s="68" t="s">
        <v>255</v>
      </c>
      <c r="M63" s="73" t="s">
        <v>332</v>
      </c>
      <c r="N63" s="73" t="s">
        <v>278</v>
      </c>
      <c r="O63" s="73" t="s">
        <v>256</v>
      </c>
      <c r="P63" s="70">
        <v>6</v>
      </c>
      <c r="Q63" s="41">
        <v>2</v>
      </c>
      <c r="R63" s="33">
        <f t="shared" si="12"/>
        <v>12</v>
      </c>
      <c r="S63" s="33" t="str">
        <f t="shared" si="1"/>
        <v>ALTO</v>
      </c>
      <c r="T63" s="33">
        <v>25</v>
      </c>
      <c r="U63" s="75">
        <f t="shared" si="2"/>
        <v>300</v>
      </c>
      <c r="V63" s="33" t="str">
        <f t="shared" si="3"/>
        <v>ll</v>
      </c>
      <c r="W63" s="74" t="str">
        <f t="shared" si="4"/>
        <v>NO</v>
      </c>
      <c r="X63" s="33">
        <v>4</v>
      </c>
      <c r="Y63" s="31" t="s">
        <v>257</v>
      </c>
      <c r="Z63" s="33" t="s">
        <v>87</v>
      </c>
      <c r="AA63" s="34"/>
      <c r="AB63" s="40"/>
      <c r="AC63" s="40"/>
      <c r="AD63" s="34" t="s">
        <v>390</v>
      </c>
      <c r="AE63" s="34" t="s">
        <v>93</v>
      </c>
      <c r="AF63" s="34" t="s">
        <v>391</v>
      </c>
      <c r="AG63" s="41">
        <v>2</v>
      </c>
      <c r="AH63" s="41">
        <v>2</v>
      </c>
      <c r="AI63" s="33">
        <f t="shared" si="10"/>
        <v>4</v>
      </c>
      <c r="AJ63" s="33" t="str">
        <f t="shared" si="11"/>
        <v>BAJO</v>
      </c>
      <c r="AK63" s="33">
        <v>25</v>
      </c>
      <c r="AL63" s="33">
        <f t="shared" si="7"/>
        <v>100</v>
      </c>
      <c r="AM63" s="33" t="str">
        <f t="shared" si="8"/>
        <v>RIESGO ACEPTABLE</v>
      </c>
      <c r="AN63" s="34"/>
      <c r="AO63" s="40"/>
      <c r="AP63" s="40"/>
      <c r="AQ63" s="34" t="s">
        <v>392</v>
      </c>
      <c r="AR63" s="34" t="s">
        <v>93</v>
      </c>
      <c r="AS63" s="61" t="s">
        <v>391</v>
      </c>
      <c r="EQ63" s="15"/>
      <c r="ER63" s="15"/>
      <c r="ES63" s="15"/>
      <c r="ET63" s="15"/>
      <c r="EU63" s="15"/>
      <c r="EV63" s="15"/>
    </row>
    <row r="64" spans="1:152" s="8" customFormat="1" ht="38.4" x14ac:dyDescent="0.25">
      <c r="A64" s="193"/>
      <c r="B64" s="197"/>
      <c r="C64" s="166"/>
      <c r="D64" s="188"/>
      <c r="E64" s="190"/>
      <c r="F64" s="165"/>
      <c r="G64" s="165"/>
      <c r="H64" s="34" t="s">
        <v>393</v>
      </c>
      <c r="I64" s="165"/>
      <c r="J64" s="34" t="s">
        <v>394</v>
      </c>
      <c r="K64" s="34" t="s">
        <v>104</v>
      </c>
      <c r="L64" s="68" t="s">
        <v>395</v>
      </c>
      <c r="M64" s="73" t="s">
        <v>332</v>
      </c>
      <c r="N64" s="73" t="s">
        <v>278</v>
      </c>
      <c r="O64" s="73" t="s">
        <v>396</v>
      </c>
      <c r="P64" s="70">
        <v>2</v>
      </c>
      <c r="Q64" s="41">
        <v>1</v>
      </c>
      <c r="R64" s="33">
        <f>P64*Q64</f>
        <v>2</v>
      </c>
      <c r="S64" s="33" t="str">
        <f t="shared" si="1"/>
        <v>BAJO</v>
      </c>
      <c r="T64" s="33">
        <v>10</v>
      </c>
      <c r="U64" s="75">
        <f t="shared" si="2"/>
        <v>20</v>
      </c>
      <c r="V64" s="33" t="str">
        <f t="shared" si="3"/>
        <v xml:space="preserve">IV </v>
      </c>
      <c r="W64" s="74" t="s">
        <v>87</v>
      </c>
      <c r="X64" s="33">
        <v>4</v>
      </c>
      <c r="Y64" s="31" t="s">
        <v>397</v>
      </c>
      <c r="Z64" s="33" t="s">
        <v>87</v>
      </c>
      <c r="AA64" s="45"/>
      <c r="AB64" s="32" t="s">
        <v>398</v>
      </c>
      <c r="AC64" s="40" t="s">
        <v>399</v>
      </c>
      <c r="AD64" s="34" t="s">
        <v>400</v>
      </c>
      <c r="AE64" s="34" t="s">
        <v>401</v>
      </c>
      <c r="AF64" s="34" t="s">
        <v>402</v>
      </c>
      <c r="AG64" s="41">
        <v>2</v>
      </c>
      <c r="AH64" s="41">
        <v>4</v>
      </c>
      <c r="AI64" s="33">
        <f t="shared" si="10"/>
        <v>8</v>
      </c>
      <c r="AJ64" s="33" t="str">
        <f t="shared" si="11"/>
        <v>MEDIO</v>
      </c>
      <c r="AK64" s="33">
        <v>10</v>
      </c>
      <c r="AL64" s="33">
        <f t="shared" si="7"/>
        <v>80</v>
      </c>
      <c r="AM64" s="33" t="str">
        <f t="shared" si="8"/>
        <v>RIESGO ACEPTABLE</v>
      </c>
      <c r="AN64" s="33"/>
      <c r="AO64" s="32" t="s">
        <v>403</v>
      </c>
      <c r="AP64" s="40" t="s">
        <v>404</v>
      </c>
      <c r="AQ64" s="34" t="s">
        <v>405</v>
      </c>
      <c r="AR64" s="34" t="s">
        <v>406</v>
      </c>
      <c r="AS64" s="61" t="s">
        <v>402</v>
      </c>
      <c r="EQ64" s="15"/>
      <c r="ER64" s="15"/>
      <c r="ES64" s="15"/>
      <c r="ET64" s="15"/>
      <c r="EU64" s="15"/>
      <c r="EV64" s="15"/>
    </row>
    <row r="65" spans="1:152" s="8" customFormat="1" ht="67.2" x14ac:dyDescent="0.25">
      <c r="A65" s="193"/>
      <c r="B65" s="197"/>
      <c r="C65" s="166"/>
      <c r="D65" s="188"/>
      <c r="E65" s="190"/>
      <c r="F65" s="165"/>
      <c r="G65" s="165"/>
      <c r="H65" s="34" t="s">
        <v>114</v>
      </c>
      <c r="I65" s="165"/>
      <c r="J65" s="34" t="s">
        <v>263</v>
      </c>
      <c r="K65" s="34" t="s">
        <v>104</v>
      </c>
      <c r="L65" s="68" t="s">
        <v>117</v>
      </c>
      <c r="M65" s="73" t="s">
        <v>84</v>
      </c>
      <c r="N65" s="73" t="s">
        <v>106</v>
      </c>
      <c r="O65" s="73" t="s">
        <v>264</v>
      </c>
      <c r="P65" s="70">
        <v>2</v>
      </c>
      <c r="Q65" s="41">
        <v>3</v>
      </c>
      <c r="R65" s="33">
        <f>P65*Q65</f>
        <v>6</v>
      </c>
      <c r="S65" s="33" t="str">
        <f t="shared" si="1"/>
        <v>MEDIO</v>
      </c>
      <c r="T65" s="33">
        <v>10</v>
      </c>
      <c r="U65" s="75">
        <f t="shared" si="2"/>
        <v>60</v>
      </c>
      <c r="V65" s="33" t="str">
        <f t="shared" si="3"/>
        <v>lll</v>
      </c>
      <c r="W65" s="74" t="str">
        <f t="shared" si="4"/>
        <v>SI</v>
      </c>
      <c r="X65" s="33">
        <v>4</v>
      </c>
      <c r="Y65" s="31" t="s">
        <v>119</v>
      </c>
      <c r="Z65" s="33" t="s">
        <v>87</v>
      </c>
      <c r="AA65" s="45"/>
      <c r="AB65" s="32"/>
      <c r="AC65" s="34" t="s">
        <v>120</v>
      </c>
      <c r="AD65" s="34" t="s">
        <v>121</v>
      </c>
      <c r="AE65" s="34" t="s">
        <v>407</v>
      </c>
      <c r="AF65" s="34" t="s">
        <v>408</v>
      </c>
      <c r="AG65" s="41">
        <v>2</v>
      </c>
      <c r="AH65" s="41">
        <v>3</v>
      </c>
      <c r="AI65" s="33">
        <f t="shared" si="10"/>
        <v>6</v>
      </c>
      <c r="AJ65" s="33" t="str">
        <f t="shared" si="11"/>
        <v>MEDIO</v>
      </c>
      <c r="AK65" s="33">
        <v>10</v>
      </c>
      <c r="AL65" s="33">
        <f t="shared" si="7"/>
        <v>60</v>
      </c>
      <c r="AM65" s="33" t="str">
        <f t="shared" si="8"/>
        <v>RIESGO ACEPTABLE</v>
      </c>
      <c r="AN65" s="33"/>
      <c r="AO65" s="32"/>
      <c r="AP65" s="34" t="s">
        <v>120</v>
      </c>
      <c r="AQ65" s="34" t="s">
        <v>1320</v>
      </c>
      <c r="AR65" s="34" t="s">
        <v>126</v>
      </c>
      <c r="AS65" s="61" t="s">
        <v>127</v>
      </c>
      <c r="EQ65" s="15"/>
      <c r="ER65" s="15"/>
      <c r="ES65" s="15"/>
      <c r="ET65" s="15"/>
      <c r="EU65" s="15"/>
      <c r="EV65" s="15"/>
    </row>
    <row r="66" spans="1:152" s="8" customFormat="1" ht="57.6" x14ac:dyDescent="0.25">
      <c r="A66" s="193"/>
      <c r="B66" s="197"/>
      <c r="C66" s="166"/>
      <c r="D66" s="188"/>
      <c r="E66" s="190"/>
      <c r="F66" s="165"/>
      <c r="G66" s="165"/>
      <c r="H66" s="34" t="s">
        <v>409</v>
      </c>
      <c r="I66" s="165"/>
      <c r="J66" s="34" t="s">
        <v>410</v>
      </c>
      <c r="K66" s="34" t="s">
        <v>104</v>
      </c>
      <c r="L66" s="68" t="s">
        <v>411</v>
      </c>
      <c r="M66" s="73" t="s">
        <v>332</v>
      </c>
      <c r="N66" s="73" t="s">
        <v>278</v>
      </c>
      <c r="O66" s="73" t="s">
        <v>412</v>
      </c>
      <c r="P66" s="70">
        <v>2</v>
      </c>
      <c r="Q66" s="41">
        <v>3</v>
      </c>
      <c r="R66" s="33">
        <f t="shared" si="12"/>
        <v>6</v>
      </c>
      <c r="S66" s="33" t="str">
        <f t="shared" si="1"/>
        <v>MEDIO</v>
      </c>
      <c r="T66" s="33">
        <v>25</v>
      </c>
      <c r="U66" s="75">
        <f t="shared" si="2"/>
        <v>150</v>
      </c>
      <c r="V66" s="33" t="str">
        <f t="shared" si="3"/>
        <v>ll</v>
      </c>
      <c r="W66" s="74" t="str">
        <f t="shared" si="4"/>
        <v>NO</v>
      </c>
      <c r="X66" s="33">
        <v>4</v>
      </c>
      <c r="Y66" s="31" t="s">
        <v>413</v>
      </c>
      <c r="Z66" s="33" t="s">
        <v>87</v>
      </c>
      <c r="AA66" s="45"/>
      <c r="AB66" s="32"/>
      <c r="AC66" s="40"/>
      <c r="AD66" s="34" t="s">
        <v>390</v>
      </c>
      <c r="AE66" s="34" t="s">
        <v>93</v>
      </c>
      <c r="AF66" s="34" t="s">
        <v>391</v>
      </c>
      <c r="AG66" s="41">
        <v>2</v>
      </c>
      <c r="AH66" s="41">
        <v>3</v>
      </c>
      <c r="AI66" s="33">
        <f t="shared" si="10"/>
        <v>6</v>
      </c>
      <c r="AJ66" s="33" t="str">
        <f t="shared" si="11"/>
        <v>MEDIO</v>
      </c>
      <c r="AK66" s="33">
        <v>25</v>
      </c>
      <c r="AL66" s="33">
        <f t="shared" si="7"/>
        <v>150</v>
      </c>
      <c r="AM66" s="33" t="str">
        <f t="shared" si="8"/>
        <v xml:space="preserve"> RIESGO ACEPTABLE CON CONTROL ESPECIFICO</v>
      </c>
      <c r="AN66" s="33"/>
      <c r="AO66" s="32"/>
      <c r="AP66" s="40"/>
      <c r="AQ66" s="34" t="s">
        <v>1187</v>
      </c>
      <c r="AR66" s="34" t="s">
        <v>93</v>
      </c>
      <c r="AS66" s="61" t="s">
        <v>391</v>
      </c>
      <c r="EQ66" s="15"/>
      <c r="ER66" s="15"/>
      <c r="ES66" s="15"/>
      <c r="ET66" s="15"/>
      <c r="EU66" s="15"/>
      <c r="EV66" s="15"/>
    </row>
    <row r="67" spans="1:152" s="8" customFormat="1" ht="67.2" x14ac:dyDescent="0.25">
      <c r="A67" s="193"/>
      <c r="B67" s="197"/>
      <c r="C67" s="166"/>
      <c r="D67" s="188"/>
      <c r="E67" s="190"/>
      <c r="F67" s="165"/>
      <c r="G67" s="165"/>
      <c r="H67" s="34" t="s">
        <v>205</v>
      </c>
      <c r="I67" s="165" t="s">
        <v>1242</v>
      </c>
      <c r="J67" s="47" t="s">
        <v>414</v>
      </c>
      <c r="K67" s="32" t="s">
        <v>104</v>
      </c>
      <c r="L67" s="68" t="s">
        <v>207</v>
      </c>
      <c r="M67" s="73" t="s">
        <v>332</v>
      </c>
      <c r="N67" s="73" t="s">
        <v>106</v>
      </c>
      <c r="O67" s="73" t="s">
        <v>415</v>
      </c>
      <c r="P67" s="70">
        <v>2</v>
      </c>
      <c r="Q67" s="41">
        <v>3</v>
      </c>
      <c r="R67" s="33">
        <f t="shared" si="12"/>
        <v>6</v>
      </c>
      <c r="S67" s="33" t="str">
        <f t="shared" si="1"/>
        <v>MEDIO</v>
      </c>
      <c r="T67" s="33">
        <v>25</v>
      </c>
      <c r="U67" s="75">
        <f t="shared" si="2"/>
        <v>150</v>
      </c>
      <c r="V67" s="33" t="str">
        <f t="shared" si="3"/>
        <v>ll</v>
      </c>
      <c r="W67" s="74" t="str">
        <f t="shared" si="4"/>
        <v>NO</v>
      </c>
      <c r="X67" s="33">
        <v>4</v>
      </c>
      <c r="Y67" s="31" t="s">
        <v>209</v>
      </c>
      <c r="Z67" s="33" t="s">
        <v>87</v>
      </c>
      <c r="AA67" s="45"/>
      <c r="AB67" s="32" t="s">
        <v>271</v>
      </c>
      <c r="AC67" s="34" t="s">
        <v>416</v>
      </c>
      <c r="AD67" s="34" t="s">
        <v>210</v>
      </c>
      <c r="AE67" s="34" t="s">
        <v>274</v>
      </c>
      <c r="AF67" s="34" t="s">
        <v>320</v>
      </c>
      <c r="AG67" s="41">
        <v>2</v>
      </c>
      <c r="AH67" s="41">
        <v>3</v>
      </c>
      <c r="AI67" s="33">
        <f t="shared" si="10"/>
        <v>6</v>
      </c>
      <c r="AJ67" s="33" t="str">
        <f t="shared" si="11"/>
        <v>MEDIO</v>
      </c>
      <c r="AK67" s="33">
        <v>25</v>
      </c>
      <c r="AL67" s="33">
        <f t="shared" si="7"/>
        <v>150</v>
      </c>
      <c r="AM67" s="33" t="str">
        <f t="shared" si="8"/>
        <v xml:space="preserve"> RIESGO ACEPTABLE CON CONTROL ESPECIFICO</v>
      </c>
      <c r="AN67" s="34"/>
      <c r="AO67" s="34"/>
      <c r="AP67" s="34" t="s">
        <v>211</v>
      </c>
      <c r="AQ67" s="34" t="s">
        <v>269</v>
      </c>
      <c r="AR67" s="34" t="s">
        <v>212</v>
      </c>
      <c r="AS67" s="61" t="s">
        <v>320</v>
      </c>
      <c r="EQ67" s="15"/>
      <c r="ER67" s="15"/>
      <c r="ES67" s="15"/>
      <c r="ET67" s="15"/>
      <c r="EU67" s="15"/>
      <c r="EV67" s="15"/>
    </row>
    <row r="68" spans="1:152" s="8" customFormat="1" ht="45.6" x14ac:dyDescent="0.25">
      <c r="A68" s="193"/>
      <c r="B68" s="197"/>
      <c r="C68" s="166"/>
      <c r="D68" s="188"/>
      <c r="E68" s="190"/>
      <c r="F68" s="165"/>
      <c r="G68" s="165"/>
      <c r="H68" s="34" t="s">
        <v>101</v>
      </c>
      <c r="I68" s="165"/>
      <c r="J68" s="32" t="s">
        <v>417</v>
      </c>
      <c r="K68" s="40" t="s">
        <v>104</v>
      </c>
      <c r="L68" s="68" t="s">
        <v>105</v>
      </c>
      <c r="M68" s="73" t="s">
        <v>332</v>
      </c>
      <c r="N68" s="73" t="s">
        <v>278</v>
      </c>
      <c r="O68" s="73" t="s">
        <v>107</v>
      </c>
      <c r="P68" s="70">
        <v>2</v>
      </c>
      <c r="Q68" s="41">
        <v>3</v>
      </c>
      <c r="R68" s="33">
        <f t="shared" si="12"/>
        <v>6</v>
      </c>
      <c r="S68" s="33" t="str">
        <f t="shared" si="1"/>
        <v>MEDIO</v>
      </c>
      <c r="T68" s="33">
        <v>25</v>
      </c>
      <c r="U68" s="75">
        <f t="shared" si="2"/>
        <v>150</v>
      </c>
      <c r="V68" s="33" t="str">
        <f t="shared" si="3"/>
        <v>ll</v>
      </c>
      <c r="W68" s="74" t="str">
        <f t="shared" si="4"/>
        <v>NO</v>
      </c>
      <c r="X68" s="33">
        <v>4</v>
      </c>
      <c r="Y68" s="31" t="s">
        <v>108</v>
      </c>
      <c r="Z68" s="33" t="s">
        <v>87</v>
      </c>
      <c r="AA68" s="34"/>
      <c r="AB68" s="32" t="s">
        <v>271</v>
      </c>
      <c r="AC68" s="34" t="s">
        <v>418</v>
      </c>
      <c r="AD68" s="34" t="s">
        <v>210</v>
      </c>
      <c r="AE68" s="34" t="s">
        <v>274</v>
      </c>
      <c r="AF68" s="34" t="s">
        <v>320</v>
      </c>
      <c r="AG68" s="41">
        <v>2</v>
      </c>
      <c r="AH68" s="41">
        <v>3</v>
      </c>
      <c r="AI68" s="33">
        <f t="shared" si="10"/>
        <v>6</v>
      </c>
      <c r="AJ68" s="33" t="str">
        <f t="shared" si="11"/>
        <v>MEDIO</v>
      </c>
      <c r="AK68" s="33">
        <v>25</v>
      </c>
      <c r="AL68" s="33">
        <f t="shared" si="7"/>
        <v>150</v>
      </c>
      <c r="AM68" s="33" t="str">
        <f t="shared" si="8"/>
        <v xml:space="preserve"> RIESGO ACEPTABLE CON CONTROL ESPECIFICO</v>
      </c>
      <c r="AN68" s="34"/>
      <c r="AO68" s="34"/>
      <c r="AP68" s="42" t="s">
        <v>419</v>
      </c>
      <c r="AQ68" s="43" t="s">
        <v>111</v>
      </c>
      <c r="AR68" s="34" t="s">
        <v>112</v>
      </c>
      <c r="AS68" s="61" t="s">
        <v>320</v>
      </c>
      <c r="EQ68" s="15"/>
      <c r="ER68" s="15"/>
      <c r="ES68" s="15"/>
      <c r="ET68" s="15"/>
      <c r="EU68" s="15"/>
      <c r="EV68" s="15"/>
    </row>
    <row r="69" spans="1:152" s="8" customFormat="1" ht="38.4" x14ac:dyDescent="0.25">
      <c r="A69" s="193"/>
      <c r="B69" s="197"/>
      <c r="C69" s="166"/>
      <c r="D69" s="188"/>
      <c r="E69" s="190"/>
      <c r="F69" s="165"/>
      <c r="G69" s="165"/>
      <c r="H69" s="34" t="s">
        <v>138</v>
      </c>
      <c r="I69" s="165" t="s">
        <v>1243</v>
      </c>
      <c r="J69" s="40" t="s">
        <v>140</v>
      </c>
      <c r="K69" s="32" t="s">
        <v>104</v>
      </c>
      <c r="L69" s="68" t="s">
        <v>141</v>
      </c>
      <c r="M69" s="73" t="s">
        <v>332</v>
      </c>
      <c r="N69" s="73" t="s">
        <v>278</v>
      </c>
      <c r="O69" s="73" t="s">
        <v>213</v>
      </c>
      <c r="P69" s="70">
        <v>2</v>
      </c>
      <c r="Q69" s="41">
        <v>2</v>
      </c>
      <c r="R69" s="33">
        <f t="shared" si="12"/>
        <v>4</v>
      </c>
      <c r="S69" s="33" t="str">
        <f t="shared" si="1"/>
        <v>BAJO</v>
      </c>
      <c r="T69" s="33">
        <v>10</v>
      </c>
      <c r="U69" s="75">
        <f t="shared" si="2"/>
        <v>40</v>
      </c>
      <c r="V69" s="33" t="str">
        <f t="shared" si="3"/>
        <v>lll</v>
      </c>
      <c r="W69" s="74" t="str">
        <f t="shared" si="4"/>
        <v>SI</v>
      </c>
      <c r="X69" s="33">
        <v>4</v>
      </c>
      <c r="Y69" s="31" t="s">
        <v>143</v>
      </c>
      <c r="Z69" s="33" t="s">
        <v>87</v>
      </c>
      <c r="AA69" s="34"/>
      <c r="AB69" s="34"/>
      <c r="AC69" s="34"/>
      <c r="AD69" s="34" t="s">
        <v>1321</v>
      </c>
      <c r="AE69" s="34"/>
      <c r="AF69" s="34" t="s">
        <v>146</v>
      </c>
      <c r="AG69" s="41">
        <v>2</v>
      </c>
      <c r="AH69" s="41">
        <v>3</v>
      </c>
      <c r="AI69" s="33">
        <f t="shared" si="10"/>
        <v>6</v>
      </c>
      <c r="AJ69" s="33" t="str">
        <f t="shared" si="11"/>
        <v>MEDIO</v>
      </c>
      <c r="AK69" s="33">
        <v>10</v>
      </c>
      <c r="AL69" s="33">
        <f t="shared" si="7"/>
        <v>60</v>
      </c>
      <c r="AM69" s="33" t="str">
        <f t="shared" si="8"/>
        <v>RIESGO ACEPTABLE</v>
      </c>
      <c r="AN69" s="34"/>
      <c r="AO69" s="34"/>
      <c r="AP69" s="34"/>
      <c r="AQ69" s="34" t="s">
        <v>1278</v>
      </c>
      <c r="AR69" s="34"/>
      <c r="AS69" s="61" t="s">
        <v>1322</v>
      </c>
      <c r="EQ69" s="15"/>
      <c r="ER69" s="15"/>
      <c r="ES69" s="15"/>
      <c r="ET69" s="15"/>
      <c r="EU69" s="15"/>
      <c r="EV69" s="15"/>
    </row>
    <row r="70" spans="1:152" s="8" customFormat="1" ht="46.8" customHeight="1" x14ac:dyDescent="0.25">
      <c r="A70" s="193"/>
      <c r="B70" s="197"/>
      <c r="C70" s="166"/>
      <c r="D70" s="188"/>
      <c r="E70" s="190"/>
      <c r="F70" s="165"/>
      <c r="G70" s="165"/>
      <c r="H70" s="34" t="s">
        <v>214</v>
      </c>
      <c r="I70" s="165"/>
      <c r="J70" s="47" t="s">
        <v>422</v>
      </c>
      <c r="K70" s="32" t="s">
        <v>104</v>
      </c>
      <c r="L70" s="68" t="s">
        <v>216</v>
      </c>
      <c r="M70" s="73" t="s">
        <v>84</v>
      </c>
      <c r="N70" s="73" t="s">
        <v>278</v>
      </c>
      <c r="O70" s="73" t="s">
        <v>217</v>
      </c>
      <c r="P70" s="70">
        <v>2</v>
      </c>
      <c r="Q70" s="41">
        <v>3</v>
      </c>
      <c r="R70" s="33">
        <f t="shared" si="12"/>
        <v>6</v>
      </c>
      <c r="S70" s="33" t="str">
        <f t="shared" si="1"/>
        <v>MEDIO</v>
      </c>
      <c r="T70" s="33">
        <v>10</v>
      </c>
      <c r="U70" s="75">
        <f t="shared" si="2"/>
        <v>60</v>
      </c>
      <c r="V70" s="33" t="str">
        <f t="shared" si="3"/>
        <v>lll</v>
      </c>
      <c r="W70" s="74" t="str">
        <f t="shared" si="4"/>
        <v>SI</v>
      </c>
      <c r="X70" s="33">
        <v>4</v>
      </c>
      <c r="Y70" s="31" t="s">
        <v>218</v>
      </c>
      <c r="Z70" s="33" t="s">
        <v>87</v>
      </c>
      <c r="AA70" s="46"/>
      <c r="AB70" s="33"/>
      <c r="AC70" s="34"/>
      <c r="AD70" s="34" t="s">
        <v>420</v>
      </c>
      <c r="AE70" s="34"/>
      <c r="AF70" s="34" t="s">
        <v>146</v>
      </c>
      <c r="AG70" s="41">
        <v>2</v>
      </c>
      <c r="AH70" s="41">
        <v>3</v>
      </c>
      <c r="AI70" s="33">
        <f t="shared" si="10"/>
        <v>6</v>
      </c>
      <c r="AJ70" s="33" t="str">
        <f t="shared" si="11"/>
        <v>MEDIO</v>
      </c>
      <c r="AK70" s="33">
        <v>10</v>
      </c>
      <c r="AL70" s="33">
        <f t="shared" si="7"/>
        <v>60</v>
      </c>
      <c r="AM70" s="33" t="str">
        <f t="shared" si="8"/>
        <v>RIESGO ACEPTABLE</v>
      </c>
      <c r="AN70" s="34"/>
      <c r="AO70" s="34"/>
      <c r="AP70" s="34"/>
      <c r="AQ70" s="34" t="s">
        <v>221</v>
      </c>
      <c r="AR70" s="34"/>
      <c r="AS70" s="61" t="s">
        <v>421</v>
      </c>
      <c r="EQ70" s="15"/>
      <c r="ER70" s="15"/>
      <c r="ES70" s="15"/>
      <c r="ET70" s="15"/>
      <c r="EU70" s="15"/>
      <c r="EV70" s="15"/>
    </row>
    <row r="71" spans="1:152" s="8" customFormat="1" ht="67.2" x14ac:dyDescent="0.25">
      <c r="A71" s="193"/>
      <c r="B71" s="197"/>
      <c r="C71" s="166"/>
      <c r="D71" s="188"/>
      <c r="E71" s="190"/>
      <c r="F71" s="165"/>
      <c r="G71" s="165"/>
      <c r="H71" s="34" t="s">
        <v>149</v>
      </c>
      <c r="I71" s="165"/>
      <c r="J71" s="32" t="s">
        <v>150</v>
      </c>
      <c r="K71" s="40" t="s">
        <v>104</v>
      </c>
      <c r="L71" s="68" t="s">
        <v>151</v>
      </c>
      <c r="M71" s="73" t="s">
        <v>84</v>
      </c>
      <c r="N71" s="73" t="s">
        <v>106</v>
      </c>
      <c r="O71" s="73" t="s">
        <v>213</v>
      </c>
      <c r="P71" s="70">
        <v>2</v>
      </c>
      <c r="Q71" s="41">
        <v>3</v>
      </c>
      <c r="R71" s="33">
        <f t="shared" si="12"/>
        <v>6</v>
      </c>
      <c r="S71" s="33" t="str">
        <f t="shared" si="1"/>
        <v>MEDIO</v>
      </c>
      <c r="T71" s="33">
        <v>10</v>
      </c>
      <c r="U71" s="75">
        <f t="shared" si="2"/>
        <v>60</v>
      </c>
      <c r="V71" s="33" t="str">
        <f t="shared" si="3"/>
        <v>lll</v>
      </c>
      <c r="W71" s="74" t="str">
        <f t="shared" si="4"/>
        <v>SI</v>
      </c>
      <c r="X71" s="33">
        <v>4</v>
      </c>
      <c r="Y71" s="31" t="s">
        <v>143</v>
      </c>
      <c r="Z71" s="33" t="s">
        <v>87</v>
      </c>
      <c r="AA71" s="34"/>
      <c r="AB71" s="34"/>
      <c r="AC71" s="42"/>
      <c r="AD71" s="34" t="s">
        <v>1323</v>
      </c>
      <c r="AE71" s="34"/>
      <c r="AF71" s="34" t="s">
        <v>146</v>
      </c>
      <c r="AG71" s="41">
        <v>2</v>
      </c>
      <c r="AH71" s="41">
        <v>3</v>
      </c>
      <c r="AI71" s="33">
        <f t="shared" si="10"/>
        <v>6</v>
      </c>
      <c r="AJ71" s="33" t="str">
        <f t="shared" si="11"/>
        <v>MEDIO</v>
      </c>
      <c r="AK71" s="33">
        <v>10</v>
      </c>
      <c r="AL71" s="33">
        <f t="shared" si="7"/>
        <v>60</v>
      </c>
      <c r="AM71" s="33" t="str">
        <f t="shared" si="8"/>
        <v>RIESGO ACEPTABLE</v>
      </c>
      <c r="AN71" s="34"/>
      <c r="AO71" s="34"/>
      <c r="AP71" s="42"/>
      <c r="AQ71" s="43" t="s">
        <v>1324</v>
      </c>
      <c r="AR71" s="34"/>
      <c r="AS71" s="61" t="s">
        <v>1325</v>
      </c>
      <c r="EQ71" s="15"/>
      <c r="ER71" s="15"/>
      <c r="ES71" s="15"/>
      <c r="ET71" s="15"/>
      <c r="EU71" s="15"/>
      <c r="EV71" s="15"/>
    </row>
    <row r="72" spans="1:152" s="8" customFormat="1" ht="38.4" x14ac:dyDescent="0.25">
      <c r="A72" s="193"/>
      <c r="B72" s="197"/>
      <c r="C72" s="166"/>
      <c r="D72" s="188"/>
      <c r="E72" s="190"/>
      <c r="F72" s="165"/>
      <c r="G72" s="165"/>
      <c r="H72" s="34" t="s">
        <v>242</v>
      </c>
      <c r="I72" s="32" t="s">
        <v>1240</v>
      </c>
      <c r="J72" s="32" t="s">
        <v>130</v>
      </c>
      <c r="K72" s="32" t="s">
        <v>104</v>
      </c>
      <c r="L72" s="68" t="s">
        <v>243</v>
      </c>
      <c r="M72" s="73" t="s">
        <v>84</v>
      </c>
      <c r="N72" s="73" t="s">
        <v>278</v>
      </c>
      <c r="O72" s="73" t="s">
        <v>132</v>
      </c>
      <c r="P72" s="70">
        <v>2</v>
      </c>
      <c r="Q72" s="41">
        <v>3</v>
      </c>
      <c r="R72" s="33">
        <f t="shared" si="12"/>
        <v>6</v>
      </c>
      <c r="S72" s="33" t="str">
        <f t="shared" si="1"/>
        <v>MEDIO</v>
      </c>
      <c r="T72" s="33">
        <v>10</v>
      </c>
      <c r="U72" s="75">
        <f t="shared" si="2"/>
        <v>60</v>
      </c>
      <c r="V72" s="33" t="str">
        <f t="shared" si="3"/>
        <v>lll</v>
      </c>
      <c r="W72" s="74" t="str">
        <f t="shared" si="4"/>
        <v>SI</v>
      </c>
      <c r="X72" s="33">
        <v>4</v>
      </c>
      <c r="Y72" s="31" t="s">
        <v>133</v>
      </c>
      <c r="Z72" s="33" t="s">
        <v>87</v>
      </c>
      <c r="AA72" s="46"/>
      <c r="AB72" s="33"/>
      <c r="AC72" s="34"/>
      <c r="AD72" s="34" t="s">
        <v>244</v>
      </c>
      <c r="AE72" s="34"/>
      <c r="AF72" s="34" t="s">
        <v>245</v>
      </c>
      <c r="AG72" s="41">
        <v>2</v>
      </c>
      <c r="AH72" s="41">
        <v>3</v>
      </c>
      <c r="AI72" s="33">
        <f t="shared" si="10"/>
        <v>6</v>
      </c>
      <c r="AJ72" s="33" t="str">
        <f t="shared" si="11"/>
        <v>MEDIO</v>
      </c>
      <c r="AK72" s="33">
        <v>10</v>
      </c>
      <c r="AL72" s="33">
        <f t="shared" si="7"/>
        <v>60</v>
      </c>
      <c r="AM72" s="33" t="str">
        <f t="shared" si="8"/>
        <v>RIESGO ACEPTABLE</v>
      </c>
      <c r="AN72" s="34"/>
      <c r="AO72" s="34"/>
      <c r="AP72" s="34"/>
      <c r="AQ72" s="34" t="s">
        <v>136</v>
      </c>
      <c r="AR72" s="34" t="s">
        <v>93</v>
      </c>
      <c r="AS72" s="61" t="s">
        <v>245</v>
      </c>
      <c r="EQ72" s="15"/>
      <c r="ER72" s="15"/>
      <c r="ES72" s="15"/>
      <c r="ET72" s="15"/>
      <c r="EU72" s="15"/>
      <c r="EV72" s="15"/>
    </row>
    <row r="73" spans="1:152" s="8" customFormat="1" ht="86.4" x14ac:dyDescent="0.25">
      <c r="A73" s="195" t="s">
        <v>423</v>
      </c>
      <c r="B73" s="198" t="s">
        <v>424</v>
      </c>
      <c r="C73" s="166" t="s">
        <v>425</v>
      </c>
      <c r="D73" s="196" t="s">
        <v>426</v>
      </c>
      <c r="E73" s="165" t="s">
        <v>87</v>
      </c>
      <c r="F73" s="165" t="s">
        <v>427</v>
      </c>
      <c r="G73" s="165" t="s">
        <v>428</v>
      </c>
      <c r="H73" s="34" t="s">
        <v>183</v>
      </c>
      <c r="I73" s="34" t="s">
        <v>1245</v>
      </c>
      <c r="J73" s="34" t="s">
        <v>429</v>
      </c>
      <c r="K73" s="34" t="s">
        <v>104</v>
      </c>
      <c r="L73" s="68" t="s">
        <v>185</v>
      </c>
      <c r="M73" s="73" t="s">
        <v>332</v>
      </c>
      <c r="N73" s="73" t="s">
        <v>176</v>
      </c>
      <c r="O73" s="73" t="s">
        <v>430</v>
      </c>
      <c r="P73" s="70">
        <v>2</v>
      </c>
      <c r="Q73" s="41">
        <v>3</v>
      </c>
      <c r="R73" s="33">
        <f>P73*Q73</f>
        <v>6</v>
      </c>
      <c r="S73" s="33" t="str">
        <f t="shared" si="1"/>
        <v>MEDIO</v>
      </c>
      <c r="T73" s="33">
        <v>10</v>
      </c>
      <c r="U73" s="75">
        <f t="shared" si="2"/>
        <v>60</v>
      </c>
      <c r="V73" s="33" t="str">
        <f t="shared" si="3"/>
        <v>lll</v>
      </c>
      <c r="W73" s="74" t="str">
        <f t="shared" si="4"/>
        <v>SI</v>
      </c>
      <c r="X73" s="33">
        <v>8</v>
      </c>
      <c r="Y73" s="31" t="s">
        <v>178</v>
      </c>
      <c r="Z73" s="33" t="s">
        <v>87</v>
      </c>
      <c r="AA73" s="45"/>
      <c r="AB73" s="32"/>
      <c r="AC73" s="40"/>
      <c r="AD73" s="34" t="s">
        <v>431</v>
      </c>
      <c r="AE73" s="34"/>
      <c r="AF73" s="34"/>
      <c r="AG73" s="41">
        <v>2</v>
      </c>
      <c r="AH73" s="41">
        <v>1</v>
      </c>
      <c r="AI73" s="33">
        <f t="shared" si="10"/>
        <v>2</v>
      </c>
      <c r="AJ73" s="33" t="str">
        <f t="shared" si="11"/>
        <v>BAJO</v>
      </c>
      <c r="AK73" s="33">
        <v>25</v>
      </c>
      <c r="AL73" s="33">
        <f t="shared" si="7"/>
        <v>50</v>
      </c>
      <c r="AM73" s="33" t="str">
        <f t="shared" si="8"/>
        <v>RIESGO ACEPTABLE</v>
      </c>
      <c r="AN73" s="33"/>
      <c r="AO73" s="32"/>
      <c r="AP73" s="40"/>
      <c r="AQ73" s="34" t="s">
        <v>432</v>
      </c>
      <c r="AR73" s="34"/>
      <c r="AS73" s="61"/>
      <c r="EQ73" s="15"/>
      <c r="ER73" s="15"/>
      <c r="ES73" s="15"/>
      <c r="ET73" s="15"/>
      <c r="EU73" s="15"/>
      <c r="EV73" s="15"/>
    </row>
    <row r="74" spans="1:152" s="8" customFormat="1" ht="86.4" x14ac:dyDescent="0.25">
      <c r="A74" s="195"/>
      <c r="B74" s="198"/>
      <c r="C74" s="166"/>
      <c r="D74" s="196"/>
      <c r="E74" s="165"/>
      <c r="F74" s="165"/>
      <c r="G74" s="165"/>
      <c r="H74" s="34" t="s">
        <v>393</v>
      </c>
      <c r="I74" s="168" t="s">
        <v>1241</v>
      </c>
      <c r="J74" s="34" t="s">
        <v>433</v>
      </c>
      <c r="K74" s="34" t="s">
        <v>104</v>
      </c>
      <c r="L74" s="68" t="s">
        <v>395</v>
      </c>
      <c r="M74" s="73" t="s">
        <v>332</v>
      </c>
      <c r="N74" s="73" t="s">
        <v>176</v>
      </c>
      <c r="O74" s="73" t="s">
        <v>396</v>
      </c>
      <c r="P74" s="70">
        <v>2</v>
      </c>
      <c r="Q74" s="41">
        <v>1</v>
      </c>
      <c r="R74" s="33">
        <f>P74*Q74</f>
        <v>2</v>
      </c>
      <c r="S74" s="33" t="str">
        <f t="shared" si="1"/>
        <v>BAJO</v>
      </c>
      <c r="T74" s="33">
        <v>10</v>
      </c>
      <c r="U74" s="75">
        <f t="shared" si="2"/>
        <v>20</v>
      </c>
      <c r="V74" s="33" t="str">
        <f t="shared" si="3"/>
        <v xml:space="preserve">IV </v>
      </c>
      <c r="W74" s="33" t="s">
        <v>87</v>
      </c>
      <c r="X74" s="33">
        <v>8</v>
      </c>
      <c r="Y74" s="31" t="s">
        <v>397</v>
      </c>
      <c r="Z74" s="33" t="s">
        <v>87</v>
      </c>
      <c r="AA74" s="45"/>
      <c r="AB74" s="32"/>
      <c r="AC74" s="40"/>
      <c r="AD74" s="34" t="s">
        <v>431</v>
      </c>
      <c r="AE74" s="34"/>
      <c r="AF74" s="34" t="s">
        <v>434</v>
      </c>
      <c r="AG74" s="41">
        <v>2</v>
      </c>
      <c r="AH74" s="41">
        <v>1</v>
      </c>
      <c r="AI74" s="33">
        <f t="shared" si="10"/>
        <v>2</v>
      </c>
      <c r="AJ74" s="33" t="str">
        <f t="shared" si="11"/>
        <v>BAJO</v>
      </c>
      <c r="AK74" s="33">
        <v>10</v>
      </c>
      <c r="AL74" s="33">
        <f t="shared" si="7"/>
        <v>20</v>
      </c>
      <c r="AM74" s="33" t="str">
        <f t="shared" si="8"/>
        <v>RIESGO ACEPTABLE</v>
      </c>
      <c r="AN74" s="33"/>
      <c r="AO74" s="32"/>
      <c r="AP74" s="40"/>
      <c r="AQ74" s="34" t="s">
        <v>432</v>
      </c>
      <c r="AR74" s="34"/>
      <c r="AS74" s="61" t="s">
        <v>434</v>
      </c>
      <c r="EQ74" s="15"/>
      <c r="ER74" s="15"/>
      <c r="ES74" s="15"/>
      <c r="ET74" s="15"/>
      <c r="EU74" s="15"/>
      <c r="EV74" s="15"/>
    </row>
    <row r="75" spans="1:152" s="8" customFormat="1" ht="86.4" x14ac:dyDescent="0.25">
      <c r="A75" s="195"/>
      <c r="B75" s="198"/>
      <c r="C75" s="166"/>
      <c r="D75" s="196"/>
      <c r="E75" s="165"/>
      <c r="F75" s="165"/>
      <c r="G75" s="165"/>
      <c r="H75" s="34" t="s">
        <v>246</v>
      </c>
      <c r="I75" s="168"/>
      <c r="J75" s="32" t="s">
        <v>435</v>
      </c>
      <c r="K75" s="34" t="s">
        <v>104</v>
      </c>
      <c r="L75" s="68" t="s">
        <v>249</v>
      </c>
      <c r="M75" s="73" t="s">
        <v>332</v>
      </c>
      <c r="N75" s="73" t="s">
        <v>176</v>
      </c>
      <c r="O75" s="73" t="s">
        <v>250</v>
      </c>
      <c r="P75" s="70">
        <v>2</v>
      </c>
      <c r="Q75" s="41">
        <v>2</v>
      </c>
      <c r="R75" s="33">
        <f>P75*Q75</f>
        <v>4</v>
      </c>
      <c r="S75" s="33" t="str">
        <f t="shared" si="1"/>
        <v>BAJO</v>
      </c>
      <c r="T75" s="33">
        <v>10</v>
      </c>
      <c r="U75" s="75">
        <f t="shared" si="2"/>
        <v>40</v>
      </c>
      <c r="V75" s="33" t="str">
        <f t="shared" si="3"/>
        <v>lll</v>
      </c>
      <c r="W75" s="74" t="str">
        <f t="shared" si="4"/>
        <v>SI</v>
      </c>
      <c r="X75" s="33">
        <v>8</v>
      </c>
      <c r="Y75" s="31" t="s">
        <v>251</v>
      </c>
      <c r="Z75" s="33" t="s">
        <v>87</v>
      </c>
      <c r="AA75" s="34"/>
      <c r="AB75" s="34"/>
      <c r="AC75" s="40"/>
      <c r="AD75" s="40"/>
      <c r="AE75" s="34" t="s">
        <v>436</v>
      </c>
      <c r="AF75" s="34"/>
      <c r="AG75" s="41">
        <v>6</v>
      </c>
      <c r="AH75" s="41">
        <v>2</v>
      </c>
      <c r="AI75" s="33">
        <f>AG75*AH75</f>
        <v>12</v>
      </c>
      <c r="AJ75" s="33" t="str">
        <f>IF(AND(AI75&gt;=0,AI75&lt;=4),"BAJO",IF(AND(AI75&gt;=6,AI75&lt;=8),"MEDIO",IF(AND(AI75&gt;=10,AI75&lt;=20),"ALTO",IF(AND(AI75&gt;=24,AI75&lt;=40),"MUY ALTO"))))</f>
        <v>ALTO</v>
      </c>
      <c r="AK75" s="33">
        <v>10</v>
      </c>
      <c r="AL75" s="33">
        <f t="shared" si="7"/>
        <v>120</v>
      </c>
      <c r="AM75" s="33" t="str">
        <f t="shared" si="8"/>
        <v>RIESGO ACEPTABLE</v>
      </c>
      <c r="AN75" s="34"/>
      <c r="AO75" s="34"/>
      <c r="AP75" s="40"/>
      <c r="AQ75" s="40" t="s">
        <v>437</v>
      </c>
      <c r="AR75" s="34"/>
      <c r="AS75" s="61" t="s">
        <v>436</v>
      </c>
      <c r="EQ75" s="15"/>
      <c r="ER75" s="15"/>
      <c r="ES75" s="15"/>
      <c r="ET75" s="15"/>
      <c r="EU75" s="15"/>
      <c r="EV75" s="15"/>
    </row>
    <row r="76" spans="1:152" s="8" customFormat="1" ht="57.6" x14ac:dyDescent="0.25">
      <c r="A76" s="195"/>
      <c r="B76" s="198"/>
      <c r="C76" s="166"/>
      <c r="D76" s="196"/>
      <c r="E76" s="165"/>
      <c r="F76" s="165"/>
      <c r="G76" s="165"/>
      <c r="H76" s="34" t="s">
        <v>114</v>
      </c>
      <c r="I76" s="168"/>
      <c r="J76" s="34" t="s">
        <v>263</v>
      </c>
      <c r="K76" s="34" t="s">
        <v>104</v>
      </c>
      <c r="L76" s="68" t="s">
        <v>117</v>
      </c>
      <c r="M76" s="73" t="s">
        <v>84</v>
      </c>
      <c r="N76" s="73" t="s">
        <v>438</v>
      </c>
      <c r="O76" s="73" t="s">
        <v>264</v>
      </c>
      <c r="P76" s="70">
        <v>2</v>
      </c>
      <c r="Q76" s="41">
        <v>3</v>
      </c>
      <c r="R76" s="33">
        <f t="shared" ref="R76:R137" si="13">P76*Q76</f>
        <v>6</v>
      </c>
      <c r="S76" s="33" t="str">
        <f t="shared" si="1"/>
        <v>MEDIO</v>
      </c>
      <c r="T76" s="33">
        <v>10</v>
      </c>
      <c r="U76" s="75">
        <f t="shared" si="2"/>
        <v>60</v>
      </c>
      <c r="V76" s="33" t="str">
        <f t="shared" si="3"/>
        <v>lll</v>
      </c>
      <c r="W76" s="74" t="str">
        <f t="shared" si="4"/>
        <v>SI</v>
      </c>
      <c r="X76" s="33">
        <v>8</v>
      </c>
      <c r="Y76" s="31" t="s">
        <v>119</v>
      </c>
      <c r="Z76" s="33" t="s">
        <v>87</v>
      </c>
      <c r="AA76" s="45"/>
      <c r="AB76" s="32"/>
      <c r="AC76" s="40"/>
      <c r="AD76" s="34" t="s">
        <v>123</v>
      </c>
      <c r="AE76" s="34" t="s">
        <v>93</v>
      </c>
      <c r="AF76" s="34"/>
      <c r="AG76" s="41">
        <v>2</v>
      </c>
      <c r="AH76" s="41">
        <v>3</v>
      </c>
      <c r="AI76" s="33">
        <f t="shared" si="10"/>
        <v>6</v>
      </c>
      <c r="AJ76" s="33" t="str">
        <f t="shared" si="11"/>
        <v>MEDIO</v>
      </c>
      <c r="AK76" s="33">
        <v>10</v>
      </c>
      <c r="AL76" s="33">
        <f t="shared" si="7"/>
        <v>60</v>
      </c>
      <c r="AM76" s="33" t="str">
        <f t="shared" si="8"/>
        <v>RIESGO ACEPTABLE</v>
      </c>
      <c r="AN76" s="33"/>
      <c r="AO76" s="32"/>
      <c r="AP76" s="40" t="s">
        <v>439</v>
      </c>
      <c r="AQ76" s="34" t="s">
        <v>1326</v>
      </c>
      <c r="AR76" s="34" t="s">
        <v>126</v>
      </c>
      <c r="AS76" s="61" t="s">
        <v>1327</v>
      </c>
      <c r="EQ76" s="15"/>
      <c r="ER76" s="15"/>
      <c r="ES76" s="15"/>
      <c r="ET76" s="15"/>
      <c r="EU76" s="15"/>
      <c r="EV76" s="15"/>
    </row>
    <row r="77" spans="1:152" s="8" customFormat="1" ht="86.4" x14ac:dyDescent="0.25">
      <c r="A77" s="195"/>
      <c r="B77" s="198"/>
      <c r="C77" s="166"/>
      <c r="D77" s="196"/>
      <c r="E77" s="165"/>
      <c r="F77" s="165"/>
      <c r="G77" s="165"/>
      <c r="H77" s="34" t="s">
        <v>440</v>
      </c>
      <c r="I77" s="168"/>
      <c r="J77" s="47" t="s">
        <v>441</v>
      </c>
      <c r="K77" s="32" t="s">
        <v>104</v>
      </c>
      <c r="L77" s="68" t="s">
        <v>442</v>
      </c>
      <c r="M77" s="73" t="s">
        <v>332</v>
      </c>
      <c r="N77" s="73" t="s">
        <v>176</v>
      </c>
      <c r="O77" s="73" t="s">
        <v>443</v>
      </c>
      <c r="P77" s="70">
        <v>2</v>
      </c>
      <c r="Q77" s="41">
        <v>3</v>
      </c>
      <c r="R77" s="33">
        <f t="shared" si="13"/>
        <v>6</v>
      </c>
      <c r="S77" s="33" t="str">
        <f t="shared" si="1"/>
        <v>MEDIO</v>
      </c>
      <c r="T77" s="33">
        <v>10</v>
      </c>
      <c r="U77" s="75">
        <f t="shared" si="2"/>
        <v>60</v>
      </c>
      <c r="V77" s="33" t="str">
        <f t="shared" si="3"/>
        <v>lll</v>
      </c>
      <c r="W77" s="74" t="str">
        <f t="shared" si="4"/>
        <v>SI</v>
      </c>
      <c r="X77" s="33">
        <v>8</v>
      </c>
      <c r="Y77" s="31" t="s">
        <v>444</v>
      </c>
      <c r="Z77" s="33" t="s">
        <v>87</v>
      </c>
      <c r="AA77" s="45"/>
      <c r="AB77" s="33"/>
      <c r="AC77" s="34"/>
      <c r="AD77" s="34" t="s">
        <v>445</v>
      </c>
      <c r="AE77" s="34"/>
      <c r="AF77" s="34"/>
      <c r="AG77" s="41">
        <v>2</v>
      </c>
      <c r="AH77" s="41">
        <v>3</v>
      </c>
      <c r="AI77" s="33">
        <f t="shared" si="10"/>
        <v>6</v>
      </c>
      <c r="AJ77" s="33" t="str">
        <f t="shared" si="11"/>
        <v>MEDIO</v>
      </c>
      <c r="AK77" s="33">
        <v>10</v>
      </c>
      <c r="AL77" s="33">
        <f t="shared" si="7"/>
        <v>60</v>
      </c>
      <c r="AM77" s="33" t="str">
        <f t="shared" si="8"/>
        <v>RIESGO ACEPTABLE</v>
      </c>
      <c r="AN77" s="34"/>
      <c r="AO77" s="34"/>
      <c r="AP77" s="34"/>
      <c r="AQ77" s="34" t="s">
        <v>446</v>
      </c>
      <c r="AR77" s="34"/>
      <c r="AS77" s="61"/>
      <c r="EQ77" s="15"/>
      <c r="ER77" s="15"/>
      <c r="ES77" s="15"/>
      <c r="ET77" s="15"/>
      <c r="EU77" s="15"/>
      <c r="EV77" s="15"/>
    </row>
    <row r="78" spans="1:152" s="8" customFormat="1" ht="86.4" x14ac:dyDescent="0.25">
      <c r="A78" s="195"/>
      <c r="B78" s="198"/>
      <c r="C78" s="166"/>
      <c r="D78" s="196"/>
      <c r="E78" s="165"/>
      <c r="F78" s="165"/>
      <c r="G78" s="165"/>
      <c r="H78" s="34" t="s">
        <v>79</v>
      </c>
      <c r="I78" s="32" t="s">
        <v>1248</v>
      </c>
      <c r="J78" s="47" t="s">
        <v>447</v>
      </c>
      <c r="K78" s="32" t="s">
        <v>104</v>
      </c>
      <c r="L78" s="68" t="s">
        <v>448</v>
      </c>
      <c r="M78" s="73" t="s">
        <v>84</v>
      </c>
      <c r="N78" s="73" t="s">
        <v>176</v>
      </c>
      <c r="O78" s="7" t="s">
        <v>85</v>
      </c>
      <c r="P78" s="70">
        <v>2</v>
      </c>
      <c r="Q78" s="41">
        <v>3</v>
      </c>
      <c r="R78" s="33">
        <f t="shared" si="13"/>
        <v>6</v>
      </c>
      <c r="S78" s="33" t="str">
        <f t="shared" si="1"/>
        <v>MEDIO</v>
      </c>
      <c r="T78" s="33">
        <v>10</v>
      </c>
      <c r="U78" s="75">
        <f t="shared" si="2"/>
        <v>60</v>
      </c>
      <c r="V78" s="33" t="str">
        <f t="shared" si="3"/>
        <v>lll</v>
      </c>
      <c r="W78" s="74" t="str">
        <f t="shared" si="4"/>
        <v>SI</v>
      </c>
      <c r="X78" s="33">
        <v>8</v>
      </c>
      <c r="Y78" s="31" t="s">
        <v>86</v>
      </c>
      <c r="Z78" s="33" t="s">
        <v>87</v>
      </c>
      <c r="AA78" s="45"/>
      <c r="AB78" s="33"/>
      <c r="AC78" s="34" t="s">
        <v>449</v>
      </c>
      <c r="AD78" s="34" t="s">
        <v>450</v>
      </c>
      <c r="AE78" s="34" t="s">
        <v>93</v>
      </c>
      <c r="AF78" s="34" t="s">
        <v>451</v>
      </c>
      <c r="AG78" s="41">
        <v>2</v>
      </c>
      <c r="AH78" s="41">
        <v>3</v>
      </c>
      <c r="AI78" s="33">
        <f t="shared" si="10"/>
        <v>6</v>
      </c>
      <c r="AJ78" s="33" t="str">
        <f t="shared" si="11"/>
        <v>MEDIO</v>
      </c>
      <c r="AK78" s="33">
        <v>10</v>
      </c>
      <c r="AL78" s="33">
        <f t="shared" si="7"/>
        <v>60</v>
      </c>
      <c r="AM78" s="33" t="str">
        <f t="shared" si="8"/>
        <v>RIESGO ACEPTABLE</v>
      </c>
      <c r="AN78" s="34"/>
      <c r="AO78" s="34"/>
      <c r="AP78" s="34" t="s">
        <v>449</v>
      </c>
      <c r="AQ78" s="34" t="s">
        <v>452</v>
      </c>
      <c r="AR78" s="34"/>
      <c r="AS78" s="61" t="s">
        <v>453</v>
      </c>
      <c r="EQ78" s="15"/>
      <c r="ER78" s="15"/>
      <c r="ES78" s="15"/>
      <c r="ET78" s="15"/>
      <c r="EU78" s="15"/>
      <c r="EV78" s="15"/>
    </row>
    <row r="79" spans="1:152" s="8" customFormat="1" ht="86.4" x14ac:dyDescent="0.25">
      <c r="A79" s="195"/>
      <c r="B79" s="198"/>
      <c r="C79" s="166"/>
      <c r="D79" s="196"/>
      <c r="E79" s="165"/>
      <c r="F79" s="165"/>
      <c r="G79" s="165"/>
      <c r="H79" s="34" t="s">
        <v>128</v>
      </c>
      <c r="I79" s="32" t="s">
        <v>1240</v>
      </c>
      <c r="J79" s="32" t="s">
        <v>454</v>
      </c>
      <c r="K79" s="32" t="s">
        <v>104</v>
      </c>
      <c r="L79" s="68" t="s">
        <v>131</v>
      </c>
      <c r="M79" s="73" t="s">
        <v>84</v>
      </c>
      <c r="N79" s="73" t="s">
        <v>176</v>
      </c>
      <c r="O79" s="73" t="s">
        <v>132</v>
      </c>
      <c r="P79" s="70">
        <v>2</v>
      </c>
      <c r="Q79" s="41">
        <v>3</v>
      </c>
      <c r="R79" s="33">
        <f t="shared" si="13"/>
        <v>6</v>
      </c>
      <c r="S79" s="33" t="str">
        <f t="shared" si="1"/>
        <v>MEDIO</v>
      </c>
      <c r="T79" s="33">
        <v>10</v>
      </c>
      <c r="U79" s="75">
        <f t="shared" si="2"/>
        <v>60</v>
      </c>
      <c r="V79" s="33" t="str">
        <f t="shared" si="3"/>
        <v>lll</v>
      </c>
      <c r="W79" s="74" t="str">
        <f t="shared" si="4"/>
        <v>SI</v>
      </c>
      <c r="X79" s="33">
        <v>8</v>
      </c>
      <c r="Y79" s="31" t="s">
        <v>133</v>
      </c>
      <c r="Z79" s="33" t="s">
        <v>87</v>
      </c>
      <c r="AA79" s="46"/>
      <c r="AB79" s="33"/>
      <c r="AC79" s="34"/>
      <c r="AD79" s="34" t="s">
        <v>134</v>
      </c>
      <c r="AE79" s="34"/>
      <c r="AF79" s="34" t="s">
        <v>135</v>
      </c>
      <c r="AG79" s="41">
        <v>2</v>
      </c>
      <c r="AH79" s="41">
        <v>3</v>
      </c>
      <c r="AI79" s="33">
        <f t="shared" si="10"/>
        <v>6</v>
      </c>
      <c r="AJ79" s="33" t="str">
        <f t="shared" si="11"/>
        <v>MEDIO</v>
      </c>
      <c r="AK79" s="33">
        <v>10</v>
      </c>
      <c r="AL79" s="33">
        <f t="shared" si="7"/>
        <v>60</v>
      </c>
      <c r="AM79" s="33" t="str">
        <f t="shared" si="8"/>
        <v>RIESGO ACEPTABLE</v>
      </c>
      <c r="AN79" s="34"/>
      <c r="AO79" s="34"/>
      <c r="AP79" s="34"/>
      <c r="AQ79" s="34" t="s">
        <v>136</v>
      </c>
      <c r="AR79" s="34" t="s">
        <v>93</v>
      </c>
      <c r="AS79" s="61" t="s">
        <v>137</v>
      </c>
      <c r="EQ79" s="15"/>
      <c r="ER79" s="15"/>
      <c r="ES79" s="15"/>
      <c r="ET79" s="15"/>
      <c r="EU79" s="15"/>
      <c r="EV79" s="15"/>
    </row>
    <row r="80" spans="1:152" s="8" customFormat="1" ht="38.4" x14ac:dyDescent="0.25">
      <c r="A80" s="195"/>
      <c r="B80" s="198"/>
      <c r="C80" s="166" t="s">
        <v>455</v>
      </c>
      <c r="D80" s="188" t="s">
        <v>456</v>
      </c>
      <c r="E80" s="49" t="s">
        <v>87</v>
      </c>
      <c r="F80" s="152" t="s">
        <v>1352</v>
      </c>
      <c r="G80" s="205" t="s">
        <v>458</v>
      </c>
      <c r="H80" s="34" t="s">
        <v>183</v>
      </c>
      <c r="I80" s="34" t="s">
        <v>1245</v>
      </c>
      <c r="J80" s="32" t="s">
        <v>459</v>
      </c>
      <c r="K80" s="32" t="s">
        <v>104</v>
      </c>
      <c r="L80" s="68" t="s">
        <v>185</v>
      </c>
      <c r="M80" s="73" t="s">
        <v>332</v>
      </c>
      <c r="N80" s="73" t="s">
        <v>460</v>
      </c>
      <c r="O80" s="73" t="s">
        <v>461</v>
      </c>
      <c r="P80" s="70">
        <v>2</v>
      </c>
      <c r="Q80" s="41">
        <v>3</v>
      </c>
      <c r="R80" s="33">
        <f t="shared" si="13"/>
        <v>6</v>
      </c>
      <c r="S80" s="33" t="str">
        <f t="shared" si="1"/>
        <v>MEDIO</v>
      </c>
      <c r="T80" s="33">
        <v>10</v>
      </c>
      <c r="U80" s="75">
        <f t="shared" si="2"/>
        <v>60</v>
      </c>
      <c r="V80" s="33" t="str">
        <f t="shared" si="3"/>
        <v>lll</v>
      </c>
      <c r="W80" s="74" t="str">
        <f t="shared" si="4"/>
        <v>SI</v>
      </c>
      <c r="X80" s="33">
        <v>8</v>
      </c>
      <c r="Y80" s="31" t="s">
        <v>178</v>
      </c>
      <c r="Z80" s="33" t="s">
        <v>87</v>
      </c>
      <c r="AA80" s="45"/>
      <c r="AB80" s="34"/>
      <c r="AC80" s="40"/>
      <c r="AD80" s="34" t="s">
        <v>462</v>
      </c>
      <c r="AE80" s="34" t="s">
        <v>463</v>
      </c>
      <c r="AF80" s="34" t="s">
        <v>464</v>
      </c>
      <c r="AG80" s="41">
        <v>2</v>
      </c>
      <c r="AH80" s="41">
        <v>2</v>
      </c>
      <c r="AI80" s="33">
        <f t="shared" si="10"/>
        <v>4</v>
      </c>
      <c r="AJ80" s="33" t="str">
        <f t="shared" si="11"/>
        <v>BAJO</v>
      </c>
      <c r="AK80" s="33">
        <v>25</v>
      </c>
      <c r="AL80" s="33">
        <f t="shared" si="7"/>
        <v>100</v>
      </c>
      <c r="AM80" s="33" t="str">
        <f t="shared" si="8"/>
        <v>RIESGO ACEPTABLE</v>
      </c>
      <c r="AN80" s="33"/>
      <c r="AO80" s="34"/>
      <c r="AP80" s="40"/>
      <c r="AQ80" s="34" t="s">
        <v>465</v>
      </c>
      <c r="AR80" s="34" t="s">
        <v>463</v>
      </c>
      <c r="AS80" s="61" t="s">
        <v>466</v>
      </c>
    </row>
    <row r="81" spans="1:45" s="8" customFormat="1" ht="67.2" x14ac:dyDescent="0.25">
      <c r="A81" s="195"/>
      <c r="B81" s="198"/>
      <c r="C81" s="166"/>
      <c r="D81" s="188"/>
      <c r="E81" s="49" t="s">
        <v>87</v>
      </c>
      <c r="F81" s="152"/>
      <c r="G81" s="206"/>
      <c r="H81" s="34" t="s">
        <v>246</v>
      </c>
      <c r="I81" s="32" t="s">
        <v>1234</v>
      </c>
      <c r="J81" s="32" t="s">
        <v>435</v>
      </c>
      <c r="K81" s="32" t="s">
        <v>248</v>
      </c>
      <c r="L81" s="68" t="s">
        <v>249</v>
      </c>
      <c r="M81" s="73" t="s">
        <v>332</v>
      </c>
      <c r="N81" s="73" t="s">
        <v>106</v>
      </c>
      <c r="O81" s="73" t="s">
        <v>250</v>
      </c>
      <c r="P81" s="70">
        <v>2</v>
      </c>
      <c r="Q81" s="41">
        <v>2</v>
      </c>
      <c r="R81" s="33">
        <f t="shared" si="13"/>
        <v>4</v>
      </c>
      <c r="S81" s="33" t="str">
        <f t="shared" si="1"/>
        <v>BAJO</v>
      </c>
      <c r="T81" s="33">
        <v>10</v>
      </c>
      <c r="U81" s="75">
        <f t="shared" si="2"/>
        <v>40</v>
      </c>
      <c r="V81" s="33" t="str">
        <f t="shared" si="3"/>
        <v>lll</v>
      </c>
      <c r="W81" s="74" t="str">
        <f t="shared" si="4"/>
        <v>SI</v>
      </c>
      <c r="X81" s="33">
        <v>8</v>
      </c>
      <c r="Y81" s="31" t="s">
        <v>251</v>
      </c>
      <c r="Z81" s="33" t="s">
        <v>87</v>
      </c>
      <c r="AA81" s="45"/>
      <c r="AB81" s="34"/>
      <c r="AC81" s="34"/>
      <c r="AD81" s="34"/>
      <c r="AE81" s="34" t="s">
        <v>467</v>
      </c>
      <c r="AF81" s="34" t="s">
        <v>464</v>
      </c>
      <c r="AG81" s="41">
        <v>2</v>
      </c>
      <c r="AH81" s="41">
        <v>2</v>
      </c>
      <c r="AI81" s="33">
        <f t="shared" si="10"/>
        <v>4</v>
      </c>
      <c r="AJ81" s="33" t="str">
        <f t="shared" si="11"/>
        <v>BAJO</v>
      </c>
      <c r="AK81" s="33">
        <v>25</v>
      </c>
      <c r="AL81" s="33">
        <f t="shared" si="7"/>
        <v>100</v>
      </c>
      <c r="AM81" s="33" t="str">
        <f t="shared" si="8"/>
        <v>RIESGO ACEPTABLE</v>
      </c>
      <c r="AN81" s="33"/>
      <c r="AO81" s="34"/>
      <c r="AP81" s="34"/>
      <c r="AQ81" s="34" t="s">
        <v>465</v>
      </c>
      <c r="AR81" s="34" t="s">
        <v>468</v>
      </c>
      <c r="AS81" s="61" t="s">
        <v>466</v>
      </c>
    </row>
    <row r="82" spans="1:45" s="8" customFormat="1" ht="67.2" x14ac:dyDescent="0.25">
      <c r="A82" s="195"/>
      <c r="B82" s="198"/>
      <c r="C82" s="166"/>
      <c r="D82" s="188"/>
      <c r="E82" s="49" t="s">
        <v>87</v>
      </c>
      <c r="F82" s="152"/>
      <c r="G82" s="206"/>
      <c r="H82" s="34" t="s">
        <v>316</v>
      </c>
      <c r="I82" s="32" t="s">
        <v>1242</v>
      </c>
      <c r="J82" s="32" t="s">
        <v>469</v>
      </c>
      <c r="K82" s="32" t="s">
        <v>104</v>
      </c>
      <c r="L82" s="68" t="s">
        <v>83</v>
      </c>
      <c r="M82" s="73" t="s">
        <v>84</v>
      </c>
      <c r="N82" s="73" t="s">
        <v>106</v>
      </c>
      <c r="O82" s="73" t="s">
        <v>443</v>
      </c>
      <c r="P82" s="70">
        <v>2</v>
      </c>
      <c r="Q82" s="41">
        <v>3</v>
      </c>
      <c r="R82" s="33">
        <f t="shared" si="13"/>
        <v>6</v>
      </c>
      <c r="S82" s="33" t="str">
        <f t="shared" si="1"/>
        <v>MEDIO</v>
      </c>
      <c r="T82" s="33">
        <v>10</v>
      </c>
      <c r="U82" s="75">
        <f t="shared" si="2"/>
        <v>60</v>
      </c>
      <c r="V82" s="33" t="str">
        <f t="shared" si="3"/>
        <v>lll</v>
      </c>
      <c r="W82" s="74" t="str">
        <f t="shared" si="4"/>
        <v>SI</v>
      </c>
      <c r="X82" s="33">
        <v>8</v>
      </c>
      <c r="Y82" s="31" t="s">
        <v>108</v>
      </c>
      <c r="Z82" s="33" t="s">
        <v>87</v>
      </c>
      <c r="AA82" s="45"/>
      <c r="AB82" s="34"/>
      <c r="AC82" s="42"/>
      <c r="AD82" s="42" t="s">
        <v>470</v>
      </c>
      <c r="AE82" s="42" t="s">
        <v>471</v>
      </c>
      <c r="AF82" s="34" t="s">
        <v>464</v>
      </c>
      <c r="AG82" s="41">
        <v>2</v>
      </c>
      <c r="AH82" s="41">
        <v>2</v>
      </c>
      <c r="AI82" s="33">
        <f t="shared" si="10"/>
        <v>4</v>
      </c>
      <c r="AJ82" s="33" t="str">
        <f t="shared" si="11"/>
        <v>BAJO</v>
      </c>
      <c r="AK82" s="33">
        <v>10</v>
      </c>
      <c r="AL82" s="33">
        <f t="shared" ref="AL82:AL142" si="14">AI82*AK82</f>
        <v>40</v>
      </c>
      <c r="AM82" s="33" t="str">
        <f t="shared" si="8"/>
        <v>RIESGO ACEPTABLE</v>
      </c>
      <c r="AN82" s="33"/>
      <c r="AO82" s="34"/>
      <c r="AP82" s="42"/>
      <c r="AQ82" s="34" t="s">
        <v>465</v>
      </c>
      <c r="AR82" s="42" t="s">
        <v>472</v>
      </c>
      <c r="AS82" s="61" t="s">
        <v>466</v>
      </c>
    </row>
    <row r="83" spans="1:45" s="8" customFormat="1" ht="67.2" x14ac:dyDescent="0.25">
      <c r="A83" s="195"/>
      <c r="B83" s="198"/>
      <c r="C83" s="166"/>
      <c r="D83" s="188"/>
      <c r="E83" s="49" t="s">
        <v>87</v>
      </c>
      <c r="F83" s="152"/>
      <c r="G83" s="206"/>
      <c r="H83" s="34" t="s">
        <v>101</v>
      </c>
      <c r="I83" s="32" t="s">
        <v>1242</v>
      </c>
      <c r="J83" s="32" t="s">
        <v>469</v>
      </c>
      <c r="K83" s="32" t="s">
        <v>104</v>
      </c>
      <c r="L83" s="68" t="s">
        <v>105</v>
      </c>
      <c r="M83" s="73" t="s">
        <v>84</v>
      </c>
      <c r="N83" s="73" t="s">
        <v>106</v>
      </c>
      <c r="O83" s="73" t="s">
        <v>318</v>
      </c>
      <c r="P83" s="70">
        <v>6</v>
      </c>
      <c r="Q83" s="41">
        <v>3</v>
      </c>
      <c r="R83" s="33">
        <f t="shared" si="13"/>
        <v>18</v>
      </c>
      <c r="S83" s="33" t="str">
        <f t="shared" ref="S83:S144" si="15">IF(AND(R83&gt;=0,R83&lt;=4),"BAJO",IF(AND(R83&gt;=6,R83&lt;=8),"MEDIO",IF(AND(R83&gt;=10,R83&lt;=20),"ALTO",IF(AND(R83&gt;=24,R83&lt;=40),"MUY ALTO"))))</f>
        <v>ALTO</v>
      </c>
      <c r="T83" s="33">
        <v>25</v>
      </c>
      <c r="U83" s="75">
        <f t="shared" si="2"/>
        <v>450</v>
      </c>
      <c r="V83" s="33" t="str">
        <f t="shared" si="3"/>
        <v>ll</v>
      </c>
      <c r="W83" s="74" t="str">
        <f t="shared" si="4"/>
        <v>NO</v>
      </c>
      <c r="X83" s="33">
        <v>8</v>
      </c>
      <c r="Y83" s="31" t="s">
        <v>108</v>
      </c>
      <c r="Z83" s="33" t="s">
        <v>87</v>
      </c>
      <c r="AA83" s="45"/>
      <c r="AB83" s="34"/>
      <c r="AC83" s="42"/>
      <c r="AD83" s="42" t="s">
        <v>473</v>
      </c>
      <c r="AE83" s="34" t="s">
        <v>474</v>
      </c>
      <c r="AF83" s="34" t="s">
        <v>464</v>
      </c>
      <c r="AG83" s="41">
        <v>2</v>
      </c>
      <c r="AH83" s="41">
        <v>2</v>
      </c>
      <c r="AI83" s="33">
        <f t="shared" si="10"/>
        <v>4</v>
      </c>
      <c r="AJ83" s="33" t="str">
        <f t="shared" si="11"/>
        <v>BAJO</v>
      </c>
      <c r="AK83" s="33">
        <v>25</v>
      </c>
      <c r="AL83" s="33">
        <f t="shared" si="14"/>
        <v>100</v>
      </c>
      <c r="AM83" s="33" t="str">
        <f t="shared" si="8"/>
        <v>RIESGO ACEPTABLE</v>
      </c>
      <c r="AN83" s="33"/>
      <c r="AO83" s="34"/>
      <c r="AP83" s="42"/>
      <c r="AQ83" s="34" t="s">
        <v>465</v>
      </c>
      <c r="AR83" s="34" t="s">
        <v>474</v>
      </c>
      <c r="AS83" s="61" t="s">
        <v>466</v>
      </c>
    </row>
    <row r="84" spans="1:45" s="8" customFormat="1" ht="48" x14ac:dyDescent="0.25">
      <c r="A84" s="195"/>
      <c r="B84" s="198"/>
      <c r="C84" s="166"/>
      <c r="D84" s="188"/>
      <c r="E84" s="49" t="s">
        <v>87</v>
      </c>
      <c r="F84" s="152"/>
      <c r="G84" s="206"/>
      <c r="H84" s="34" t="s">
        <v>138</v>
      </c>
      <c r="I84" s="32" t="s">
        <v>1243</v>
      </c>
      <c r="J84" s="32" t="s">
        <v>469</v>
      </c>
      <c r="K84" s="32" t="s">
        <v>104</v>
      </c>
      <c r="L84" s="68" t="s">
        <v>475</v>
      </c>
      <c r="M84" s="73" t="s">
        <v>332</v>
      </c>
      <c r="N84" s="73" t="s">
        <v>278</v>
      </c>
      <c r="O84" s="73" t="s">
        <v>142</v>
      </c>
      <c r="P84" s="70">
        <v>2</v>
      </c>
      <c r="Q84" s="41">
        <v>2</v>
      </c>
      <c r="R84" s="33">
        <f t="shared" si="13"/>
        <v>4</v>
      </c>
      <c r="S84" s="33" t="str">
        <f t="shared" si="15"/>
        <v>BAJO</v>
      </c>
      <c r="T84" s="33">
        <v>10</v>
      </c>
      <c r="U84" s="75">
        <f t="shared" ref="U84:U145" si="16">R84*T84</f>
        <v>40</v>
      </c>
      <c r="V84" s="33" t="str">
        <f t="shared" ref="V84:V147" si="17">IF(AND(U84&gt;=0,U84&lt;=20),"IV ",IF(AND(U84&gt;=40,U84&lt;=120),"lll",IF(AND(U84&gt;=150,U84&lt;=500),"ll",IF(AND(U84&gt;=600,U84&lt;=4000),"l"))))</f>
        <v>lll</v>
      </c>
      <c r="W84" s="74" t="str">
        <f t="shared" ref="W84:W145" si="18">IF(AND(V84="lV"),"SI",IF(AND(V84="lll"),"SI",IF(AND(V84="ll"),"NO",IF(AND(V84="l"),"NO"))))</f>
        <v>SI</v>
      </c>
      <c r="X84" s="33">
        <v>8</v>
      </c>
      <c r="Y84" s="31" t="s">
        <v>143</v>
      </c>
      <c r="Z84" s="33" t="s">
        <v>87</v>
      </c>
      <c r="AA84" s="45"/>
      <c r="AB84" s="34"/>
      <c r="AC84" s="40"/>
      <c r="AD84" s="42" t="s">
        <v>1328</v>
      </c>
      <c r="AE84" s="34"/>
      <c r="AF84" s="34" t="s">
        <v>464</v>
      </c>
      <c r="AG84" s="41">
        <v>2</v>
      </c>
      <c r="AH84" s="41">
        <v>2</v>
      </c>
      <c r="AI84" s="33">
        <f t="shared" si="10"/>
        <v>4</v>
      </c>
      <c r="AJ84" s="33" t="str">
        <f t="shared" si="11"/>
        <v>BAJO</v>
      </c>
      <c r="AK84" s="33">
        <v>25</v>
      </c>
      <c r="AL84" s="33">
        <f t="shared" si="14"/>
        <v>100</v>
      </c>
      <c r="AM84" s="33" t="str">
        <f t="shared" ref="AM84:AM147" si="19">IF(AND(AL84&gt;=0,AL84&lt;=120),"RIESGO ACEPTABLE",IF(AND(AL84&gt;=150,AL84&lt;=500)," RIESGO ACEPTABLE CON CONTROL ESPECIFICO",IF(AND(AL84&gt;=600,AL84&lt;=4000),"RIESGO NO ACEPTABLE")))</f>
        <v>RIESGO ACEPTABLE</v>
      </c>
      <c r="AN84" s="33"/>
      <c r="AO84" s="34"/>
      <c r="AP84" s="40"/>
      <c r="AQ84" s="42" t="s">
        <v>1329</v>
      </c>
      <c r="AR84" s="34"/>
      <c r="AS84" s="61" t="s">
        <v>466</v>
      </c>
    </row>
    <row r="85" spans="1:45" s="8" customFormat="1" ht="38.4" x14ac:dyDescent="0.25">
      <c r="A85" s="195"/>
      <c r="B85" s="198"/>
      <c r="C85" s="166"/>
      <c r="D85" s="199"/>
      <c r="E85" s="49" t="s">
        <v>87</v>
      </c>
      <c r="F85" s="152"/>
      <c r="G85" s="206"/>
      <c r="H85" s="34" t="s">
        <v>149</v>
      </c>
      <c r="I85" s="32" t="s">
        <v>1236</v>
      </c>
      <c r="J85" s="32" t="s">
        <v>478</v>
      </c>
      <c r="K85" s="32" t="s">
        <v>104</v>
      </c>
      <c r="L85" s="68" t="s">
        <v>327</v>
      </c>
      <c r="M85" s="73" t="s">
        <v>84</v>
      </c>
      <c r="N85" s="73" t="s">
        <v>460</v>
      </c>
      <c r="O85" s="73" t="s">
        <v>213</v>
      </c>
      <c r="P85" s="70">
        <v>2</v>
      </c>
      <c r="Q85" s="41">
        <v>2</v>
      </c>
      <c r="R85" s="33">
        <f t="shared" si="13"/>
        <v>4</v>
      </c>
      <c r="S85" s="33" t="str">
        <f t="shared" si="15"/>
        <v>BAJO</v>
      </c>
      <c r="T85" s="33">
        <v>10</v>
      </c>
      <c r="U85" s="75">
        <f t="shared" si="16"/>
        <v>40</v>
      </c>
      <c r="V85" s="33" t="str">
        <f t="shared" si="17"/>
        <v>lll</v>
      </c>
      <c r="W85" s="74" t="str">
        <f t="shared" si="18"/>
        <v>SI</v>
      </c>
      <c r="X85" s="33">
        <v>8</v>
      </c>
      <c r="Y85" s="31" t="s">
        <v>143</v>
      </c>
      <c r="Z85" s="33" t="s">
        <v>87</v>
      </c>
      <c r="AA85" s="45"/>
      <c r="AB85" s="34"/>
      <c r="AC85" s="34"/>
      <c r="AD85" s="42" t="s">
        <v>1330</v>
      </c>
      <c r="AE85" s="34"/>
      <c r="AF85" s="34" t="s">
        <v>464</v>
      </c>
      <c r="AG85" s="41">
        <v>2</v>
      </c>
      <c r="AH85" s="41">
        <v>2</v>
      </c>
      <c r="AI85" s="33">
        <f t="shared" si="10"/>
        <v>4</v>
      </c>
      <c r="AJ85" s="33" t="str">
        <f t="shared" si="11"/>
        <v>BAJO</v>
      </c>
      <c r="AK85" s="33">
        <v>25</v>
      </c>
      <c r="AL85" s="33">
        <f t="shared" si="14"/>
        <v>100</v>
      </c>
      <c r="AM85" s="33" t="str">
        <f t="shared" si="19"/>
        <v>RIESGO ACEPTABLE</v>
      </c>
      <c r="AN85" s="33"/>
      <c r="AO85" s="34"/>
      <c r="AP85" s="34"/>
      <c r="AQ85" s="42" t="s">
        <v>1331</v>
      </c>
      <c r="AR85" s="34"/>
      <c r="AS85" s="61" t="s">
        <v>466</v>
      </c>
    </row>
    <row r="86" spans="1:45" s="8" customFormat="1" ht="48" x14ac:dyDescent="0.25">
      <c r="A86" s="195"/>
      <c r="B86" s="198"/>
      <c r="C86" s="166"/>
      <c r="D86" s="188"/>
      <c r="E86" s="49" t="s">
        <v>87</v>
      </c>
      <c r="F86" s="152"/>
      <c r="G86" s="206"/>
      <c r="H86" s="34" t="s">
        <v>227</v>
      </c>
      <c r="I86" s="34" t="s">
        <v>1245</v>
      </c>
      <c r="J86" s="32" t="s">
        <v>479</v>
      </c>
      <c r="K86" s="32" t="s">
        <v>104</v>
      </c>
      <c r="L86" s="68" t="s">
        <v>229</v>
      </c>
      <c r="M86" s="73" t="s">
        <v>84</v>
      </c>
      <c r="N86" s="73" t="s">
        <v>161</v>
      </c>
      <c r="O86" s="73" t="s">
        <v>289</v>
      </c>
      <c r="P86" s="70">
        <v>2</v>
      </c>
      <c r="Q86" s="41">
        <v>2</v>
      </c>
      <c r="R86" s="33">
        <f t="shared" si="13"/>
        <v>4</v>
      </c>
      <c r="S86" s="33" t="str">
        <f t="shared" si="15"/>
        <v>BAJO</v>
      </c>
      <c r="T86" s="33">
        <v>10</v>
      </c>
      <c r="U86" s="75">
        <f t="shared" si="16"/>
        <v>40</v>
      </c>
      <c r="V86" s="33" t="str">
        <f t="shared" si="17"/>
        <v>lll</v>
      </c>
      <c r="W86" s="74" t="str">
        <f t="shared" si="18"/>
        <v>SI</v>
      </c>
      <c r="X86" s="33">
        <v>8</v>
      </c>
      <c r="Y86" s="31" t="s">
        <v>163</v>
      </c>
      <c r="Z86" s="33" t="s">
        <v>87</v>
      </c>
      <c r="AA86" s="45"/>
      <c r="AB86" s="34"/>
      <c r="AC86" s="34"/>
      <c r="AD86" s="34" t="s">
        <v>480</v>
      </c>
      <c r="AE86" s="34" t="s">
        <v>481</v>
      </c>
      <c r="AF86" s="34" t="s">
        <v>464</v>
      </c>
      <c r="AG86" s="41">
        <v>2</v>
      </c>
      <c r="AH86" s="41">
        <v>2</v>
      </c>
      <c r="AI86" s="33">
        <f t="shared" si="10"/>
        <v>4</v>
      </c>
      <c r="AJ86" s="33" t="str">
        <f t="shared" si="11"/>
        <v>BAJO</v>
      </c>
      <c r="AK86" s="33">
        <v>25</v>
      </c>
      <c r="AL86" s="33">
        <f t="shared" si="14"/>
        <v>100</v>
      </c>
      <c r="AM86" s="33" t="str">
        <f t="shared" si="19"/>
        <v>RIESGO ACEPTABLE</v>
      </c>
      <c r="AN86" s="33"/>
      <c r="AO86" s="34"/>
      <c r="AP86" s="34"/>
      <c r="AQ86" s="34" t="s">
        <v>482</v>
      </c>
      <c r="AR86" s="34" t="s">
        <v>483</v>
      </c>
      <c r="AS86" s="61" t="s">
        <v>466</v>
      </c>
    </row>
    <row r="87" spans="1:45" s="8" customFormat="1" ht="38.4" x14ac:dyDescent="0.25">
      <c r="A87" s="195"/>
      <c r="B87" s="198"/>
      <c r="C87" s="166"/>
      <c r="D87" s="188"/>
      <c r="E87" s="49" t="s">
        <v>87</v>
      </c>
      <c r="F87" s="152"/>
      <c r="G87" s="207"/>
      <c r="H87" s="34" t="s">
        <v>157</v>
      </c>
      <c r="I87" s="34" t="s">
        <v>1245</v>
      </c>
      <c r="J87" s="32" t="s">
        <v>484</v>
      </c>
      <c r="K87" s="32" t="s">
        <v>104</v>
      </c>
      <c r="L87" s="68" t="s">
        <v>160</v>
      </c>
      <c r="M87" s="73" t="s">
        <v>84</v>
      </c>
      <c r="N87" s="73" t="s">
        <v>161</v>
      </c>
      <c r="O87" s="73" t="s">
        <v>162</v>
      </c>
      <c r="P87" s="70">
        <v>2</v>
      </c>
      <c r="Q87" s="41">
        <v>3</v>
      </c>
      <c r="R87" s="33">
        <f t="shared" si="13"/>
        <v>6</v>
      </c>
      <c r="S87" s="33" t="str">
        <f t="shared" si="15"/>
        <v>MEDIO</v>
      </c>
      <c r="T87" s="33">
        <v>10</v>
      </c>
      <c r="U87" s="75">
        <f t="shared" si="16"/>
        <v>60</v>
      </c>
      <c r="V87" s="33" t="str">
        <f t="shared" si="17"/>
        <v>lll</v>
      </c>
      <c r="W87" s="74" t="str">
        <f t="shared" si="18"/>
        <v>SI</v>
      </c>
      <c r="X87" s="33">
        <v>8</v>
      </c>
      <c r="Y87" s="31" t="s">
        <v>163</v>
      </c>
      <c r="Z87" s="33" t="s">
        <v>87</v>
      </c>
      <c r="AA87" s="45"/>
      <c r="AB87" s="34"/>
      <c r="AC87" s="34"/>
      <c r="AD87" s="42" t="s">
        <v>485</v>
      </c>
      <c r="AE87" s="34"/>
      <c r="AF87" s="34" t="s">
        <v>464</v>
      </c>
      <c r="AG87" s="41">
        <v>6</v>
      </c>
      <c r="AH87" s="41">
        <v>2</v>
      </c>
      <c r="AI87" s="33">
        <f t="shared" si="10"/>
        <v>12</v>
      </c>
      <c r="AJ87" s="33" t="str">
        <f t="shared" si="11"/>
        <v>ALTO</v>
      </c>
      <c r="AK87" s="33">
        <v>10</v>
      </c>
      <c r="AL87" s="33">
        <f t="shared" si="14"/>
        <v>120</v>
      </c>
      <c r="AM87" s="33" t="str">
        <f t="shared" si="19"/>
        <v>RIESGO ACEPTABLE</v>
      </c>
      <c r="AN87" s="33"/>
      <c r="AO87" s="34"/>
      <c r="AP87" s="34"/>
      <c r="AQ87" s="42" t="s">
        <v>486</v>
      </c>
      <c r="AR87" s="34"/>
      <c r="AS87" s="61" t="s">
        <v>466</v>
      </c>
    </row>
    <row r="88" spans="1:45" s="8" customFormat="1" ht="38.4" x14ac:dyDescent="0.25">
      <c r="A88" s="195"/>
      <c r="B88" s="198"/>
      <c r="C88" s="166"/>
      <c r="D88" s="196" t="s">
        <v>487</v>
      </c>
      <c r="E88" s="49" t="s">
        <v>87</v>
      </c>
      <c r="F88" s="152" t="s">
        <v>1352</v>
      </c>
      <c r="G88" s="205" t="s">
        <v>488</v>
      </c>
      <c r="H88" s="34" t="s">
        <v>183</v>
      </c>
      <c r="I88" s="34" t="s">
        <v>1245</v>
      </c>
      <c r="J88" s="34" t="s">
        <v>489</v>
      </c>
      <c r="K88" s="32" t="s">
        <v>104</v>
      </c>
      <c r="L88" s="68" t="s">
        <v>185</v>
      </c>
      <c r="M88" s="73" t="s">
        <v>332</v>
      </c>
      <c r="N88" s="73" t="s">
        <v>490</v>
      </c>
      <c r="O88" s="73" t="s">
        <v>491</v>
      </c>
      <c r="P88" s="70">
        <v>2</v>
      </c>
      <c r="Q88" s="41">
        <v>3</v>
      </c>
      <c r="R88" s="33">
        <f t="shared" si="13"/>
        <v>6</v>
      </c>
      <c r="S88" s="33" t="str">
        <f t="shared" si="15"/>
        <v>MEDIO</v>
      </c>
      <c r="T88" s="33">
        <v>10</v>
      </c>
      <c r="U88" s="75">
        <f t="shared" si="16"/>
        <v>60</v>
      </c>
      <c r="V88" s="33" t="str">
        <f t="shared" si="17"/>
        <v>lll</v>
      </c>
      <c r="W88" s="74" t="str">
        <f t="shared" si="18"/>
        <v>SI</v>
      </c>
      <c r="X88" s="33">
        <v>8</v>
      </c>
      <c r="Y88" s="31" t="s">
        <v>178</v>
      </c>
      <c r="Z88" s="33" t="s">
        <v>87</v>
      </c>
      <c r="AA88" s="45"/>
      <c r="AB88" s="34"/>
      <c r="AC88" s="34"/>
      <c r="AD88" s="34" t="s">
        <v>492</v>
      </c>
      <c r="AE88" s="34" t="s">
        <v>493</v>
      </c>
      <c r="AF88" s="34" t="s">
        <v>464</v>
      </c>
      <c r="AG88" s="41">
        <v>2</v>
      </c>
      <c r="AH88" s="41">
        <v>3</v>
      </c>
      <c r="AI88" s="33">
        <f t="shared" si="10"/>
        <v>6</v>
      </c>
      <c r="AJ88" s="33" t="str">
        <f t="shared" si="11"/>
        <v>MEDIO</v>
      </c>
      <c r="AK88" s="33">
        <v>10</v>
      </c>
      <c r="AL88" s="33">
        <f t="shared" si="14"/>
        <v>60</v>
      </c>
      <c r="AM88" s="33" t="str">
        <f t="shared" si="19"/>
        <v>RIESGO ACEPTABLE</v>
      </c>
      <c r="AN88" s="33"/>
      <c r="AO88" s="34"/>
      <c r="AP88" s="34"/>
      <c r="AQ88" s="34" t="s">
        <v>494</v>
      </c>
      <c r="AR88" s="34" t="s">
        <v>495</v>
      </c>
      <c r="AS88" s="61" t="s">
        <v>466</v>
      </c>
    </row>
    <row r="89" spans="1:45" s="8" customFormat="1" ht="48" x14ac:dyDescent="0.25">
      <c r="A89" s="195"/>
      <c r="B89" s="198"/>
      <c r="C89" s="166"/>
      <c r="D89" s="196"/>
      <c r="E89" s="49" t="s">
        <v>496</v>
      </c>
      <c r="F89" s="152"/>
      <c r="G89" s="206"/>
      <c r="H89" s="34" t="s">
        <v>372</v>
      </c>
      <c r="I89" s="32" t="s">
        <v>1246</v>
      </c>
      <c r="J89" s="32" t="s">
        <v>497</v>
      </c>
      <c r="K89" s="32" t="s">
        <v>104</v>
      </c>
      <c r="L89" s="68" t="s">
        <v>374</v>
      </c>
      <c r="M89" s="73" t="s">
        <v>332</v>
      </c>
      <c r="N89" s="73" t="s">
        <v>490</v>
      </c>
      <c r="O89" s="73" t="s">
        <v>491</v>
      </c>
      <c r="P89" s="70">
        <v>2</v>
      </c>
      <c r="Q89" s="41">
        <v>1</v>
      </c>
      <c r="R89" s="33">
        <f t="shared" si="13"/>
        <v>2</v>
      </c>
      <c r="S89" s="33" t="str">
        <f t="shared" si="15"/>
        <v>BAJO</v>
      </c>
      <c r="T89" s="33">
        <v>25</v>
      </c>
      <c r="U89" s="75">
        <f t="shared" si="16"/>
        <v>50</v>
      </c>
      <c r="V89" s="33" t="str">
        <f t="shared" si="17"/>
        <v>lll</v>
      </c>
      <c r="W89" s="74" t="s">
        <v>87</v>
      </c>
      <c r="X89" s="33">
        <v>8</v>
      </c>
      <c r="Y89" s="31" t="s">
        <v>498</v>
      </c>
      <c r="Z89" s="33" t="s">
        <v>87</v>
      </c>
      <c r="AA89" s="45"/>
      <c r="AB89" s="34"/>
      <c r="AC89" s="34"/>
      <c r="AD89" s="34" t="s">
        <v>499</v>
      </c>
      <c r="AE89" s="34" t="s">
        <v>500</v>
      </c>
      <c r="AF89" s="34" t="s">
        <v>464</v>
      </c>
      <c r="AG89" s="41">
        <v>2</v>
      </c>
      <c r="AH89" s="41">
        <v>1</v>
      </c>
      <c r="AI89" s="33">
        <f t="shared" si="10"/>
        <v>2</v>
      </c>
      <c r="AJ89" s="33" t="str">
        <f t="shared" si="11"/>
        <v>BAJO</v>
      </c>
      <c r="AK89" s="33">
        <v>25</v>
      </c>
      <c r="AL89" s="33">
        <f t="shared" si="14"/>
        <v>50</v>
      </c>
      <c r="AM89" s="33" t="str">
        <f t="shared" si="19"/>
        <v>RIESGO ACEPTABLE</v>
      </c>
      <c r="AN89" s="33"/>
      <c r="AO89" s="34"/>
      <c r="AP89" s="34"/>
      <c r="AQ89" s="34" t="s">
        <v>501</v>
      </c>
      <c r="AR89" s="34" t="s">
        <v>1196</v>
      </c>
      <c r="AS89" s="61" t="s">
        <v>466</v>
      </c>
    </row>
    <row r="90" spans="1:45" s="8" customFormat="1" ht="38.4" x14ac:dyDescent="0.25">
      <c r="A90" s="195"/>
      <c r="B90" s="198"/>
      <c r="C90" s="166"/>
      <c r="D90" s="196"/>
      <c r="E90" s="32" t="s">
        <v>87</v>
      </c>
      <c r="F90" s="152"/>
      <c r="G90" s="206"/>
      <c r="H90" s="34" t="s">
        <v>227</v>
      </c>
      <c r="I90" s="34" t="s">
        <v>1245</v>
      </c>
      <c r="J90" s="32" t="s">
        <v>502</v>
      </c>
      <c r="K90" s="32" t="s">
        <v>104</v>
      </c>
      <c r="L90" s="68" t="s">
        <v>229</v>
      </c>
      <c r="M90" s="73" t="s">
        <v>332</v>
      </c>
      <c r="N90" s="73" t="s">
        <v>490</v>
      </c>
      <c r="O90" s="73" t="s">
        <v>503</v>
      </c>
      <c r="P90" s="70">
        <v>2</v>
      </c>
      <c r="Q90" s="41">
        <v>3</v>
      </c>
      <c r="R90" s="33">
        <f t="shared" si="13"/>
        <v>6</v>
      </c>
      <c r="S90" s="33" t="str">
        <f t="shared" si="15"/>
        <v>MEDIO</v>
      </c>
      <c r="T90" s="33">
        <v>10</v>
      </c>
      <c r="U90" s="75">
        <f t="shared" si="16"/>
        <v>60</v>
      </c>
      <c r="V90" s="33" t="str">
        <f t="shared" si="17"/>
        <v>lll</v>
      </c>
      <c r="W90" s="74" t="str">
        <f t="shared" si="18"/>
        <v>SI</v>
      </c>
      <c r="X90" s="33">
        <v>8</v>
      </c>
      <c r="Y90" s="31" t="s">
        <v>163</v>
      </c>
      <c r="Z90" s="33" t="s">
        <v>87</v>
      </c>
      <c r="AA90" s="45"/>
      <c r="AB90" s="32"/>
      <c r="AC90" s="34"/>
      <c r="AD90" s="42" t="s">
        <v>504</v>
      </c>
      <c r="AE90" s="34" t="s">
        <v>505</v>
      </c>
      <c r="AF90" s="34" t="s">
        <v>464</v>
      </c>
      <c r="AG90" s="41">
        <v>2</v>
      </c>
      <c r="AH90" s="41">
        <v>3</v>
      </c>
      <c r="AI90" s="33">
        <f t="shared" si="10"/>
        <v>6</v>
      </c>
      <c r="AJ90" s="33" t="str">
        <f t="shared" si="11"/>
        <v>MEDIO</v>
      </c>
      <c r="AK90" s="33">
        <v>10</v>
      </c>
      <c r="AL90" s="33">
        <f t="shared" si="14"/>
        <v>60</v>
      </c>
      <c r="AM90" s="33" t="str">
        <f t="shared" si="19"/>
        <v>RIESGO ACEPTABLE</v>
      </c>
      <c r="AN90" s="33"/>
      <c r="AO90" s="32"/>
      <c r="AP90" s="34"/>
      <c r="AQ90" s="42" t="s">
        <v>506</v>
      </c>
      <c r="AR90" s="34" t="s">
        <v>505</v>
      </c>
      <c r="AS90" s="61" t="s">
        <v>466</v>
      </c>
    </row>
    <row r="91" spans="1:45" s="8" customFormat="1" ht="38.4" x14ac:dyDescent="0.25">
      <c r="A91" s="195"/>
      <c r="B91" s="198"/>
      <c r="C91" s="166"/>
      <c r="D91" s="196"/>
      <c r="E91" s="32" t="s">
        <v>87</v>
      </c>
      <c r="F91" s="152"/>
      <c r="G91" s="206"/>
      <c r="H91" s="34" t="s">
        <v>157</v>
      </c>
      <c r="I91" s="34" t="s">
        <v>1245</v>
      </c>
      <c r="J91" s="32" t="s">
        <v>484</v>
      </c>
      <c r="K91" s="32" t="s">
        <v>104</v>
      </c>
      <c r="L91" s="68" t="s">
        <v>160</v>
      </c>
      <c r="M91" s="73" t="s">
        <v>332</v>
      </c>
      <c r="N91" s="73" t="s">
        <v>161</v>
      </c>
      <c r="O91" s="73" t="s">
        <v>507</v>
      </c>
      <c r="P91" s="70">
        <v>2</v>
      </c>
      <c r="Q91" s="41">
        <v>3</v>
      </c>
      <c r="R91" s="33">
        <f t="shared" si="13"/>
        <v>6</v>
      </c>
      <c r="S91" s="33" t="str">
        <f t="shared" si="15"/>
        <v>MEDIO</v>
      </c>
      <c r="T91" s="33">
        <v>10</v>
      </c>
      <c r="U91" s="75">
        <f t="shared" si="16"/>
        <v>60</v>
      </c>
      <c r="V91" s="33" t="str">
        <f t="shared" si="17"/>
        <v>lll</v>
      </c>
      <c r="W91" s="74" t="str">
        <f t="shared" si="18"/>
        <v>SI</v>
      </c>
      <c r="X91" s="33">
        <v>8</v>
      </c>
      <c r="Y91" s="31" t="s">
        <v>163</v>
      </c>
      <c r="Z91" s="33" t="s">
        <v>87</v>
      </c>
      <c r="AA91" s="45"/>
      <c r="AB91" s="32"/>
      <c r="AC91" s="34"/>
      <c r="AD91" s="32" t="s">
        <v>508</v>
      </c>
      <c r="AE91" s="34"/>
      <c r="AF91" s="34" t="s">
        <v>464</v>
      </c>
      <c r="AG91" s="41">
        <v>2</v>
      </c>
      <c r="AH91" s="41">
        <v>3</v>
      </c>
      <c r="AI91" s="33">
        <f t="shared" si="10"/>
        <v>6</v>
      </c>
      <c r="AJ91" s="33" t="str">
        <f t="shared" si="11"/>
        <v>MEDIO</v>
      </c>
      <c r="AK91" s="33">
        <v>10</v>
      </c>
      <c r="AL91" s="33">
        <f t="shared" si="14"/>
        <v>60</v>
      </c>
      <c r="AM91" s="33" t="str">
        <f t="shared" si="19"/>
        <v>RIESGO ACEPTABLE</v>
      </c>
      <c r="AN91" s="33"/>
      <c r="AO91" s="32"/>
      <c r="AP91" s="34"/>
      <c r="AQ91" s="32" t="s">
        <v>509</v>
      </c>
      <c r="AR91" s="34"/>
      <c r="AS91" s="61" t="s">
        <v>466</v>
      </c>
    </row>
    <row r="92" spans="1:45" s="8" customFormat="1" ht="48" x14ac:dyDescent="0.25">
      <c r="A92" s="195"/>
      <c r="B92" s="198"/>
      <c r="C92" s="166"/>
      <c r="D92" s="200"/>
      <c r="E92" s="49" t="s">
        <v>87</v>
      </c>
      <c r="F92" s="152"/>
      <c r="G92" s="207"/>
      <c r="H92" s="34" t="s">
        <v>149</v>
      </c>
      <c r="I92" s="32" t="s">
        <v>1243</v>
      </c>
      <c r="J92" s="40" t="s">
        <v>510</v>
      </c>
      <c r="K92" s="32" t="s">
        <v>104</v>
      </c>
      <c r="L92" s="68" t="s">
        <v>327</v>
      </c>
      <c r="M92" s="73" t="s">
        <v>332</v>
      </c>
      <c r="N92" s="73" t="s">
        <v>84</v>
      </c>
      <c r="O92" s="73" t="s">
        <v>511</v>
      </c>
      <c r="P92" s="70">
        <v>2</v>
      </c>
      <c r="Q92" s="41">
        <v>3</v>
      </c>
      <c r="R92" s="33">
        <f t="shared" si="13"/>
        <v>6</v>
      </c>
      <c r="S92" s="33" t="str">
        <f t="shared" si="15"/>
        <v>MEDIO</v>
      </c>
      <c r="T92" s="33">
        <v>10</v>
      </c>
      <c r="U92" s="75">
        <f t="shared" si="16"/>
        <v>60</v>
      </c>
      <c r="V92" s="33" t="str">
        <f t="shared" si="17"/>
        <v>lll</v>
      </c>
      <c r="W92" s="74" t="str">
        <f t="shared" si="18"/>
        <v>SI</v>
      </c>
      <c r="X92" s="33">
        <v>8</v>
      </c>
      <c r="Y92" s="31" t="s">
        <v>143</v>
      </c>
      <c r="Z92" s="33" t="s">
        <v>87</v>
      </c>
      <c r="AA92" s="45"/>
      <c r="AB92" s="34"/>
      <c r="AC92" s="34"/>
      <c r="AD92" s="42" t="s">
        <v>1332</v>
      </c>
      <c r="AE92" s="34"/>
      <c r="AF92" s="34" t="s">
        <v>464</v>
      </c>
      <c r="AG92" s="41">
        <v>2</v>
      </c>
      <c r="AH92" s="41">
        <v>3</v>
      </c>
      <c r="AI92" s="33">
        <f t="shared" si="10"/>
        <v>6</v>
      </c>
      <c r="AJ92" s="33" t="str">
        <f t="shared" si="11"/>
        <v>MEDIO</v>
      </c>
      <c r="AK92" s="33">
        <v>10</v>
      </c>
      <c r="AL92" s="33">
        <f t="shared" si="14"/>
        <v>60</v>
      </c>
      <c r="AM92" s="33" t="str">
        <f t="shared" si="19"/>
        <v>RIESGO ACEPTABLE</v>
      </c>
      <c r="AN92" s="33"/>
      <c r="AO92" s="34"/>
      <c r="AP92" s="34"/>
      <c r="AQ92" s="42" t="s">
        <v>1333</v>
      </c>
      <c r="AR92" s="34"/>
      <c r="AS92" s="61" t="s">
        <v>466</v>
      </c>
    </row>
    <row r="93" spans="1:45" s="8" customFormat="1" ht="48" x14ac:dyDescent="0.25">
      <c r="A93" s="195"/>
      <c r="B93" s="198"/>
      <c r="C93" s="166"/>
      <c r="D93" s="196" t="s">
        <v>514</v>
      </c>
      <c r="E93" s="49" t="s">
        <v>87</v>
      </c>
      <c r="F93" s="152" t="s">
        <v>515</v>
      </c>
      <c r="G93" s="47" t="s">
        <v>516</v>
      </c>
      <c r="H93" s="34" t="s">
        <v>183</v>
      </c>
      <c r="I93" s="34" t="s">
        <v>1245</v>
      </c>
      <c r="J93" s="34" t="s">
        <v>517</v>
      </c>
      <c r="K93" s="32" t="s">
        <v>104</v>
      </c>
      <c r="L93" s="68" t="s">
        <v>185</v>
      </c>
      <c r="M93" s="73" t="s">
        <v>332</v>
      </c>
      <c r="N93" s="73" t="s">
        <v>161</v>
      </c>
      <c r="O93" s="73" t="s">
        <v>461</v>
      </c>
      <c r="P93" s="70">
        <v>2</v>
      </c>
      <c r="Q93" s="41">
        <v>3</v>
      </c>
      <c r="R93" s="33">
        <f t="shared" si="13"/>
        <v>6</v>
      </c>
      <c r="S93" s="33" t="str">
        <f t="shared" si="15"/>
        <v>MEDIO</v>
      </c>
      <c r="T93" s="33">
        <v>10</v>
      </c>
      <c r="U93" s="75">
        <f t="shared" si="16"/>
        <v>60</v>
      </c>
      <c r="V93" s="33" t="str">
        <f t="shared" si="17"/>
        <v>lll</v>
      </c>
      <c r="W93" s="74" t="str">
        <f t="shared" si="18"/>
        <v>SI</v>
      </c>
      <c r="X93" s="33">
        <v>8</v>
      </c>
      <c r="Y93" s="31" t="s">
        <v>178</v>
      </c>
      <c r="Z93" s="33" t="s">
        <v>87</v>
      </c>
      <c r="AA93" s="45"/>
      <c r="AB93" s="34"/>
      <c r="AC93" s="40"/>
      <c r="AD93" s="42" t="s">
        <v>518</v>
      </c>
      <c r="AE93" s="34" t="s">
        <v>519</v>
      </c>
      <c r="AF93" s="34" t="s">
        <v>464</v>
      </c>
      <c r="AG93" s="41">
        <v>2</v>
      </c>
      <c r="AH93" s="41">
        <v>3</v>
      </c>
      <c r="AI93" s="33">
        <f t="shared" si="10"/>
        <v>6</v>
      </c>
      <c r="AJ93" s="33" t="str">
        <f t="shared" si="11"/>
        <v>MEDIO</v>
      </c>
      <c r="AK93" s="33">
        <v>10</v>
      </c>
      <c r="AL93" s="33">
        <f t="shared" si="14"/>
        <v>60</v>
      </c>
      <c r="AM93" s="33" t="str">
        <f t="shared" si="19"/>
        <v>RIESGO ACEPTABLE</v>
      </c>
      <c r="AN93" s="33"/>
      <c r="AO93" s="34"/>
      <c r="AP93" s="40"/>
      <c r="AQ93" s="42" t="s">
        <v>520</v>
      </c>
      <c r="AR93" s="34" t="s">
        <v>519</v>
      </c>
      <c r="AS93" s="61" t="s">
        <v>466</v>
      </c>
    </row>
    <row r="94" spans="1:45" s="8" customFormat="1" ht="67.2" x14ac:dyDescent="0.25">
      <c r="A94" s="195"/>
      <c r="B94" s="198"/>
      <c r="C94" s="166"/>
      <c r="D94" s="196"/>
      <c r="E94" s="49" t="s">
        <v>87</v>
      </c>
      <c r="F94" s="152"/>
      <c r="G94" s="47" t="s">
        <v>516</v>
      </c>
      <c r="H94" s="34" t="s">
        <v>316</v>
      </c>
      <c r="I94" s="32" t="s">
        <v>1242</v>
      </c>
      <c r="J94" s="32" t="s">
        <v>521</v>
      </c>
      <c r="K94" s="32" t="s">
        <v>104</v>
      </c>
      <c r="L94" s="68" t="s">
        <v>83</v>
      </c>
      <c r="M94" s="73" t="s">
        <v>332</v>
      </c>
      <c r="N94" s="73" t="s">
        <v>106</v>
      </c>
      <c r="O94" s="73" t="s">
        <v>522</v>
      </c>
      <c r="P94" s="70">
        <v>2</v>
      </c>
      <c r="Q94" s="41">
        <v>3</v>
      </c>
      <c r="R94" s="33">
        <f t="shared" si="13"/>
        <v>6</v>
      </c>
      <c r="S94" s="33" t="str">
        <f t="shared" si="15"/>
        <v>MEDIO</v>
      </c>
      <c r="T94" s="33">
        <v>10</v>
      </c>
      <c r="U94" s="75">
        <f t="shared" si="16"/>
        <v>60</v>
      </c>
      <c r="V94" s="33" t="str">
        <f t="shared" si="17"/>
        <v>lll</v>
      </c>
      <c r="W94" s="74" t="str">
        <f t="shared" si="18"/>
        <v>SI</v>
      </c>
      <c r="X94" s="33">
        <v>8</v>
      </c>
      <c r="Y94" s="31" t="s">
        <v>108</v>
      </c>
      <c r="Z94" s="33" t="s">
        <v>87</v>
      </c>
      <c r="AA94" s="45"/>
      <c r="AB94" s="34"/>
      <c r="AC94" s="40"/>
      <c r="AD94" s="34" t="s">
        <v>523</v>
      </c>
      <c r="AE94" s="34" t="s">
        <v>524</v>
      </c>
      <c r="AF94" s="34" t="s">
        <v>464</v>
      </c>
      <c r="AG94" s="41">
        <v>2</v>
      </c>
      <c r="AH94" s="41">
        <v>3</v>
      </c>
      <c r="AI94" s="33">
        <f t="shared" si="10"/>
        <v>6</v>
      </c>
      <c r="AJ94" s="33" t="str">
        <f t="shared" si="11"/>
        <v>MEDIO</v>
      </c>
      <c r="AK94" s="33">
        <v>10</v>
      </c>
      <c r="AL94" s="33">
        <f t="shared" si="14"/>
        <v>60</v>
      </c>
      <c r="AM94" s="33" t="str">
        <f t="shared" si="19"/>
        <v>RIESGO ACEPTABLE</v>
      </c>
      <c r="AN94" s="33"/>
      <c r="AO94" s="34"/>
      <c r="AP94" s="34"/>
      <c r="AQ94" s="34" t="s">
        <v>525</v>
      </c>
      <c r="AR94" s="34" t="s">
        <v>524</v>
      </c>
      <c r="AS94" s="61" t="s">
        <v>466</v>
      </c>
    </row>
    <row r="95" spans="1:45" s="8" customFormat="1" ht="86.4" x14ac:dyDescent="0.25">
      <c r="A95" s="195"/>
      <c r="B95" s="198"/>
      <c r="C95" s="166"/>
      <c r="D95" s="196"/>
      <c r="E95" s="32" t="s">
        <v>87</v>
      </c>
      <c r="F95" s="152"/>
      <c r="G95" s="47" t="s">
        <v>516</v>
      </c>
      <c r="H95" s="34" t="s">
        <v>205</v>
      </c>
      <c r="I95" s="32" t="s">
        <v>1242</v>
      </c>
      <c r="J95" s="40" t="s">
        <v>526</v>
      </c>
      <c r="K95" s="32" t="s">
        <v>104</v>
      </c>
      <c r="L95" s="68" t="s">
        <v>207</v>
      </c>
      <c r="M95" s="73" t="s">
        <v>332</v>
      </c>
      <c r="N95" s="73" t="s">
        <v>106</v>
      </c>
      <c r="O95" s="73" t="s">
        <v>527</v>
      </c>
      <c r="P95" s="70">
        <v>2</v>
      </c>
      <c r="Q95" s="41">
        <v>3</v>
      </c>
      <c r="R95" s="33">
        <f t="shared" si="13"/>
        <v>6</v>
      </c>
      <c r="S95" s="33" t="str">
        <f t="shared" si="15"/>
        <v>MEDIO</v>
      </c>
      <c r="T95" s="33">
        <v>25</v>
      </c>
      <c r="U95" s="75">
        <f t="shared" si="16"/>
        <v>150</v>
      </c>
      <c r="V95" s="33" t="str">
        <f t="shared" si="17"/>
        <v>ll</v>
      </c>
      <c r="W95" s="74" t="str">
        <f t="shared" si="18"/>
        <v>NO</v>
      </c>
      <c r="X95" s="33">
        <v>8</v>
      </c>
      <c r="Y95" s="31" t="s">
        <v>209</v>
      </c>
      <c r="Z95" s="33" t="s">
        <v>87</v>
      </c>
      <c r="AA95" s="45"/>
      <c r="AB95" s="34"/>
      <c r="AC95" s="40" t="s">
        <v>528</v>
      </c>
      <c r="AD95" s="34" t="s">
        <v>529</v>
      </c>
      <c r="AE95" s="34" t="s">
        <v>530</v>
      </c>
      <c r="AF95" s="34" t="s">
        <v>464</v>
      </c>
      <c r="AG95" s="41">
        <v>2</v>
      </c>
      <c r="AH95" s="41">
        <v>3</v>
      </c>
      <c r="AI95" s="33">
        <f t="shared" si="10"/>
        <v>6</v>
      </c>
      <c r="AJ95" s="33" t="str">
        <f t="shared" si="11"/>
        <v>MEDIO</v>
      </c>
      <c r="AK95" s="33">
        <v>10</v>
      </c>
      <c r="AL95" s="33">
        <f t="shared" si="14"/>
        <v>60</v>
      </c>
      <c r="AM95" s="33" t="str">
        <f t="shared" si="19"/>
        <v>RIESGO ACEPTABLE</v>
      </c>
      <c r="AN95" s="33"/>
      <c r="AO95" s="34"/>
      <c r="AP95" s="40" t="s">
        <v>528</v>
      </c>
      <c r="AQ95" s="34" t="s">
        <v>531</v>
      </c>
      <c r="AR95" s="34" t="s">
        <v>530</v>
      </c>
      <c r="AS95" s="61" t="s">
        <v>466</v>
      </c>
    </row>
    <row r="96" spans="1:45" s="8" customFormat="1" ht="48" x14ac:dyDescent="0.25">
      <c r="A96" s="195"/>
      <c r="B96" s="198"/>
      <c r="C96" s="166"/>
      <c r="D96" s="196"/>
      <c r="E96" s="49" t="s">
        <v>87</v>
      </c>
      <c r="F96" s="152"/>
      <c r="G96" s="47" t="s">
        <v>516</v>
      </c>
      <c r="H96" s="34" t="s">
        <v>138</v>
      </c>
      <c r="I96" s="32" t="s">
        <v>1236</v>
      </c>
      <c r="J96" s="40" t="s">
        <v>532</v>
      </c>
      <c r="K96" s="32" t="s">
        <v>104</v>
      </c>
      <c r="L96" s="68" t="s">
        <v>475</v>
      </c>
      <c r="M96" s="73" t="s">
        <v>332</v>
      </c>
      <c r="N96" s="73" t="s">
        <v>161</v>
      </c>
      <c r="O96" s="73" t="s">
        <v>142</v>
      </c>
      <c r="P96" s="70">
        <v>2</v>
      </c>
      <c r="Q96" s="41">
        <v>2</v>
      </c>
      <c r="R96" s="33">
        <f t="shared" si="13"/>
        <v>4</v>
      </c>
      <c r="S96" s="33" t="str">
        <f t="shared" si="15"/>
        <v>BAJO</v>
      </c>
      <c r="T96" s="33">
        <v>25</v>
      </c>
      <c r="U96" s="75">
        <f t="shared" si="16"/>
        <v>100</v>
      </c>
      <c r="V96" s="33" t="str">
        <f t="shared" si="17"/>
        <v>lll</v>
      </c>
      <c r="W96" s="74" t="str">
        <f t="shared" si="18"/>
        <v>SI</v>
      </c>
      <c r="X96" s="33">
        <v>8</v>
      </c>
      <c r="Y96" s="31" t="s">
        <v>143</v>
      </c>
      <c r="Z96" s="33" t="s">
        <v>87</v>
      </c>
      <c r="AA96" s="45"/>
      <c r="AB96" s="34"/>
      <c r="AC96" s="42"/>
      <c r="AD96" s="42" t="s">
        <v>1334</v>
      </c>
      <c r="AE96" s="34"/>
      <c r="AF96" s="34" t="s">
        <v>464</v>
      </c>
      <c r="AG96" s="41">
        <v>2</v>
      </c>
      <c r="AH96" s="41">
        <v>3</v>
      </c>
      <c r="AI96" s="33">
        <f t="shared" si="10"/>
        <v>6</v>
      </c>
      <c r="AJ96" s="33" t="str">
        <f t="shared" si="11"/>
        <v>MEDIO</v>
      </c>
      <c r="AK96" s="33">
        <v>10</v>
      </c>
      <c r="AL96" s="33">
        <f t="shared" si="14"/>
        <v>60</v>
      </c>
      <c r="AM96" s="33" t="str">
        <f t="shared" si="19"/>
        <v>RIESGO ACEPTABLE</v>
      </c>
      <c r="AN96" s="33"/>
      <c r="AO96" s="34"/>
      <c r="AP96" s="34"/>
      <c r="AQ96" s="42" t="s">
        <v>1335</v>
      </c>
      <c r="AR96" s="34"/>
      <c r="AS96" s="61" t="s">
        <v>466</v>
      </c>
    </row>
    <row r="97" spans="1:152" s="8" customFormat="1" ht="38.4" x14ac:dyDescent="0.25">
      <c r="A97" s="195"/>
      <c r="B97" s="198"/>
      <c r="C97" s="166"/>
      <c r="D97" s="196"/>
      <c r="E97" s="49" t="s">
        <v>87</v>
      </c>
      <c r="F97" s="152"/>
      <c r="G97" s="47" t="s">
        <v>516</v>
      </c>
      <c r="H97" s="34" t="s">
        <v>214</v>
      </c>
      <c r="I97" s="32" t="s">
        <v>1236</v>
      </c>
      <c r="J97" s="34" t="s">
        <v>535</v>
      </c>
      <c r="K97" s="32" t="s">
        <v>104</v>
      </c>
      <c r="L97" s="68" t="s">
        <v>216</v>
      </c>
      <c r="M97" s="73" t="s">
        <v>332</v>
      </c>
      <c r="N97" s="73" t="s">
        <v>161</v>
      </c>
      <c r="O97" s="73" t="s">
        <v>511</v>
      </c>
      <c r="P97" s="70">
        <v>2</v>
      </c>
      <c r="Q97" s="41">
        <v>3</v>
      </c>
      <c r="R97" s="33">
        <f t="shared" si="13"/>
        <v>6</v>
      </c>
      <c r="S97" s="33" t="str">
        <f t="shared" si="15"/>
        <v>MEDIO</v>
      </c>
      <c r="T97" s="33">
        <v>25</v>
      </c>
      <c r="U97" s="75">
        <f t="shared" si="16"/>
        <v>150</v>
      </c>
      <c r="V97" s="33" t="str">
        <f t="shared" si="17"/>
        <v>ll</v>
      </c>
      <c r="W97" s="74" t="str">
        <f t="shared" si="18"/>
        <v>NO</v>
      </c>
      <c r="X97" s="33">
        <v>8</v>
      </c>
      <c r="Y97" s="31" t="s">
        <v>218</v>
      </c>
      <c r="Z97" s="33" t="s">
        <v>87</v>
      </c>
      <c r="AA97" s="45"/>
      <c r="AB97" s="32"/>
      <c r="AC97" s="34"/>
      <c r="AD97" s="34" t="s">
        <v>1336</v>
      </c>
      <c r="AE97" s="34"/>
      <c r="AF97" s="34" t="s">
        <v>464</v>
      </c>
      <c r="AG97" s="41">
        <v>2</v>
      </c>
      <c r="AH97" s="41">
        <v>3</v>
      </c>
      <c r="AI97" s="33">
        <f t="shared" si="10"/>
        <v>6</v>
      </c>
      <c r="AJ97" s="33" t="str">
        <f t="shared" si="11"/>
        <v>MEDIO</v>
      </c>
      <c r="AK97" s="33">
        <v>10</v>
      </c>
      <c r="AL97" s="33">
        <f t="shared" si="14"/>
        <v>60</v>
      </c>
      <c r="AM97" s="33" t="str">
        <f t="shared" si="19"/>
        <v>RIESGO ACEPTABLE</v>
      </c>
      <c r="AN97" s="33"/>
      <c r="AO97" s="32"/>
      <c r="AP97" s="34"/>
      <c r="AQ97" s="34" t="s">
        <v>1337</v>
      </c>
      <c r="AR97" s="34"/>
      <c r="AS97" s="61" t="s">
        <v>466</v>
      </c>
    </row>
    <row r="98" spans="1:152" s="8" customFormat="1" ht="48" x14ac:dyDescent="0.25">
      <c r="A98" s="195"/>
      <c r="B98" s="198"/>
      <c r="C98" s="166"/>
      <c r="D98" s="196"/>
      <c r="E98" s="32" t="s">
        <v>87</v>
      </c>
      <c r="F98" s="152"/>
      <c r="G98" s="47" t="s">
        <v>516</v>
      </c>
      <c r="H98" s="34" t="s">
        <v>149</v>
      </c>
      <c r="I98" s="32" t="s">
        <v>1236</v>
      </c>
      <c r="J98" s="32" t="s">
        <v>538</v>
      </c>
      <c r="K98" s="32" t="s">
        <v>104</v>
      </c>
      <c r="L98" s="68" t="s">
        <v>327</v>
      </c>
      <c r="M98" s="73" t="s">
        <v>332</v>
      </c>
      <c r="N98" s="73" t="s">
        <v>161</v>
      </c>
      <c r="O98" s="73" t="s">
        <v>511</v>
      </c>
      <c r="P98" s="70">
        <v>2</v>
      </c>
      <c r="Q98" s="41">
        <v>3</v>
      </c>
      <c r="R98" s="33">
        <f t="shared" si="13"/>
        <v>6</v>
      </c>
      <c r="S98" s="33" t="str">
        <f t="shared" si="15"/>
        <v>MEDIO</v>
      </c>
      <c r="T98" s="33">
        <v>25</v>
      </c>
      <c r="U98" s="75">
        <f t="shared" si="16"/>
        <v>150</v>
      </c>
      <c r="V98" s="33" t="str">
        <f t="shared" si="17"/>
        <v>ll</v>
      </c>
      <c r="W98" s="74" t="str">
        <f t="shared" si="18"/>
        <v>NO</v>
      </c>
      <c r="X98" s="33">
        <v>8</v>
      </c>
      <c r="Y98" s="31" t="s">
        <v>143</v>
      </c>
      <c r="Z98" s="33" t="s">
        <v>87</v>
      </c>
      <c r="AA98" s="45"/>
      <c r="AB98" s="34"/>
      <c r="AC98" s="34"/>
      <c r="AD98" s="34" t="s">
        <v>1338</v>
      </c>
      <c r="AE98" s="34"/>
      <c r="AF98" s="34" t="s">
        <v>464</v>
      </c>
      <c r="AG98" s="41">
        <v>2</v>
      </c>
      <c r="AH98" s="41">
        <v>3</v>
      </c>
      <c r="AI98" s="33">
        <f t="shared" si="10"/>
        <v>6</v>
      </c>
      <c r="AJ98" s="33" t="str">
        <f t="shared" si="11"/>
        <v>MEDIO</v>
      </c>
      <c r="AK98" s="33">
        <v>10</v>
      </c>
      <c r="AL98" s="33">
        <f t="shared" si="14"/>
        <v>60</v>
      </c>
      <c r="AM98" s="33" t="str">
        <f t="shared" si="19"/>
        <v>RIESGO ACEPTABLE</v>
      </c>
      <c r="AN98" s="33"/>
      <c r="AO98" s="34"/>
      <c r="AP98" s="34"/>
      <c r="AQ98" s="34" t="s">
        <v>1339</v>
      </c>
      <c r="AR98" s="34"/>
      <c r="AS98" s="61" t="s">
        <v>466</v>
      </c>
    </row>
    <row r="99" spans="1:152" s="8" customFormat="1" ht="48" x14ac:dyDescent="0.25">
      <c r="A99" s="195"/>
      <c r="B99" s="198"/>
      <c r="C99" s="166"/>
      <c r="D99" s="196"/>
      <c r="E99" s="32" t="s">
        <v>87</v>
      </c>
      <c r="F99" s="152"/>
      <c r="G99" s="47" t="s">
        <v>516</v>
      </c>
      <c r="H99" s="34" t="s">
        <v>334</v>
      </c>
      <c r="I99" s="34" t="s">
        <v>1245</v>
      </c>
      <c r="J99" s="32" t="s">
        <v>541</v>
      </c>
      <c r="K99" s="32" t="s">
        <v>104</v>
      </c>
      <c r="L99" s="68" t="s">
        <v>542</v>
      </c>
      <c r="M99" s="73" t="s">
        <v>332</v>
      </c>
      <c r="N99" s="73" t="s">
        <v>161</v>
      </c>
      <c r="O99" s="73" t="s">
        <v>543</v>
      </c>
      <c r="P99" s="70">
        <v>6</v>
      </c>
      <c r="Q99" s="41">
        <v>3</v>
      </c>
      <c r="R99" s="33">
        <f t="shared" si="13"/>
        <v>18</v>
      </c>
      <c r="S99" s="33" t="str">
        <f t="shared" si="15"/>
        <v>ALTO</v>
      </c>
      <c r="T99" s="33">
        <v>25</v>
      </c>
      <c r="U99" s="75">
        <f t="shared" si="16"/>
        <v>450</v>
      </c>
      <c r="V99" s="33" t="str">
        <f t="shared" si="17"/>
        <v>ll</v>
      </c>
      <c r="W99" s="74" t="str">
        <f t="shared" si="18"/>
        <v>NO</v>
      </c>
      <c r="X99" s="33">
        <v>8</v>
      </c>
      <c r="Y99" s="31" t="s">
        <v>178</v>
      </c>
      <c r="Z99" s="33" t="s">
        <v>87</v>
      </c>
      <c r="AA99" s="45"/>
      <c r="AB99" s="34"/>
      <c r="AC99" s="34"/>
      <c r="AD99" s="34" t="s">
        <v>544</v>
      </c>
      <c r="AE99" s="34" t="s">
        <v>505</v>
      </c>
      <c r="AF99" s="34" t="s">
        <v>464</v>
      </c>
      <c r="AG99" s="41">
        <v>2</v>
      </c>
      <c r="AH99" s="41">
        <v>3</v>
      </c>
      <c r="AI99" s="33">
        <f t="shared" ref="AI99:AI160" si="20">AG99*AH99</f>
        <v>6</v>
      </c>
      <c r="AJ99" s="33" t="str">
        <f t="shared" ref="AJ99:AJ160" si="21">IF(AND(AI99&gt;=0,AI99&lt;=4),"BAJO",IF(AND(AI99&gt;=6,AI99&lt;=8),"MEDIO",IF(AND(AI99&gt;=10,AI99&lt;=20),"ALTO",IF(AND(AI99&gt;=24,AI99&lt;=40),"MUY ALTO"))))</f>
        <v>MEDIO</v>
      </c>
      <c r="AK99" s="33">
        <v>10</v>
      </c>
      <c r="AL99" s="33">
        <f t="shared" si="14"/>
        <v>60</v>
      </c>
      <c r="AM99" s="33" t="str">
        <f t="shared" si="19"/>
        <v>RIESGO ACEPTABLE</v>
      </c>
      <c r="AN99" s="33"/>
      <c r="AO99" s="34"/>
      <c r="AP99" s="34"/>
      <c r="AQ99" s="34" t="s">
        <v>545</v>
      </c>
      <c r="AR99" s="34"/>
      <c r="AS99" s="61" t="s">
        <v>466</v>
      </c>
    </row>
    <row r="100" spans="1:152" s="8" customFormat="1" ht="57.6" customHeight="1" x14ac:dyDescent="0.25">
      <c r="A100" s="195"/>
      <c r="B100" s="198"/>
      <c r="C100" s="166"/>
      <c r="D100" s="201" t="s">
        <v>546</v>
      </c>
      <c r="E100" s="32" t="s">
        <v>87</v>
      </c>
      <c r="F100" s="152" t="s">
        <v>547</v>
      </c>
      <c r="G100" s="47" t="s">
        <v>516</v>
      </c>
      <c r="H100" s="34" t="s">
        <v>183</v>
      </c>
      <c r="I100" s="34" t="s">
        <v>1245</v>
      </c>
      <c r="J100" s="34" t="s">
        <v>517</v>
      </c>
      <c r="K100" s="32" t="s">
        <v>104</v>
      </c>
      <c r="L100" s="68" t="s">
        <v>185</v>
      </c>
      <c r="M100" s="73" t="s">
        <v>332</v>
      </c>
      <c r="N100" s="73" t="s">
        <v>84</v>
      </c>
      <c r="O100" s="73" t="s">
        <v>548</v>
      </c>
      <c r="P100" s="70">
        <v>2</v>
      </c>
      <c r="Q100" s="41">
        <v>3</v>
      </c>
      <c r="R100" s="33">
        <f t="shared" si="13"/>
        <v>6</v>
      </c>
      <c r="S100" s="33" t="str">
        <f t="shared" si="15"/>
        <v>MEDIO</v>
      </c>
      <c r="T100" s="33">
        <v>25</v>
      </c>
      <c r="U100" s="75">
        <f t="shared" si="16"/>
        <v>150</v>
      </c>
      <c r="V100" s="33" t="str">
        <f t="shared" si="17"/>
        <v>ll</v>
      </c>
      <c r="W100" s="74" t="str">
        <f t="shared" si="18"/>
        <v>NO</v>
      </c>
      <c r="X100" s="33">
        <v>8</v>
      </c>
      <c r="Y100" s="31" t="s">
        <v>178</v>
      </c>
      <c r="Z100" s="33" t="s">
        <v>87</v>
      </c>
      <c r="AA100" s="45"/>
      <c r="AB100" s="34"/>
      <c r="AC100" s="40"/>
      <c r="AD100" s="42" t="s">
        <v>518</v>
      </c>
      <c r="AE100" s="34" t="s">
        <v>519</v>
      </c>
      <c r="AF100" s="34" t="s">
        <v>464</v>
      </c>
      <c r="AG100" s="41">
        <v>2</v>
      </c>
      <c r="AH100" s="41">
        <v>3</v>
      </c>
      <c r="AI100" s="33">
        <f t="shared" si="20"/>
        <v>6</v>
      </c>
      <c r="AJ100" s="33" t="str">
        <f t="shared" si="21"/>
        <v>MEDIO</v>
      </c>
      <c r="AK100" s="33">
        <v>10</v>
      </c>
      <c r="AL100" s="33">
        <f t="shared" si="14"/>
        <v>60</v>
      </c>
      <c r="AM100" s="33" t="str">
        <f t="shared" si="19"/>
        <v>RIESGO ACEPTABLE</v>
      </c>
      <c r="AN100" s="33"/>
      <c r="AO100" s="34"/>
      <c r="AP100" s="40"/>
      <c r="AQ100" s="42" t="s">
        <v>520</v>
      </c>
      <c r="AR100" s="34" t="s">
        <v>519</v>
      </c>
      <c r="AS100" s="61" t="s">
        <v>466</v>
      </c>
    </row>
    <row r="101" spans="1:152" s="8" customFormat="1" ht="67.2" x14ac:dyDescent="0.25">
      <c r="A101" s="195"/>
      <c r="B101" s="198"/>
      <c r="C101" s="166"/>
      <c r="D101" s="201"/>
      <c r="E101" s="32" t="s">
        <v>87</v>
      </c>
      <c r="F101" s="152"/>
      <c r="G101" s="47" t="s">
        <v>516</v>
      </c>
      <c r="H101" s="34" t="s">
        <v>316</v>
      </c>
      <c r="I101" s="32" t="s">
        <v>1242</v>
      </c>
      <c r="J101" s="32" t="s">
        <v>521</v>
      </c>
      <c r="K101" s="32" t="s">
        <v>104</v>
      </c>
      <c r="L101" s="68" t="s">
        <v>83</v>
      </c>
      <c r="M101" s="73" t="s">
        <v>332</v>
      </c>
      <c r="N101" s="73" t="s">
        <v>106</v>
      </c>
      <c r="O101" s="73" t="s">
        <v>549</v>
      </c>
      <c r="P101" s="70">
        <v>2</v>
      </c>
      <c r="Q101" s="41">
        <v>3</v>
      </c>
      <c r="R101" s="33">
        <f t="shared" si="13"/>
        <v>6</v>
      </c>
      <c r="S101" s="33" t="str">
        <f t="shared" si="15"/>
        <v>MEDIO</v>
      </c>
      <c r="T101" s="33">
        <v>10</v>
      </c>
      <c r="U101" s="75">
        <f t="shared" si="16"/>
        <v>60</v>
      </c>
      <c r="V101" s="33" t="str">
        <f t="shared" si="17"/>
        <v>lll</v>
      </c>
      <c r="W101" s="74" t="str">
        <f t="shared" si="18"/>
        <v>SI</v>
      </c>
      <c r="X101" s="33">
        <v>8</v>
      </c>
      <c r="Y101" s="31" t="s">
        <v>108</v>
      </c>
      <c r="Z101" s="33" t="s">
        <v>87</v>
      </c>
      <c r="AA101" s="45"/>
      <c r="AB101" s="34"/>
      <c r="AC101" s="40"/>
      <c r="AD101" s="34" t="s">
        <v>523</v>
      </c>
      <c r="AE101" s="34" t="s">
        <v>524</v>
      </c>
      <c r="AF101" s="34" t="s">
        <v>464</v>
      </c>
      <c r="AG101" s="41">
        <v>2</v>
      </c>
      <c r="AH101" s="41">
        <v>2</v>
      </c>
      <c r="AI101" s="33">
        <f t="shared" si="20"/>
        <v>4</v>
      </c>
      <c r="AJ101" s="33" t="str">
        <f t="shared" si="21"/>
        <v>BAJO</v>
      </c>
      <c r="AK101" s="33">
        <v>10</v>
      </c>
      <c r="AL101" s="33">
        <f t="shared" si="14"/>
        <v>40</v>
      </c>
      <c r="AM101" s="33" t="str">
        <f t="shared" si="19"/>
        <v>RIESGO ACEPTABLE</v>
      </c>
      <c r="AN101" s="33"/>
      <c r="AO101" s="34"/>
      <c r="AP101" s="34"/>
      <c r="AQ101" s="34" t="s">
        <v>525</v>
      </c>
      <c r="AR101" s="34" t="s">
        <v>524</v>
      </c>
      <c r="AS101" s="61" t="s">
        <v>466</v>
      </c>
    </row>
    <row r="102" spans="1:152" s="8" customFormat="1" ht="67.2" x14ac:dyDescent="0.25">
      <c r="A102" s="195"/>
      <c r="B102" s="198"/>
      <c r="C102" s="166"/>
      <c r="D102" s="201"/>
      <c r="E102" s="32" t="s">
        <v>87</v>
      </c>
      <c r="F102" s="152"/>
      <c r="G102" s="47" t="s">
        <v>516</v>
      </c>
      <c r="H102" s="34" t="s">
        <v>550</v>
      </c>
      <c r="I102" s="32" t="s">
        <v>1242</v>
      </c>
      <c r="J102" s="40" t="s">
        <v>551</v>
      </c>
      <c r="K102" s="32" t="s">
        <v>104</v>
      </c>
      <c r="L102" s="68" t="s">
        <v>552</v>
      </c>
      <c r="M102" s="73" t="s">
        <v>332</v>
      </c>
      <c r="N102" s="73" t="s">
        <v>106</v>
      </c>
      <c r="O102" s="73" t="s">
        <v>549</v>
      </c>
      <c r="P102" s="70">
        <v>2</v>
      </c>
      <c r="Q102" s="41">
        <v>3</v>
      </c>
      <c r="R102" s="33">
        <f t="shared" si="13"/>
        <v>6</v>
      </c>
      <c r="S102" s="33" t="str">
        <f t="shared" si="15"/>
        <v>MEDIO</v>
      </c>
      <c r="T102" s="33">
        <v>10</v>
      </c>
      <c r="U102" s="75">
        <f t="shared" si="16"/>
        <v>60</v>
      </c>
      <c r="V102" s="33" t="str">
        <f t="shared" si="17"/>
        <v>lll</v>
      </c>
      <c r="W102" s="74" t="str">
        <f t="shared" si="18"/>
        <v>SI</v>
      </c>
      <c r="X102" s="33">
        <v>8</v>
      </c>
      <c r="Y102" s="31" t="s">
        <v>108</v>
      </c>
      <c r="Z102" s="33" t="s">
        <v>87</v>
      </c>
      <c r="AA102" s="45"/>
      <c r="AB102" s="34"/>
      <c r="AC102" s="40"/>
      <c r="AD102" s="34" t="s">
        <v>553</v>
      </c>
      <c r="AE102" s="34" t="s">
        <v>530</v>
      </c>
      <c r="AF102" s="34" t="s">
        <v>464</v>
      </c>
      <c r="AG102" s="41">
        <v>2</v>
      </c>
      <c r="AH102" s="41">
        <v>3</v>
      </c>
      <c r="AI102" s="33">
        <f t="shared" si="20"/>
        <v>6</v>
      </c>
      <c r="AJ102" s="33" t="str">
        <f t="shared" si="21"/>
        <v>MEDIO</v>
      </c>
      <c r="AK102" s="33">
        <v>10</v>
      </c>
      <c r="AL102" s="33">
        <f t="shared" si="14"/>
        <v>60</v>
      </c>
      <c r="AM102" s="33" t="str">
        <f t="shared" si="19"/>
        <v>RIESGO ACEPTABLE</v>
      </c>
      <c r="AN102" s="33"/>
      <c r="AO102" s="34"/>
      <c r="AP102" s="40"/>
      <c r="AQ102" s="34" t="s">
        <v>554</v>
      </c>
      <c r="AR102" s="34" t="s">
        <v>555</v>
      </c>
      <c r="AS102" s="61" t="s">
        <v>466</v>
      </c>
    </row>
    <row r="103" spans="1:152" s="8" customFormat="1" ht="57.6" x14ac:dyDescent="0.25">
      <c r="A103" s="195"/>
      <c r="B103" s="198"/>
      <c r="C103" s="166"/>
      <c r="D103" s="201"/>
      <c r="E103" s="32" t="s">
        <v>87</v>
      </c>
      <c r="F103" s="152"/>
      <c r="G103" s="47" t="s">
        <v>516</v>
      </c>
      <c r="H103" s="34" t="s">
        <v>138</v>
      </c>
      <c r="I103" s="32" t="s">
        <v>1243</v>
      </c>
      <c r="J103" s="40" t="s">
        <v>532</v>
      </c>
      <c r="K103" s="32" t="s">
        <v>104</v>
      </c>
      <c r="L103" s="68" t="s">
        <v>475</v>
      </c>
      <c r="M103" s="73" t="s">
        <v>332</v>
      </c>
      <c r="N103" s="73" t="s">
        <v>84</v>
      </c>
      <c r="O103" s="73" t="s">
        <v>556</v>
      </c>
      <c r="P103" s="70">
        <v>2</v>
      </c>
      <c r="Q103" s="41">
        <v>2</v>
      </c>
      <c r="R103" s="33">
        <f t="shared" si="13"/>
        <v>4</v>
      </c>
      <c r="S103" s="33" t="str">
        <f t="shared" si="15"/>
        <v>BAJO</v>
      </c>
      <c r="T103" s="33">
        <v>10</v>
      </c>
      <c r="U103" s="75">
        <f t="shared" si="16"/>
        <v>40</v>
      </c>
      <c r="V103" s="33" t="str">
        <f t="shared" si="17"/>
        <v>lll</v>
      </c>
      <c r="W103" s="74" t="str">
        <f t="shared" si="18"/>
        <v>SI</v>
      </c>
      <c r="X103" s="33">
        <v>8</v>
      </c>
      <c r="Y103" s="31" t="s">
        <v>143</v>
      </c>
      <c r="Z103" s="33" t="s">
        <v>87</v>
      </c>
      <c r="AA103" s="45"/>
      <c r="AB103" s="34"/>
      <c r="AC103" s="42"/>
      <c r="AD103" s="42" t="s">
        <v>1340</v>
      </c>
      <c r="AE103" s="34"/>
      <c r="AF103" s="34" t="s">
        <v>464</v>
      </c>
      <c r="AG103" s="41">
        <v>2</v>
      </c>
      <c r="AH103" s="41">
        <v>3</v>
      </c>
      <c r="AI103" s="33">
        <f t="shared" si="20"/>
        <v>6</v>
      </c>
      <c r="AJ103" s="33" t="str">
        <f t="shared" si="21"/>
        <v>MEDIO</v>
      </c>
      <c r="AK103" s="33">
        <v>10</v>
      </c>
      <c r="AL103" s="33">
        <f t="shared" si="14"/>
        <v>60</v>
      </c>
      <c r="AM103" s="33" t="str">
        <f t="shared" si="19"/>
        <v>RIESGO ACEPTABLE</v>
      </c>
      <c r="AN103" s="33"/>
      <c r="AO103" s="34"/>
      <c r="AP103" s="34"/>
      <c r="AQ103" s="42" t="s">
        <v>1341</v>
      </c>
      <c r="AR103" s="34"/>
      <c r="AS103" s="61" t="s">
        <v>466</v>
      </c>
    </row>
    <row r="104" spans="1:152" s="8" customFormat="1" ht="38.4" x14ac:dyDescent="0.25">
      <c r="A104" s="195"/>
      <c r="B104" s="198"/>
      <c r="C104" s="166"/>
      <c r="D104" s="201"/>
      <c r="E104" s="32" t="s">
        <v>87</v>
      </c>
      <c r="F104" s="152"/>
      <c r="G104" s="47" t="s">
        <v>516</v>
      </c>
      <c r="H104" s="34" t="s">
        <v>214</v>
      </c>
      <c r="I104" s="32" t="s">
        <v>1243</v>
      </c>
      <c r="J104" s="34" t="s">
        <v>535</v>
      </c>
      <c r="K104" s="32" t="s">
        <v>104</v>
      </c>
      <c r="L104" s="68" t="s">
        <v>216</v>
      </c>
      <c r="M104" s="73" t="s">
        <v>332</v>
      </c>
      <c r="N104" s="73" t="s">
        <v>84</v>
      </c>
      <c r="O104" s="73" t="s">
        <v>217</v>
      </c>
      <c r="P104" s="70">
        <v>2</v>
      </c>
      <c r="Q104" s="41">
        <v>3</v>
      </c>
      <c r="R104" s="33">
        <f t="shared" si="13"/>
        <v>6</v>
      </c>
      <c r="S104" s="33" t="str">
        <f t="shared" si="15"/>
        <v>MEDIO</v>
      </c>
      <c r="T104" s="33">
        <v>10</v>
      </c>
      <c r="U104" s="75">
        <f t="shared" si="16"/>
        <v>60</v>
      </c>
      <c r="V104" s="33" t="str">
        <f t="shared" si="17"/>
        <v>lll</v>
      </c>
      <c r="W104" s="74" t="str">
        <f t="shared" si="18"/>
        <v>SI</v>
      </c>
      <c r="X104" s="33">
        <v>8</v>
      </c>
      <c r="Y104" s="31" t="s">
        <v>218</v>
      </c>
      <c r="Z104" s="33" t="s">
        <v>87</v>
      </c>
      <c r="AA104" s="45"/>
      <c r="AB104" s="32"/>
      <c r="AC104" s="34"/>
      <c r="AD104" s="34" t="s">
        <v>1336</v>
      </c>
      <c r="AE104" s="34"/>
      <c r="AF104" s="34" t="s">
        <v>464</v>
      </c>
      <c r="AG104" s="41">
        <v>2</v>
      </c>
      <c r="AH104" s="41">
        <v>3</v>
      </c>
      <c r="AI104" s="33">
        <f t="shared" si="20"/>
        <v>6</v>
      </c>
      <c r="AJ104" s="33" t="str">
        <f t="shared" si="21"/>
        <v>MEDIO</v>
      </c>
      <c r="AK104" s="33">
        <v>10</v>
      </c>
      <c r="AL104" s="33">
        <f t="shared" si="14"/>
        <v>60</v>
      </c>
      <c r="AM104" s="33" t="str">
        <f t="shared" si="19"/>
        <v>RIESGO ACEPTABLE</v>
      </c>
      <c r="AN104" s="33"/>
      <c r="AO104" s="32"/>
      <c r="AP104" s="34"/>
      <c r="AQ104" s="34" t="s">
        <v>1342</v>
      </c>
      <c r="AR104" s="34"/>
      <c r="AS104" s="61" t="s">
        <v>466</v>
      </c>
    </row>
    <row r="105" spans="1:152" s="8" customFormat="1" ht="57.6" x14ac:dyDescent="0.25">
      <c r="A105" s="195"/>
      <c r="B105" s="198"/>
      <c r="C105" s="166"/>
      <c r="D105" s="201"/>
      <c r="E105" s="32" t="s">
        <v>87</v>
      </c>
      <c r="F105" s="152"/>
      <c r="G105" s="47" t="s">
        <v>516</v>
      </c>
      <c r="H105" s="34" t="s">
        <v>149</v>
      </c>
      <c r="I105" s="32" t="s">
        <v>1243</v>
      </c>
      <c r="J105" s="32" t="s">
        <v>538</v>
      </c>
      <c r="K105" s="32" t="s">
        <v>104</v>
      </c>
      <c r="L105" s="68" t="s">
        <v>327</v>
      </c>
      <c r="M105" s="73" t="s">
        <v>332</v>
      </c>
      <c r="N105" s="73" t="s">
        <v>84</v>
      </c>
      <c r="O105" s="73" t="s">
        <v>556</v>
      </c>
      <c r="P105" s="70">
        <v>2</v>
      </c>
      <c r="Q105" s="41">
        <v>3</v>
      </c>
      <c r="R105" s="33">
        <f t="shared" si="13"/>
        <v>6</v>
      </c>
      <c r="S105" s="33" t="str">
        <f t="shared" si="15"/>
        <v>MEDIO</v>
      </c>
      <c r="T105" s="33">
        <v>10</v>
      </c>
      <c r="U105" s="75">
        <f t="shared" si="16"/>
        <v>60</v>
      </c>
      <c r="V105" s="33" t="str">
        <f t="shared" si="17"/>
        <v>lll</v>
      </c>
      <c r="W105" s="74" t="str">
        <f t="shared" si="18"/>
        <v>SI</v>
      </c>
      <c r="X105" s="33">
        <v>8</v>
      </c>
      <c r="Y105" s="31" t="s">
        <v>143</v>
      </c>
      <c r="Z105" s="33" t="s">
        <v>87</v>
      </c>
      <c r="AA105" s="45"/>
      <c r="AB105" s="34"/>
      <c r="AC105" s="34"/>
      <c r="AD105" s="42" t="s">
        <v>1343</v>
      </c>
      <c r="AE105" s="34"/>
      <c r="AF105" s="34" t="s">
        <v>464</v>
      </c>
      <c r="AG105" s="41">
        <v>2</v>
      </c>
      <c r="AH105" s="41">
        <v>3</v>
      </c>
      <c r="AI105" s="33">
        <f t="shared" si="20"/>
        <v>6</v>
      </c>
      <c r="AJ105" s="33" t="str">
        <f t="shared" si="21"/>
        <v>MEDIO</v>
      </c>
      <c r="AK105" s="33">
        <v>10</v>
      </c>
      <c r="AL105" s="33">
        <f t="shared" si="14"/>
        <v>60</v>
      </c>
      <c r="AM105" s="33" t="str">
        <f t="shared" si="19"/>
        <v>RIESGO ACEPTABLE</v>
      </c>
      <c r="AN105" s="33"/>
      <c r="AO105" s="34"/>
      <c r="AP105" s="34"/>
      <c r="AQ105" s="42" t="s">
        <v>1344</v>
      </c>
      <c r="AR105" s="34"/>
      <c r="AS105" s="61" t="s">
        <v>466</v>
      </c>
    </row>
    <row r="106" spans="1:152" s="8" customFormat="1" ht="48" x14ac:dyDescent="0.25">
      <c r="A106" s="195"/>
      <c r="B106" s="198"/>
      <c r="C106" s="166"/>
      <c r="D106" s="201"/>
      <c r="E106" s="32" t="s">
        <v>87</v>
      </c>
      <c r="F106" s="152"/>
      <c r="G106" s="47" t="s">
        <v>516</v>
      </c>
      <c r="H106" s="34" t="s">
        <v>334</v>
      </c>
      <c r="I106" s="34" t="s">
        <v>1245</v>
      </c>
      <c r="J106" s="32" t="s">
        <v>541</v>
      </c>
      <c r="K106" s="32" t="s">
        <v>104</v>
      </c>
      <c r="L106" s="68" t="s">
        <v>542</v>
      </c>
      <c r="M106" s="73" t="s">
        <v>332</v>
      </c>
      <c r="N106" s="73" t="s">
        <v>84</v>
      </c>
      <c r="O106" s="73" t="s">
        <v>559</v>
      </c>
      <c r="P106" s="70">
        <v>2</v>
      </c>
      <c r="Q106" s="41">
        <v>3</v>
      </c>
      <c r="R106" s="33">
        <f t="shared" si="13"/>
        <v>6</v>
      </c>
      <c r="S106" s="33" t="str">
        <f t="shared" si="15"/>
        <v>MEDIO</v>
      </c>
      <c r="T106" s="33">
        <v>10</v>
      </c>
      <c r="U106" s="75">
        <f t="shared" si="16"/>
        <v>60</v>
      </c>
      <c r="V106" s="33" t="str">
        <f t="shared" si="17"/>
        <v>lll</v>
      </c>
      <c r="W106" s="74" t="str">
        <f t="shared" si="18"/>
        <v>SI</v>
      </c>
      <c r="X106" s="33">
        <v>8</v>
      </c>
      <c r="Y106" s="31" t="s">
        <v>178</v>
      </c>
      <c r="Z106" s="33" t="s">
        <v>87</v>
      </c>
      <c r="AA106" s="45"/>
      <c r="AB106" s="34"/>
      <c r="AC106" s="34"/>
      <c r="AD106" s="34" t="s">
        <v>544</v>
      </c>
      <c r="AE106" s="34" t="s">
        <v>505</v>
      </c>
      <c r="AF106" s="34" t="s">
        <v>464</v>
      </c>
      <c r="AG106" s="41">
        <v>2</v>
      </c>
      <c r="AH106" s="41">
        <v>3</v>
      </c>
      <c r="AI106" s="33">
        <f t="shared" si="20"/>
        <v>6</v>
      </c>
      <c r="AJ106" s="33" t="str">
        <f t="shared" si="21"/>
        <v>MEDIO</v>
      </c>
      <c r="AK106" s="33">
        <v>10</v>
      </c>
      <c r="AL106" s="33">
        <f t="shared" si="14"/>
        <v>60</v>
      </c>
      <c r="AM106" s="33" t="str">
        <f t="shared" si="19"/>
        <v>RIESGO ACEPTABLE</v>
      </c>
      <c r="AN106" s="33"/>
      <c r="AO106" s="34"/>
      <c r="AP106" s="34"/>
      <c r="AQ106" s="34" t="s">
        <v>545</v>
      </c>
      <c r="AR106" s="34" t="s">
        <v>505</v>
      </c>
      <c r="AS106" s="61" t="s">
        <v>466</v>
      </c>
    </row>
    <row r="107" spans="1:152" s="8" customFormat="1" ht="49.8" customHeight="1" x14ac:dyDescent="0.25">
      <c r="A107" s="195"/>
      <c r="B107" s="198"/>
      <c r="C107" s="166"/>
      <c r="D107" s="201"/>
      <c r="E107" s="32" t="s">
        <v>87</v>
      </c>
      <c r="F107" s="152"/>
      <c r="G107" s="47" t="s">
        <v>516</v>
      </c>
      <c r="H107" s="34" t="s">
        <v>157</v>
      </c>
      <c r="I107" s="34" t="s">
        <v>1245</v>
      </c>
      <c r="J107" s="34" t="s">
        <v>560</v>
      </c>
      <c r="K107" s="32" t="s">
        <v>104</v>
      </c>
      <c r="L107" s="68" t="s">
        <v>160</v>
      </c>
      <c r="M107" s="73" t="s">
        <v>332</v>
      </c>
      <c r="N107" s="73" t="s">
        <v>84</v>
      </c>
      <c r="O107" s="73" t="s">
        <v>561</v>
      </c>
      <c r="P107" s="70">
        <v>2</v>
      </c>
      <c r="Q107" s="41">
        <v>3</v>
      </c>
      <c r="R107" s="33">
        <f t="shared" si="13"/>
        <v>6</v>
      </c>
      <c r="S107" s="33" t="str">
        <f t="shared" si="15"/>
        <v>MEDIO</v>
      </c>
      <c r="T107" s="33">
        <v>10</v>
      </c>
      <c r="U107" s="75">
        <f t="shared" si="16"/>
        <v>60</v>
      </c>
      <c r="V107" s="33" t="str">
        <f t="shared" si="17"/>
        <v>lll</v>
      </c>
      <c r="W107" s="74" t="str">
        <f t="shared" si="18"/>
        <v>SI</v>
      </c>
      <c r="X107" s="33">
        <v>8</v>
      </c>
      <c r="Y107" s="31" t="s">
        <v>163</v>
      </c>
      <c r="Z107" s="33" t="s">
        <v>87</v>
      </c>
      <c r="AA107" s="46"/>
      <c r="AB107" s="34"/>
      <c r="AC107" s="34"/>
      <c r="AD107" s="34" t="s">
        <v>562</v>
      </c>
      <c r="AE107" s="34" t="s">
        <v>563</v>
      </c>
      <c r="AF107" s="34" t="s">
        <v>464</v>
      </c>
      <c r="AG107" s="41">
        <v>2</v>
      </c>
      <c r="AH107" s="41">
        <v>3</v>
      </c>
      <c r="AI107" s="33">
        <f t="shared" si="20"/>
        <v>6</v>
      </c>
      <c r="AJ107" s="33" t="str">
        <f t="shared" si="21"/>
        <v>MEDIO</v>
      </c>
      <c r="AK107" s="33">
        <v>10</v>
      </c>
      <c r="AL107" s="33">
        <f t="shared" si="14"/>
        <v>60</v>
      </c>
      <c r="AM107" s="33" t="str">
        <f t="shared" si="19"/>
        <v>RIESGO ACEPTABLE</v>
      </c>
      <c r="AN107" s="33"/>
      <c r="AO107" s="34"/>
      <c r="AP107" s="34"/>
      <c r="AQ107" s="34" t="s">
        <v>564</v>
      </c>
      <c r="AR107" s="34" t="s">
        <v>563</v>
      </c>
      <c r="AS107" s="61" t="s">
        <v>466</v>
      </c>
    </row>
    <row r="108" spans="1:152" s="8" customFormat="1" ht="57.6" x14ac:dyDescent="0.25">
      <c r="A108" s="195"/>
      <c r="B108" s="198"/>
      <c r="C108" s="166"/>
      <c r="D108" s="196" t="s">
        <v>565</v>
      </c>
      <c r="E108" s="32" t="s">
        <v>87</v>
      </c>
      <c r="F108" s="152" t="s">
        <v>566</v>
      </c>
      <c r="G108" s="47" t="s">
        <v>516</v>
      </c>
      <c r="H108" s="34" t="s">
        <v>183</v>
      </c>
      <c r="I108" s="34" t="s">
        <v>1245</v>
      </c>
      <c r="J108" s="47" t="s">
        <v>567</v>
      </c>
      <c r="K108" s="32" t="s">
        <v>104</v>
      </c>
      <c r="L108" s="68" t="s">
        <v>185</v>
      </c>
      <c r="M108" s="73" t="s">
        <v>332</v>
      </c>
      <c r="N108" s="73" t="s">
        <v>84</v>
      </c>
      <c r="O108" s="73" t="s">
        <v>491</v>
      </c>
      <c r="P108" s="70">
        <v>2</v>
      </c>
      <c r="Q108" s="41">
        <v>3</v>
      </c>
      <c r="R108" s="33">
        <f t="shared" si="13"/>
        <v>6</v>
      </c>
      <c r="S108" s="33" t="str">
        <f t="shared" si="15"/>
        <v>MEDIO</v>
      </c>
      <c r="T108" s="33">
        <v>10</v>
      </c>
      <c r="U108" s="75">
        <f t="shared" si="16"/>
        <v>60</v>
      </c>
      <c r="V108" s="33" t="str">
        <f t="shared" si="17"/>
        <v>lll</v>
      </c>
      <c r="W108" s="74" t="str">
        <f t="shared" si="18"/>
        <v>SI</v>
      </c>
      <c r="X108" s="33">
        <v>8</v>
      </c>
      <c r="Y108" s="31" t="s">
        <v>178</v>
      </c>
      <c r="Z108" s="33" t="s">
        <v>87</v>
      </c>
      <c r="AA108" s="46"/>
      <c r="AB108" s="33"/>
      <c r="AC108" s="34"/>
      <c r="AD108" s="34" t="s">
        <v>568</v>
      </c>
      <c r="AE108" s="34" t="s">
        <v>569</v>
      </c>
      <c r="AF108" s="34" t="s">
        <v>464</v>
      </c>
      <c r="AG108" s="41">
        <v>2</v>
      </c>
      <c r="AH108" s="41">
        <v>3</v>
      </c>
      <c r="AI108" s="33">
        <f t="shared" si="20"/>
        <v>6</v>
      </c>
      <c r="AJ108" s="33" t="str">
        <f t="shared" si="21"/>
        <v>MEDIO</v>
      </c>
      <c r="AK108" s="33">
        <v>10</v>
      </c>
      <c r="AL108" s="33">
        <f t="shared" si="14"/>
        <v>60</v>
      </c>
      <c r="AM108" s="33" t="str">
        <f t="shared" si="19"/>
        <v>RIESGO ACEPTABLE</v>
      </c>
      <c r="AN108" s="34"/>
      <c r="AO108" s="34"/>
      <c r="AP108" s="34"/>
      <c r="AQ108" s="34" t="s">
        <v>570</v>
      </c>
      <c r="AR108" s="34" t="s">
        <v>569</v>
      </c>
      <c r="AS108" s="61" t="s">
        <v>464</v>
      </c>
    </row>
    <row r="109" spans="1:152" s="8" customFormat="1" ht="28.8" x14ac:dyDescent="0.25">
      <c r="A109" s="195"/>
      <c r="B109" s="198"/>
      <c r="C109" s="166"/>
      <c r="D109" s="196"/>
      <c r="E109" s="32" t="s">
        <v>87</v>
      </c>
      <c r="F109" s="152"/>
      <c r="G109" s="47" t="s">
        <v>516</v>
      </c>
      <c r="H109" s="34" t="s">
        <v>191</v>
      </c>
      <c r="I109" s="34" t="s">
        <v>1245</v>
      </c>
      <c r="J109" s="34" t="s">
        <v>571</v>
      </c>
      <c r="K109" s="32" t="s">
        <v>104</v>
      </c>
      <c r="L109" s="68" t="s">
        <v>193</v>
      </c>
      <c r="M109" s="73" t="s">
        <v>332</v>
      </c>
      <c r="N109" s="73" t="s">
        <v>84</v>
      </c>
      <c r="O109" s="73" t="s">
        <v>491</v>
      </c>
      <c r="P109" s="70">
        <v>2</v>
      </c>
      <c r="Q109" s="41">
        <v>3</v>
      </c>
      <c r="R109" s="33">
        <f t="shared" si="13"/>
        <v>6</v>
      </c>
      <c r="S109" s="33" t="str">
        <f t="shared" si="15"/>
        <v>MEDIO</v>
      </c>
      <c r="T109" s="33">
        <v>10</v>
      </c>
      <c r="U109" s="75">
        <f t="shared" si="16"/>
        <v>60</v>
      </c>
      <c r="V109" s="33" t="str">
        <f t="shared" si="17"/>
        <v>lll</v>
      </c>
      <c r="W109" s="74" t="str">
        <f t="shared" si="18"/>
        <v>SI</v>
      </c>
      <c r="X109" s="33">
        <v>8</v>
      </c>
      <c r="Y109" s="31" t="s">
        <v>195</v>
      </c>
      <c r="Z109" s="33" t="s">
        <v>87</v>
      </c>
      <c r="AA109" s="46"/>
      <c r="AB109" s="32"/>
      <c r="AC109" s="34"/>
      <c r="AD109" s="34" t="s">
        <v>572</v>
      </c>
      <c r="AE109" s="34"/>
      <c r="AF109" s="34" t="s">
        <v>464</v>
      </c>
      <c r="AG109" s="41">
        <v>2</v>
      </c>
      <c r="AH109" s="41">
        <v>3</v>
      </c>
      <c r="AI109" s="33">
        <f t="shared" si="20"/>
        <v>6</v>
      </c>
      <c r="AJ109" s="33" t="str">
        <f t="shared" si="21"/>
        <v>MEDIO</v>
      </c>
      <c r="AK109" s="33">
        <v>10</v>
      </c>
      <c r="AL109" s="33">
        <f t="shared" si="14"/>
        <v>60</v>
      </c>
      <c r="AM109" s="33" t="str">
        <f t="shared" si="19"/>
        <v>RIESGO ACEPTABLE</v>
      </c>
      <c r="AN109" s="33"/>
      <c r="AO109" s="32"/>
      <c r="AP109" s="34"/>
      <c r="AQ109" s="34" t="s">
        <v>573</v>
      </c>
      <c r="AR109" s="34"/>
      <c r="AS109" s="61" t="s">
        <v>466</v>
      </c>
    </row>
    <row r="110" spans="1:152" s="8" customFormat="1" ht="38.4" x14ac:dyDescent="0.25">
      <c r="A110" s="195"/>
      <c r="B110" s="198"/>
      <c r="C110" s="166"/>
      <c r="D110" s="196"/>
      <c r="E110" s="49" t="s">
        <v>87</v>
      </c>
      <c r="F110" s="152"/>
      <c r="G110" s="47" t="s">
        <v>516</v>
      </c>
      <c r="H110" s="34" t="s">
        <v>409</v>
      </c>
      <c r="I110" s="32" t="s">
        <v>1241</v>
      </c>
      <c r="J110" s="32" t="s">
        <v>574</v>
      </c>
      <c r="K110" s="32" t="s">
        <v>104</v>
      </c>
      <c r="L110" s="68" t="s">
        <v>411</v>
      </c>
      <c r="M110" s="73" t="s">
        <v>332</v>
      </c>
      <c r="N110" s="73" t="s">
        <v>332</v>
      </c>
      <c r="O110" s="73" t="s">
        <v>443</v>
      </c>
      <c r="P110" s="70">
        <v>2</v>
      </c>
      <c r="Q110" s="41">
        <v>3</v>
      </c>
      <c r="R110" s="33">
        <f t="shared" si="13"/>
        <v>6</v>
      </c>
      <c r="S110" s="33" t="str">
        <f t="shared" si="15"/>
        <v>MEDIO</v>
      </c>
      <c r="T110" s="33">
        <v>10</v>
      </c>
      <c r="U110" s="75">
        <f t="shared" si="16"/>
        <v>60</v>
      </c>
      <c r="V110" s="33" t="str">
        <f t="shared" si="17"/>
        <v>lll</v>
      </c>
      <c r="W110" s="74" t="str">
        <f t="shared" si="18"/>
        <v>SI</v>
      </c>
      <c r="X110" s="33">
        <v>8</v>
      </c>
      <c r="Y110" s="31" t="s">
        <v>413</v>
      </c>
      <c r="Z110" s="33" t="s">
        <v>87</v>
      </c>
      <c r="AA110" s="45"/>
      <c r="AB110" s="32"/>
      <c r="AC110" s="40"/>
      <c r="AD110" s="34" t="s">
        <v>575</v>
      </c>
      <c r="AE110" s="34" t="s">
        <v>190</v>
      </c>
      <c r="AF110" s="34" t="s">
        <v>576</v>
      </c>
      <c r="AG110" s="41">
        <v>2</v>
      </c>
      <c r="AH110" s="41">
        <v>3</v>
      </c>
      <c r="AI110" s="33">
        <f t="shared" si="20"/>
        <v>6</v>
      </c>
      <c r="AJ110" s="33" t="str">
        <f t="shared" si="21"/>
        <v>MEDIO</v>
      </c>
      <c r="AK110" s="33">
        <v>10</v>
      </c>
      <c r="AL110" s="33">
        <f t="shared" si="14"/>
        <v>60</v>
      </c>
      <c r="AM110" s="33" t="str">
        <f t="shared" si="19"/>
        <v>RIESGO ACEPTABLE</v>
      </c>
      <c r="AN110" s="33"/>
      <c r="AO110" s="32"/>
      <c r="AP110" s="40"/>
      <c r="AQ110" s="34" t="s">
        <v>575</v>
      </c>
      <c r="AR110" s="34"/>
      <c r="AS110" s="61" t="s">
        <v>466</v>
      </c>
    </row>
    <row r="111" spans="1:152" s="8" customFormat="1" ht="28.8" x14ac:dyDescent="0.25">
      <c r="A111" s="195"/>
      <c r="B111" s="198"/>
      <c r="C111" s="166"/>
      <c r="D111" s="196"/>
      <c r="E111" s="49" t="s">
        <v>87</v>
      </c>
      <c r="F111" s="152"/>
      <c r="G111" s="47" t="s">
        <v>516</v>
      </c>
      <c r="H111" s="34" t="s">
        <v>577</v>
      </c>
      <c r="I111" s="32" t="s">
        <v>1248</v>
      </c>
      <c r="J111" s="34" t="s">
        <v>578</v>
      </c>
      <c r="K111" s="32" t="s">
        <v>104</v>
      </c>
      <c r="L111" s="68" t="s">
        <v>579</v>
      </c>
      <c r="M111" s="73" t="s">
        <v>332</v>
      </c>
      <c r="N111" s="73" t="s">
        <v>84</v>
      </c>
      <c r="O111" s="73" t="s">
        <v>580</v>
      </c>
      <c r="P111" s="70">
        <v>2</v>
      </c>
      <c r="Q111" s="41">
        <v>3</v>
      </c>
      <c r="R111" s="33">
        <f t="shared" si="13"/>
        <v>6</v>
      </c>
      <c r="S111" s="33" t="str">
        <f t="shared" si="15"/>
        <v>MEDIO</v>
      </c>
      <c r="T111" s="33">
        <v>10</v>
      </c>
      <c r="U111" s="75">
        <f t="shared" si="16"/>
        <v>60</v>
      </c>
      <c r="V111" s="33" t="str">
        <f t="shared" si="17"/>
        <v>lll</v>
      </c>
      <c r="W111" s="74" t="str">
        <f t="shared" si="18"/>
        <v>SI</v>
      </c>
      <c r="X111" s="33">
        <v>8</v>
      </c>
      <c r="Y111" s="31" t="s">
        <v>581</v>
      </c>
      <c r="Z111" s="33" t="s">
        <v>87</v>
      </c>
      <c r="AA111" s="45"/>
      <c r="AB111" s="34"/>
      <c r="AC111" s="40"/>
      <c r="AD111" s="50" t="s">
        <v>582</v>
      </c>
      <c r="AE111" s="50" t="s">
        <v>190</v>
      </c>
      <c r="AF111" s="50" t="s">
        <v>582</v>
      </c>
      <c r="AG111" s="41">
        <v>2</v>
      </c>
      <c r="AH111" s="41">
        <v>3</v>
      </c>
      <c r="AI111" s="33">
        <f t="shared" si="20"/>
        <v>6</v>
      </c>
      <c r="AJ111" s="33" t="str">
        <f t="shared" si="21"/>
        <v>MEDIO</v>
      </c>
      <c r="AK111" s="33">
        <v>10</v>
      </c>
      <c r="AL111" s="33">
        <f t="shared" si="14"/>
        <v>60</v>
      </c>
      <c r="AM111" s="33" t="str">
        <f t="shared" si="19"/>
        <v>RIESGO ACEPTABLE</v>
      </c>
      <c r="AN111" s="33"/>
      <c r="AO111" s="34"/>
      <c r="AP111" s="40"/>
      <c r="AQ111" s="34" t="s">
        <v>583</v>
      </c>
      <c r="AR111" s="50" t="s">
        <v>190</v>
      </c>
      <c r="AS111" s="61" t="s">
        <v>466</v>
      </c>
    </row>
    <row r="112" spans="1:152" s="8" customFormat="1" ht="38.4" x14ac:dyDescent="0.25">
      <c r="A112" s="195"/>
      <c r="B112" s="198"/>
      <c r="C112" s="166"/>
      <c r="D112" s="196"/>
      <c r="E112" s="49" t="s">
        <v>87</v>
      </c>
      <c r="F112" s="152"/>
      <c r="G112" s="47" t="s">
        <v>516</v>
      </c>
      <c r="H112" s="34" t="s">
        <v>114</v>
      </c>
      <c r="I112" s="32" t="s">
        <v>1241</v>
      </c>
      <c r="J112" s="34" t="s">
        <v>263</v>
      </c>
      <c r="K112" s="34" t="s">
        <v>104</v>
      </c>
      <c r="L112" s="68" t="s">
        <v>117</v>
      </c>
      <c r="M112" s="73" t="s">
        <v>332</v>
      </c>
      <c r="N112" s="73" t="s">
        <v>84</v>
      </c>
      <c r="O112" s="73" t="s">
        <v>264</v>
      </c>
      <c r="P112" s="70">
        <v>2</v>
      </c>
      <c r="Q112" s="41">
        <v>3</v>
      </c>
      <c r="R112" s="33">
        <f>P112*Q112</f>
        <v>6</v>
      </c>
      <c r="S112" s="33" t="str">
        <f t="shared" si="15"/>
        <v>MEDIO</v>
      </c>
      <c r="T112" s="33">
        <v>10</v>
      </c>
      <c r="U112" s="75">
        <f t="shared" si="16"/>
        <v>60</v>
      </c>
      <c r="V112" s="33" t="str">
        <f t="shared" si="17"/>
        <v>lll</v>
      </c>
      <c r="W112" s="74" t="str">
        <f t="shared" si="18"/>
        <v>SI</v>
      </c>
      <c r="X112" s="33">
        <v>8</v>
      </c>
      <c r="Y112" s="31" t="s">
        <v>119</v>
      </c>
      <c r="Z112" s="33" t="s">
        <v>87</v>
      </c>
      <c r="AA112" s="45"/>
      <c r="AB112" s="32"/>
      <c r="AC112" s="50" t="s">
        <v>120</v>
      </c>
      <c r="AD112" s="50" t="s">
        <v>121</v>
      </c>
      <c r="AE112" s="50" t="s">
        <v>407</v>
      </c>
      <c r="AF112" s="50" t="s">
        <v>408</v>
      </c>
      <c r="AG112" s="41">
        <v>2</v>
      </c>
      <c r="AH112" s="41">
        <v>3</v>
      </c>
      <c r="AI112" s="33">
        <f>AG112*AH112</f>
        <v>6</v>
      </c>
      <c r="AJ112" s="33" t="str">
        <f>IF(AND(AI112&gt;=0,AI112&lt;=4),"BAJO",IF(AND(AI112&gt;=6,AI112&lt;=8),"MEDIO",IF(AND(AI112&gt;=10,AI112&lt;=20),"ALTO",IF(AND(AI112&gt;=24,AI112&lt;=40),"MUY ALTO"))))</f>
        <v>MEDIO</v>
      </c>
      <c r="AK112" s="33">
        <v>10</v>
      </c>
      <c r="AL112" s="33">
        <f t="shared" si="14"/>
        <v>60</v>
      </c>
      <c r="AM112" s="33" t="str">
        <f t="shared" si="19"/>
        <v>RIESGO ACEPTABLE</v>
      </c>
      <c r="AN112" s="33"/>
      <c r="AO112" s="32"/>
      <c r="AP112" s="50" t="s">
        <v>266</v>
      </c>
      <c r="AQ112" s="50" t="s">
        <v>267</v>
      </c>
      <c r="AR112" s="50" t="s">
        <v>407</v>
      </c>
      <c r="AS112" s="62" t="s">
        <v>408</v>
      </c>
      <c r="EQ112" s="15"/>
      <c r="ER112" s="15"/>
      <c r="ES112" s="15"/>
      <c r="ET112" s="15"/>
      <c r="EU112" s="15"/>
      <c r="EV112" s="15"/>
    </row>
    <row r="113" spans="1:45" s="8" customFormat="1" ht="48" x14ac:dyDescent="0.25">
      <c r="A113" s="195"/>
      <c r="B113" s="198"/>
      <c r="C113" s="166"/>
      <c r="D113" s="196"/>
      <c r="E113" s="49" t="s">
        <v>87</v>
      </c>
      <c r="F113" s="152"/>
      <c r="G113" s="47" t="s">
        <v>516</v>
      </c>
      <c r="H113" s="34" t="s">
        <v>138</v>
      </c>
      <c r="I113" s="32" t="s">
        <v>1243</v>
      </c>
      <c r="J113" s="40" t="s">
        <v>584</v>
      </c>
      <c r="K113" s="32" t="s">
        <v>104</v>
      </c>
      <c r="L113" s="68" t="s">
        <v>475</v>
      </c>
      <c r="M113" s="73" t="s">
        <v>332</v>
      </c>
      <c r="N113" s="73" t="s">
        <v>161</v>
      </c>
      <c r="O113" s="73" t="s">
        <v>142</v>
      </c>
      <c r="P113" s="70">
        <v>2</v>
      </c>
      <c r="Q113" s="41">
        <v>2</v>
      </c>
      <c r="R113" s="33">
        <f t="shared" si="13"/>
        <v>4</v>
      </c>
      <c r="S113" s="33" t="str">
        <f t="shared" si="15"/>
        <v>BAJO</v>
      </c>
      <c r="T113" s="33">
        <v>10</v>
      </c>
      <c r="U113" s="75">
        <f t="shared" si="16"/>
        <v>40</v>
      </c>
      <c r="V113" s="33" t="str">
        <f t="shared" si="17"/>
        <v>lll</v>
      </c>
      <c r="W113" s="74" t="str">
        <f t="shared" si="18"/>
        <v>SI</v>
      </c>
      <c r="X113" s="33">
        <v>8</v>
      </c>
      <c r="Y113" s="31" t="s">
        <v>143</v>
      </c>
      <c r="Z113" s="33" t="s">
        <v>87</v>
      </c>
      <c r="AA113" s="45"/>
      <c r="AB113" s="34"/>
      <c r="AC113" s="34"/>
      <c r="AD113" s="34" t="s">
        <v>1345</v>
      </c>
      <c r="AE113" s="34"/>
      <c r="AF113" s="34" t="s">
        <v>586</v>
      </c>
      <c r="AG113" s="41">
        <v>2</v>
      </c>
      <c r="AH113" s="41">
        <v>3</v>
      </c>
      <c r="AI113" s="33">
        <f t="shared" si="20"/>
        <v>6</v>
      </c>
      <c r="AJ113" s="33" t="str">
        <f t="shared" si="21"/>
        <v>MEDIO</v>
      </c>
      <c r="AK113" s="33">
        <v>10</v>
      </c>
      <c r="AL113" s="33">
        <f t="shared" si="14"/>
        <v>60</v>
      </c>
      <c r="AM113" s="33" t="str">
        <f t="shared" si="19"/>
        <v>RIESGO ACEPTABLE</v>
      </c>
      <c r="AN113" s="33"/>
      <c r="AO113" s="34"/>
      <c r="AP113" s="34"/>
      <c r="AQ113" s="34" t="s">
        <v>1350</v>
      </c>
      <c r="AR113" s="34"/>
      <c r="AS113" s="61" t="s">
        <v>466</v>
      </c>
    </row>
    <row r="114" spans="1:45" s="8" customFormat="1" ht="48" x14ac:dyDescent="0.25">
      <c r="A114" s="195"/>
      <c r="B114" s="198"/>
      <c r="C114" s="166"/>
      <c r="D114" s="196"/>
      <c r="E114" s="49" t="s">
        <v>87</v>
      </c>
      <c r="F114" s="152"/>
      <c r="G114" s="47" t="s">
        <v>516</v>
      </c>
      <c r="H114" s="34" t="s">
        <v>227</v>
      </c>
      <c r="I114" s="34" t="s">
        <v>1249</v>
      </c>
      <c r="J114" s="32" t="s">
        <v>502</v>
      </c>
      <c r="K114" s="32" t="s">
        <v>104</v>
      </c>
      <c r="L114" s="68" t="s">
        <v>229</v>
      </c>
      <c r="M114" s="73" t="s">
        <v>332</v>
      </c>
      <c r="N114" s="73" t="s">
        <v>84</v>
      </c>
      <c r="O114" s="73" t="s">
        <v>559</v>
      </c>
      <c r="P114" s="70">
        <v>2</v>
      </c>
      <c r="Q114" s="41">
        <v>3</v>
      </c>
      <c r="R114" s="33">
        <f t="shared" si="13"/>
        <v>6</v>
      </c>
      <c r="S114" s="33" t="str">
        <f t="shared" si="15"/>
        <v>MEDIO</v>
      </c>
      <c r="T114" s="33">
        <v>10</v>
      </c>
      <c r="U114" s="75">
        <f t="shared" si="16"/>
        <v>60</v>
      </c>
      <c r="V114" s="33" t="str">
        <f t="shared" si="17"/>
        <v>lll</v>
      </c>
      <c r="W114" s="74" t="str">
        <f t="shared" si="18"/>
        <v>SI</v>
      </c>
      <c r="X114" s="33">
        <v>8</v>
      </c>
      <c r="Y114" s="31" t="s">
        <v>163</v>
      </c>
      <c r="Z114" s="33" t="s">
        <v>87</v>
      </c>
      <c r="AA114" s="45"/>
      <c r="AB114" s="34"/>
      <c r="AC114" s="42"/>
      <c r="AD114" s="42" t="s">
        <v>544</v>
      </c>
      <c r="AE114" s="34" t="s">
        <v>588</v>
      </c>
      <c r="AF114" s="34" t="s">
        <v>576</v>
      </c>
      <c r="AG114" s="41">
        <v>2</v>
      </c>
      <c r="AH114" s="41">
        <v>3</v>
      </c>
      <c r="AI114" s="33">
        <f t="shared" si="20"/>
        <v>6</v>
      </c>
      <c r="AJ114" s="33" t="str">
        <f t="shared" si="21"/>
        <v>MEDIO</v>
      </c>
      <c r="AK114" s="33">
        <v>10</v>
      </c>
      <c r="AL114" s="33">
        <f t="shared" si="14"/>
        <v>60</v>
      </c>
      <c r="AM114" s="33" t="str">
        <f t="shared" si="19"/>
        <v>RIESGO ACEPTABLE</v>
      </c>
      <c r="AN114" s="33"/>
      <c r="AO114" s="34"/>
      <c r="AP114" s="42"/>
      <c r="AQ114" s="42" t="s">
        <v>545</v>
      </c>
      <c r="AR114" s="34" t="s">
        <v>588</v>
      </c>
      <c r="AS114" s="61" t="s">
        <v>466</v>
      </c>
    </row>
    <row r="115" spans="1:45" s="8" customFormat="1" ht="48" x14ac:dyDescent="0.25">
      <c r="A115" s="195"/>
      <c r="B115" s="198"/>
      <c r="C115" s="166"/>
      <c r="D115" s="196"/>
      <c r="E115" s="49" t="s">
        <v>87</v>
      </c>
      <c r="F115" s="152"/>
      <c r="G115" s="47" t="s">
        <v>516</v>
      </c>
      <c r="H115" s="34" t="s">
        <v>157</v>
      </c>
      <c r="I115" s="34" t="s">
        <v>1249</v>
      </c>
      <c r="J115" s="40" t="s">
        <v>589</v>
      </c>
      <c r="K115" s="32" t="s">
        <v>104</v>
      </c>
      <c r="L115" s="68" t="s">
        <v>160</v>
      </c>
      <c r="M115" s="73" t="s">
        <v>332</v>
      </c>
      <c r="N115" s="73" t="s">
        <v>84</v>
      </c>
      <c r="O115" s="73" t="s">
        <v>590</v>
      </c>
      <c r="P115" s="70">
        <v>2</v>
      </c>
      <c r="Q115" s="41">
        <v>3</v>
      </c>
      <c r="R115" s="33">
        <f t="shared" si="13"/>
        <v>6</v>
      </c>
      <c r="S115" s="33" t="str">
        <f t="shared" si="15"/>
        <v>MEDIO</v>
      </c>
      <c r="T115" s="33">
        <v>10</v>
      </c>
      <c r="U115" s="75">
        <f t="shared" si="16"/>
        <v>60</v>
      </c>
      <c r="V115" s="33" t="str">
        <f t="shared" si="17"/>
        <v>lll</v>
      </c>
      <c r="W115" s="74" t="str">
        <f t="shared" si="18"/>
        <v>SI</v>
      </c>
      <c r="X115" s="33">
        <v>8</v>
      </c>
      <c r="Y115" s="31" t="s">
        <v>163</v>
      </c>
      <c r="Z115" s="33" t="s">
        <v>87</v>
      </c>
      <c r="AA115" s="45"/>
      <c r="AB115" s="34"/>
      <c r="AC115" s="40"/>
      <c r="AD115" s="42" t="s">
        <v>544</v>
      </c>
      <c r="AE115" s="34" t="s">
        <v>588</v>
      </c>
      <c r="AF115" s="34" t="s">
        <v>576</v>
      </c>
      <c r="AG115" s="41">
        <v>2</v>
      </c>
      <c r="AH115" s="41">
        <v>3</v>
      </c>
      <c r="AI115" s="33">
        <f t="shared" si="20"/>
        <v>6</v>
      </c>
      <c r="AJ115" s="33" t="str">
        <f t="shared" si="21"/>
        <v>MEDIO</v>
      </c>
      <c r="AK115" s="33">
        <v>10</v>
      </c>
      <c r="AL115" s="33">
        <f t="shared" si="14"/>
        <v>60</v>
      </c>
      <c r="AM115" s="33" t="str">
        <f t="shared" si="19"/>
        <v>RIESGO ACEPTABLE</v>
      </c>
      <c r="AN115" s="33"/>
      <c r="AO115" s="34"/>
      <c r="AP115" s="40"/>
      <c r="AQ115" s="42" t="s">
        <v>545</v>
      </c>
      <c r="AR115" s="34" t="s">
        <v>588</v>
      </c>
      <c r="AS115" s="61" t="s">
        <v>466</v>
      </c>
    </row>
    <row r="116" spans="1:45" s="8" customFormat="1" ht="45.6" x14ac:dyDescent="0.25">
      <c r="A116" s="195"/>
      <c r="B116" s="198"/>
      <c r="C116" s="166"/>
      <c r="D116" s="188" t="s">
        <v>591</v>
      </c>
      <c r="E116" s="32" t="s">
        <v>496</v>
      </c>
      <c r="F116" s="152" t="s">
        <v>515</v>
      </c>
      <c r="G116" s="47" t="s">
        <v>592</v>
      </c>
      <c r="H116" s="34" t="s">
        <v>183</v>
      </c>
      <c r="I116" s="34" t="s">
        <v>1245</v>
      </c>
      <c r="J116" s="32" t="s">
        <v>593</v>
      </c>
      <c r="K116" s="32" t="s">
        <v>104</v>
      </c>
      <c r="L116" s="68" t="s">
        <v>185</v>
      </c>
      <c r="M116" s="73" t="s">
        <v>332</v>
      </c>
      <c r="N116" s="73" t="s">
        <v>161</v>
      </c>
      <c r="O116" s="73" t="s">
        <v>594</v>
      </c>
      <c r="P116" s="70">
        <v>2</v>
      </c>
      <c r="Q116" s="41">
        <v>3</v>
      </c>
      <c r="R116" s="33">
        <f t="shared" si="13"/>
        <v>6</v>
      </c>
      <c r="S116" s="33" t="str">
        <f t="shared" si="15"/>
        <v>MEDIO</v>
      </c>
      <c r="T116" s="33">
        <v>10</v>
      </c>
      <c r="U116" s="75">
        <f t="shared" si="16"/>
        <v>60</v>
      </c>
      <c r="V116" s="33" t="str">
        <f t="shared" si="17"/>
        <v>lll</v>
      </c>
      <c r="W116" s="74" t="str">
        <f t="shared" si="18"/>
        <v>SI</v>
      </c>
      <c r="X116" s="33">
        <v>8</v>
      </c>
      <c r="Y116" s="31" t="s">
        <v>178</v>
      </c>
      <c r="Z116" s="33" t="s">
        <v>87</v>
      </c>
      <c r="AA116" s="45"/>
      <c r="AB116" s="32"/>
      <c r="AC116" s="34"/>
      <c r="AD116" s="42" t="s">
        <v>595</v>
      </c>
      <c r="AE116" s="34" t="s">
        <v>596</v>
      </c>
      <c r="AF116" s="34" t="s">
        <v>576</v>
      </c>
      <c r="AG116" s="41">
        <v>2</v>
      </c>
      <c r="AH116" s="41">
        <v>3</v>
      </c>
      <c r="AI116" s="33">
        <f t="shared" si="20"/>
        <v>6</v>
      </c>
      <c r="AJ116" s="33" t="str">
        <f t="shared" si="21"/>
        <v>MEDIO</v>
      </c>
      <c r="AK116" s="33">
        <v>25</v>
      </c>
      <c r="AL116" s="33">
        <f t="shared" si="14"/>
        <v>150</v>
      </c>
      <c r="AM116" s="33" t="str">
        <f t="shared" si="19"/>
        <v xml:space="preserve"> RIESGO ACEPTABLE CON CONTROL ESPECIFICO</v>
      </c>
      <c r="AN116" s="33"/>
      <c r="AO116" s="32"/>
      <c r="AP116" s="34"/>
      <c r="AQ116" s="42" t="s">
        <v>597</v>
      </c>
      <c r="AR116" s="34" t="s">
        <v>596</v>
      </c>
      <c r="AS116" s="61" t="s">
        <v>466</v>
      </c>
    </row>
    <row r="117" spans="1:45" s="8" customFormat="1" ht="57.6" x14ac:dyDescent="0.25">
      <c r="A117" s="195"/>
      <c r="B117" s="198"/>
      <c r="C117" s="166"/>
      <c r="D117" s="188"/>
      <c r="E117" s="32" t="s">
        <v>496</v>
      </c>
      <c r="F117" s="152"/>
      <c r="G117" s="47" t="s">
        <v>592</v>
      </c>
      <c r="H117" s="34" t="s">
        <v>191</v>
      </c>
      <c r="I117" s="34" t="s">
        <v>1245</v>
      </c>
      <c r="J117" s="32" t="s">
        <v>598</v>
      </c>
      <c r="K117" s="32" t="s">
        <v>104</v>
      </c>
      <c r="L117" s="68" t="s">
        <v>193</v>
      </c>
      <c r="M117" s="73" t="s">
        <v>332</v>
      </c>
      <c r="N117" s="73" t="s">
        <v>161</v>
      </c>
      <c r="O117" s="73" t="s">
        <v>186</v>
      </c>
      <c r="P117" s="70">
        <v>2</v>
      </c>
      <c r="Q117" s="41">
        <v>2</v>
      </c>
      <c r="R117" s="33">
        <f t="shared" si="13"/>
        <v>4</v>
      </c>
      <c r="S117" s="33" t="str">
        <f t="shared" si="15"/>
        <v>BAJO</v>
      </c>
      <c r="T117" s="33">
        <v>10</v>
      </c>
      <c r="U117" s="75">
        <f t="shared" si="16"/>
        <v>40</v>
      </c>
      <c r="V117" s="33" t="str">
        <f t="shared" si="17"/>
        <v>lll</v>
      </c>
      <c r="W117" s="74" t="str">
        <f t="shared" si="18"/>
        <v>SI</v>
      </c>
      <c r="X117" s="33">
        <v>8</v>
      </c>
      <c r="Y117" s="31" t="s">
        <v>195</v>
      </c>
      <c r="Z117" s="33" t="s">
        <v>87</v>
      </c>
      <c r="AA117" s="45"/>
      <c r="AB117" s="32"/>
      <c r="AC117" s="34"/>
      <c r="AD117" s="42" t="s">
        <v>599</v>
      </c>
      <c r="AE117" s="34" t="s">
        <v>600</v>
      </c>
      <c r="AF117" s="34" t="s">
        <v>576</v>
      </c>
      <c r="AG117" s="41">
        <v>2</v>
      </c>
      <c r="AH117" s="41">
        <v>2</v>
      </c>
      <c r="AI117" s="33">
        <f t="shared" si="20"/>
        <v>4</v>
      </c>
      <c r="AJ117" s="33" t="str">
        <f t="shared" si="21"/>
        <v>BAJO</v>
      </c>
      <c r="AK117" s="33">
        <v>10</v>
      </c>
      <c r="AL117" s="33">
        <f t="shared" si="14"/>
        <v>40</v>
      </c>
      <c r="AM117" s="33" t="str">
        <f t="shared" si="19"/>
        <v>RIESGO ACEPTABLE</v>
      </c>
      <c r="AN117" s="33"/>
      <c r="AO117" s="32"/>
      <c r="AP117" s="34"/>
      <c r="AQ117" s="42" t="s">
        <v>601</v>
      </c>
      <c r="AR117" s="34" t="s">
        <v>600</v>
      </c>
      <c r="AS117" s="61" t="s">
        <v>466</v>
      </c>
    </row>
    <row r="118" spans="1:45" s="8" customFormat="1" ht="67.2" x14ac:dyDescent="0.25">
      <c r="A118" s="195"/>
      <c r="B118" s="198"/>
      <c r="C118" s="166"/>
      <c r="D118" s="188"/>
      <c r="E118" s="32" t="s">
        <v>496</v>
      </c>
      <c r="F118" s="152"/>
      <c r="G118" s="47" t="s">
        <v>592</v>
      </c>
      <c r="H118" s="34" t="s">
        <v>380</v>
      </c>
      <c r="I118" s="32" t="s">
        <v>1246</v>
      </c>
      <c r="J118" s="34" t="s">
        <v>602</v>
      </c>
      <c r="K118" s="32" t="s">
        <v>104</v>
      </c>
      <c r="L118" s="68" t="s">
        <v>383</v>
      </c>
      <c r="M118" s="73" t="s">
        <v>332</v>
      </c>
      <c r="N118" s="73" t="s">
        <v>490</v>
      </c>
      <c r="O118" s="73" t="s">
        <v>603</v>
      </c>
      <c r="P118" s="70">
        <v>2</v>
      </c>
      <c r="Q118" s="41">
        <v>2</v>
      </c>
      <c r="R118" s="33">
        <f t="shared" si="13"/>
        <v>4</v>
      </c>
      <c r="S118" s="33" t="str">
        <f t="shared" si="15"/>
        <v>BAJO</v>
      </c>
      <c r="T118" s="33">
        <v>10</v>
      </c>
      <c r="U118" s="75">
        <f t="shared" si="16"/>
        <v>40</v>
      </c>
      <c r="V118" s="33" t="str">
        <f t="shared" si="17"/>
        <v>lll</v>
      </c>
      <c r="W118" s="74" t="str">
        <f t="shared" si="18"/>
        <v>SI</v>
      </c>
      <c r="X118" s="33">
        <v>8</v>
      </c>
      <c r="Y118" s="31" t="s">
        <v>385</v>
      </c>
      <c r="Z118" s="33" t="s">
        <v>87</v>
      </c>
      <c r="AA118" s="45"/>
      <c r="AB118" s="34"/>
      <c r="AC118" s="34"/>
      <c r="AD118" s="34" t="s">
        <v>604</v>
      </c>
      <c r="AE118" s="34" t="s">
        <v>605</v>
      </c>
      <c r="AF118" s="34" t="s">
        <v>576</v>
      </c>
      <c r="AG118" s="41">
        <v>2</v>
      </c>
      <c r="AH118" s="41">
        <v>2</v>
      </c>
      <c r="AI118" s="33">
        <f t="shared" si="20"/>
        <v>4</v>
      </c>
      <c r="AJ118" s="33" t="str">
        <f t="shared" si="21"/>
        <v>BAJO</v>
      </c>
      <c r="AK118" s="33">
        <v>10</v>
      </c>
      <c r="AL118" s="33">
        <f t="shared" si="14"/>
        <v>40</v>
      </c>
      <c r="AM118" s="33" t="str">
        <f t="shared" si="19"/>
        <v>RIESGO ACEPTABLE</v>
      </c>
      <c r="AN118" s="33"/>
      <c r="AO118" s="34"/>
      <c r="AP118" s="34"/>
      <c r="AQ118" s="34" t="s">
        <v>606</v>
      </c>
      <c r="AR118" s="34" t="s">
        <v>605</v>
      </c>
      <c r="AS118" s="61" t="s">
        <v>466</v>
      </c>
    </row>
    <row r="119" spans="1:45" s="8" customFormat="1" ht="67.2" x14ac:dyDescent="0.25">
      <c r="A119" s="195"/>
      <c r="B119" s="198"/>
      <c r="C119" s="166"/>
      <c r="D119" s="188"/>
      <c r="E119" s="32" t="s">
        <v>496</v>
      </c>
      <c r="F119" s="152"/>
      <c r="G119" s="47" t="s">
        <v>592</v>
      </c>
      <c r="H119" s="34" t="s">
        <v>316</v>
      </c>
      <c r="I119" s="32" t="s">
        <v>1242</v>
      </c>
      <c r="J119" s="32" t="s">
        <v>607</v>
      </c>
      <c r="K119" s="32" t="s">
        <v>104</v>
      </c>
      <c r="L119" s="68" t="s">
        <v>83</v>
      </c>
      <c r="M119" s="73" t="s">
        <v>332</v>
      </c>
      <c r="N119" s="73" t="s">
        <v>106</v>
      </c>
      <c r="O119" s="73" t="s">
        <v>608</v>
      </c>
      <c r="P119" s="70">
        <v>2</v>
      </c>
      <c r="Q119" s="41">
        <v>3</v>
      </c>
      <c r="R119" s="33">
        <f t="shared" si="13"/>
        <v>6</v>
      </c>
      <c r="S119" s="33" t="str">
        <f t="shared" si="15"/>
        <v>MEDIO</v>
      </c>
      <c r="T119" s="33">
        <v>10</v>
      </c>
      <c r="U119" s="75">
        <f t="shared" si="16"/>
        <v>60</v>
      </c>
      <c r="V119" s="33" t="str">
        <f t="shared" si="17"/>
        <v>lll</v>
      </c>
      <c r="W119" s="74" t="str">
        <f t="shared" si="18"/>
        <v>SI</v>
      </c>
      <c r="X119" s="33">
        <v>8</v>
      </c>
      <c r="Y119" s="31" t="s">
        <v>108</v>
      </c>
      <c r="Z119" s="33" t="s">
        <v>87</v>
      </c>
      <c r="AA119" s="45"/>
      <c r="AB119" s="34"/>
      <c r="AC119" s="34"/>
      <c r="AD119" s="42" t="s">
        <v>609</v>
      </c>
      <c r="AE119" s="34" t="s">
        <v>610</v>
      </c>
      <c r="AF119" s="34" t="s">
        <v>576</v>
      </c>
      <c r="AG119" s="41">
        <v>2</v>
      </c>
      <c r="AH119" s="41">
        <v>2</v>
      </c>
      <c r="AI119" s="33">
        <f t="shared" si="20"/>
        <v>4</v>
      </c>
      <c r="AJ119" s="33" t="str">
        <f t="shared" si="21"/>
        <v>BAJO</v>
      </c>
      <c r="AK119" s="33">
        <v>10</v>
      </c>
      <c r="AL119" s="33">
        <f t="shared" si="14"/>
        <v>40</v>
      </c>
      <c r="AM119" s="33" t="str">
        <f t="shared" si="19"/>
        <v>RIESGO ACEPTABLE</v>
      </c>
      <c r="AN119" s="33"/>
      <c r="AO119" s="34"/>
      <c r="AP119" s="34"/>
      <c r="AQ119" s="42" t="s">
        <v>611</v>
      </c>
      <c r="AR119" s="34" t="s">
        <v>610</v>
      </c>
      <c r="AS119" s="61" t="s">
        <v>466</v>
      </c>
    </row>
    <row r="120" spans="1:45" s="8" customFormat="1" ht="38.4" x14ac:dyDescent="0.25">
      <c r="A120" s="195"/>
      <c r="B120" s="198"/>
      <c r="C120" s="166"/>
      <c r="D120" s="188"/>
      <c r="E120" s="32" t="s">
        <v>496</v>
      </c>
      <c r="F120" s="152"/>
      <c r="G120" s="47" t="s">
        <v>592</v>
      </c>
      <c r="H120" s="34" t="s">
        <v>149</v>
      </c>
      <c r="I120" s="34" t="s">
        <v>1236</v>
      </c>
      <c r="J120" s="34" t="s">
        <v>612</v>
      </c>
      <c r="K120" s="32" t="s">
        <v>104</v>
      </c>
      <c r="L120" s="68" t="s">
        <v>327</v>
      </c>
      <c r="M120" s="73" t="s">
        <v>332</v>
      </c>
      <c r="N120" s="73" t="s">
        <v>490</v>
      </c>
      <c r="O120" s="73" t="s">
        <v>556</v>
      </c>
      <c r="P120" s="70">
        <v>2</v>
      </c>
      <c r="Q120" s="41">
        <v>2</v>
      </c>
      <c r="R120" s="33">
        <f t="shared" si="13"/>
        <v>4</v>
      </c>
      <c r="S120" s="33" t="str">
        <f t="shared" si="15"/>
        <v>BAJO</v>
      </c>
      <c r="T120" s="33">
        <v>10</v>
      </c>
      <c r="U120" s="75">
        <f t="shared" si="16"/>
        <v>40</v>
      </c>
      <c r="V120" s="33" t="str">
        <f t="shared" si="17"/>
        <v>lll</v>
      </c>
      <c r="W120" s="74" t="str">
        <f t="shared" si="18"/>
        <v>SI</v>
      </c>
      <c r="X120" s="33">
        <v>8</v>
      </c>
      <c r="Y120" s="31" t="s">
        <v>143</v>
      </c>
      <c r="Z120" s="33" t="s">
        <v>87</v>
      </c>
      <c r="AA120" s="45"/>
      <c r="AB120" s="32"/>
      <c r="AC120" s="34"/>
      <c r="AD120" s="34" t="s">
        <v>1346</v>
      </c>
      <c r="AE120" s="34"/>
      <c r="AF120" s="34" t="s">
        <v>576</v>
      </c>
      <c r="AG120" s="41">
        <v>2</v>
      </c>
      <c r="AH120" s="41">
        <v>2</v>
      </c>
      <c r="AI120" s="33">
        <f t="shared" si="20"/>
        <v>4</v>
      </c>
      <c r="AJ120" s="33" t="str">
        <f t="shared" si="21"/>
        <v>BAJO</v>
      </c>
      <c r="AK120" s="33">
        <v>10</v>
      </c>
      <c r="AL120" s="33">
        <f t="shared" si="14"/>
        <v>40</v>
      </c>
      <c r="AM120" s="33" t="str">
        <f t="shared" si="19"/>
        <v>RIESGO ACEPTABLE</v>
      </c>
      <c r="AN120" s="33"/>
      <c r="AO120" s="32"/>
      <c r="AP120" s="34"/>
      <c r="AQ120" s="34" t="s">
        <v>1347</v>
      </c>
      <c r="AR120" s="34"/>
      <c r="AS120" s="61" t="s">
        <v>466</v>
      </c>
    </row>
    <row r="121" spans="1:45" s="8" customFormat="1" ht="48" x14ac:dyDescent="0.25">
      <c r="A121" s="195"/>
      <c r="B121" s="198"/>
      <c r="C121" s="166"/>
      <c r="D121" s="188"/>
      <c r="E121" s="32" t="s">
        <v>496</v>
      </c>
      <c r="F121" s="152"/>
      <c r="G121" s="47" t="s">
        <v>592</v>
      </c>
      <c r="H121" s="34" t="s">
        <v>227</v>
      </c>
      <c r="I121" s="34" t="s">
        <v>1245</v>
      </c>
      <c r="J121" s="32" t="s">
        <v>615</v>
      </c>
      <c r="K121" s="32" t="s">
        <v>104</v>
      </c>
      <c r="L121" s="68" t="s">
        <v>229</v>
      </c>
      <c r="M121" s="73" t="s">
        <v>332</v>
      </c>
      <c r="N121" s="73" t="s">
        <v>490</v>
      </c>
      <c r="O121" s="73" t="s">
        <v>616</v>
      </c>
      <c r="P121" s="70">
        <v>2</v>
      </c>
      <c r="Q121" s="41">
        <v>2</v>
      </c>
      <c r="R121" s="33">
        <f t="shared" si="13"/>
        <v>4</v>
      </c>
      <c r="S121" s="33" t="str">
        <f t="shared" si="15"/>
        <v>BAJO</v>
      </c>
      <c r="T121" s="33">
        <v>10</v>
      </c>
      <c r="U121" s="75">
        <f t="shared" si="16"/>
        <v>40</v>
      </c>
      <c r="V121" s="33" t="str">
        <f t="shared" si="17"/>
        <v>lll</v>
      </c>
      <c r="W121" s="74" t="str">
        <f t="shared" si="18"/>
        <v>SI</v>
      </c>
      <c r="X121" s="33">
        <v>8</v>
      </c>
      <c r="Y121" s="31" t="s">
        <v>163</v>
      </c>
      <c r="Z121" s="33" t="s">
        <v>87</v>
      </c>
      <c r="AA121" s="45"/>
      <c r="AB121" s="34"/>
      <c r="AC121" s="34"/>
      <c r="AD121" s="34" t="s">
        <v>504</v>
      </c>
      <c r="AE121" s="34" t="s">
        <v>617</v>
      </c>
      <c r="AF121" s="34" t="s">
        <v>576</v>
      </c>
      <c r="AG121" s="41">
        <v>2</v>
      </c>
      <c r="AH121" s="41">
        <v>2</v>
      </c>
      <c r="AI121" s="33">
        <f t="shared" si="20"/>
        <v>4</v>
      </c>
      <c r="AJ121" s="33" t="str">
        <f t="shared" si="21"/>
        <v>BAJO</v>
      </c>
      <c r="AK121" s="33">
        <v>10</v>
      </c>
      <c r="AL121" s="33">
        <f t="shared" si="14"/>
        <v>40</v>
      </c>
      <c r="AM121" s="33" t="str">
        <f t="shared" si="19"/>
        <v>RIESGO ACEPTABLE</v>
      </c>
      <c r="AN121" s="33"/>
      <c r="AO121" s="34"/>
      <c r="AP121" s="34"/>
      <c r="AQ121" s="34" t="s">
        <v>618</v>
      </c>
      <c r="AR121" s="34" t="s">
        <v>617</v>
      </c>
      <c r="AS121" s="61" t="s">
        <v>466</v>
      </c>
    </row>
    <row r="122" spans="1:45" s="8" customFormat="1" ht="48" x14ac:dyDescent="0.25">
      <c r="A122" s="195"/>
      <c r="B122" s="198"/>
      <c r="C122" s="166"/>
      <c r="D122" s="188"/>
      <c r="E122" s="32" t="s">
        <v>496</v>
      </c>
      <c r="F122" s="152"/>
      <c r="G122" s="47" t="s">
        <v>592</v>
      </c>
      <c r="H122" s="34" t="s">
        <v>157</v>
      </c>
      <c r="I122" s="34" t="s">
        <v>1245</v>
      </c>
      <c r="J122" s="34" t="s">
        <v>619</v>
      </c>
      <c r="K122" s="32" t="s">
        <v>104</v>
      </c>
      <c r="L122" s="68" t="s">
        <v>160</v>
      </c>
      <c r="M122" s="73" t="s">
        <v>332</v>
      </c>
      <c r="N122" s="73" t="s">
        <v>490</v>
      </c>
      <c r="O122" s="73" t="s">
        <v>561</v>
      </c>
      <c r="P122" s="70">
        <v>2</v>
      </c>
      <c r="Q122" s="41">
        <v>3</v>
      </c>
      <c r="R122" s="33">
        <f t="shared" si="13"/>
        <v>6</v>
      </c>
      <c r="S122" s="33" t="str">
        <f t="shared" si="15"/>
        <v>MEDIO</v>
      </c>
      <c r="T122" s="33">
        <v>25</v>
      </c>
      <c r="U122" s="75">
        <f t="shared" si="16"/>
        <v>150</v>
      </c>
      <c r="V122" s="33" t="str">
        <f t="shared" si="17"/>
        <v>ll</v>
      </c>
      <c r="W122" s="74" t="str">
        <f t="shared" si="18"/>
        <v>NO</v>
      </c>
      <c r="X122" s="33">
        <v>8</v>
      </c>
      <c r="Y122" s="31" t="s">
        <v>163</v>
      </c>
      <c r="Z122" s="33" t="s">
        <v>87</v>
      </c>
      <c r="AA122" s="45"/>
      <c r="AB122" s="34"/>
      <c r="AC122" s="34"/>
      <c r="AD122" s="42" t="s">
        <v>620</v>
      </c>
      <c r="AE122" s="34" t="s">
        <v>621</v>
      </c>
      <c r="AF122" s="34" t="s">
        <v>576</v>
      </c>
      <c r="AG122" s="41">
        <v>2</v>
      </c>
      <c r="AH122" s="41">
        <v>2</v>
      </c>
      <c r="AI122" s="33">
        <f t="shared" si="20"/>
        <v>4</v>
      </c>
      <c r="AJ122" s="33" t="str">
        <f t="shared" si="21"/>
        <v>BAJO</v>
      </c>
      <c r="AK122" s="33">
        <v>10</v>
      </c>
      <c r="AL122" s="33">
        <f t="shared" si="14"/>
        <v>40</v>
      </c>
      <c r="AM122" s="33" t="str">
        <f t="shared" si="19"/>
        <v>RIESGO ACEPTABLE</v>
      </c>
      <c r="AN122" s="33"/>
      <c r="AO122" s="34"/>
      <c r="AP122" s="34"/>
      <c r="AQ122" s="42" t="s">
        <v>622</v>
      </c>
      <c r="AR122" s="34" t="s">
        <v>621</v>
      </c>
      <c r="AS122" s="61" t="s">
        <v>466</v>
      </c>
    </row>
    <row r="123" spans="1:45" s="8" customFormat="1" ht="86.4" x14ac:dyDescent="0.25">
      <c r="A123" s="195"/>
      <c r="B123" s="198"/>
      <c r="C123" s="166"/>
      <c r="D123" s="196" t="s">
        <v>623</v>
      </c>
      <c r="E123" s="32" t="s">
        <v>496</v>
      </c>
      <c r="F123" s="152" t="s">
        <v>427</v>
      </c>
      <c r="G123" s="47" t="s">
        <v>592</v>
      </c>
      <c r="H123" s="34" t="s">
        <v>183</v>
      </c>
      <c r="I123" s="34" t="s">
        <v>1245</v>
      </c>
      <c r="J123" s="32" t="s">
        <v>593</v>
      </c>
      <c r="K123" s="32" t="s">
        <v>104</v>
      </c>
      <c r="L123" s="68" t="s">
        <v>185</v>
      </c>
      <c r="M123" s="73" t="s">
        <v>332</v>
      </c>
      <c r="N123" s="73" t="s">
        <v>176</v>
      </c>
      <c r="O123" s="73" t="s">
        <v>491</v>
      </c>
      <c r="P123" s="70">
        <v>2</v>
      </c>
      <c r="Q123" s="41">
        <v>3</v>
      </c>
      <c r="R123" s="33">
        <f t="shared" si="13"/>
        <v>6</v>
      </c>
      <c r="S123" s="33" t="str">
        <f t="shared" si="15"/>
        <v>MEDIO</v>
      </c>
      <c r="T123" s="33">
        <v>10</v>
      </c>
      <c r="U123" s="75">
        <f t="shared" si="16"/>
        <v>60</v>
      </c>
      <c r="V123" s="33" t="str">
        <f t="shared" si="17"/>
        <v>lll</v>
      </c>
      <c r="W123" s="74" t="str">
        <f t="shared" si="18"/>
        <v>SI</v>
      </c>
      <c r="X123" s="33">
        <v>8</v>
      </c>
      <c r="Y123" s="31" t="s">
        <v>178</v>
      </c>
      <c r="Z123" s="33" t="s">
        <v>87</v>
      </c>
      <c r="AA123" s="45"/>
      <c r="AB123" s="34"/>
      <c r="AC123" s="34"/>
      <c r="AD123" s="42" t="s">
        <v>595</v>
      </c>
      <c r="AE123" s="34" t="s">
        <v>596</v>
      </c>
      <c r="AF123" s="34" t="s">
        <v>576</v>
      </c>
      <c r="AG123" s="41">
        <v>2</v>
      </c>
      <c r="AH123" s="41">
        <v>2</v>
      </c>
      <c r="AI123" s="33">
        <f t="shared" si="20"/>
        <v>4</v>
      </c>
      <c r="AJ123" s="33" t="str">
        <f t="shared" si="21"/>
        <v>BAJO</v>
      </c>
      <c r="AK123" s="33">
        <v>25</v>
      </c>
      <c r="AL123" s="33">
        <f t="shared" si="14"/>
        <v>100</v>
      </c>
      <c r="AM123" s="33" t="str">
        <f t="shared" si="19"/>
        <v>RIESGO ACEPTABLE</v>
      </c>
      <c r="AN123" s="33"/>
      <c r="AO123" s="34"/>
      <c r="AP123" s="34"/>
      <c r="AQ123" s="42" t="s">
        <v>597</v>
      </c>
      <c r="AR123" s="34" t="s">
        <v>596</v>
      </c>
      <c r="AS123" s="61" t="s">
        <v>466</v>
      </c>
    </row>
    <row r="124" spans="1:45" s="8" customFormat="1" ht="86.4" x14ac:dyDescent="0.25">
      <c r="A124" s="195"/>
      <c r="B124" s="198"/>
      <c r="C124" s="166"/>
      <c r="D124" s="196"/>
      <c r="E124" s="32" t="s">
        <v>496</v>
      </c>
      <c r="F124" s="152"/>
      <c r="G124" s="47" t="s">
        <v>592</v>
      </c>
      <c r="H124" s="34" t="s">
        <v>191</v>
      </c>
      <c r="I124" s="34" t="s">
        <v>1245</v>
      </c>
      <c r="J124" s="32" t="s">
        <v>598</v>
      </c>
      <c r="K124" s="32" t="s">
        <v>104</v>
      </c>
      <c r="L124" s="68" t="s">
        <v>193</v>
      </c>
      <c r="M124" s="73" t="s">
        <v>332</v>
      </c>
      <c r="N124" s="73" t="s">
        <v>176</v>
      </c>
      <c r="O124" s="73" t="s">
        <v>624</v>
      </c>
      <c r="P124" s="70">
        <v>2</v>
      </c>
      <c r="Q124" s="41">
        <v>2</v>
      </c>
      <c r="R124" s="33">
        <f t="shared" si="13"/>
        <v>4</v>
      </c>
      <c r="S124" s="33" t="str">
        <f t="shared" si="15"/>
        <v>BAJO</v>
      </c>
      <c r="T124" s="33">
        <v>10</v>
      </c>
      <c r="U124" s="75">
        <f t="shared" si="16"/>
        <v>40</v>
      </c>
      <c r="V124" s="33" t="str">
        <f t="shared" si="17"/>
        <v>lll</v>
      </c>
      <c r="W124" s="74" t="str">
        <f t="shared" si="18"/>
        <v>SI</v>
      </c>
      <c r="X124" s="33">
        <v>8</v>
      </c>
      <c r="Y124" s="31" t="s">
        <v>195</v>
      </c>
      <c r="Z124" s="33" t="s">
        <v>87</v>
      </c>
      <c r="AA124" s="45"/>
      <c r="AB124" s="34"/>
      <c r="AC124" s="34"/>
      <c r="AD124" s="42" t="s">
        <v>599</v>
      </c>
      <c r="AE124" s="34" t="s">
        <v>600</v>
      </c>
      <c r="AF124" s="34" t="s">
        <v>576</v>
      </c>
      <c r="AG124" s="41">
        <v>2</v>
      </c>
      <c r="AH124" s="41">
        <v>2</v>
      </c>
      <c r="AI124" s="33">
        <f t="shared" si="20"/>
        <v>4</v>
      </c>
      <c r="AJ124" s="33" t="str">
        <f t="shared" si="21"/>
        <v>BAJO</v>
      </c>
      <c r="AK124" s="33">
        <v>25</v>
      </c>
      <c r="AL124" s="33">
        <f t="shared" si="14"/>
        <v>100</v>
      </c>
      <c r="AM124" s="33" t="str">
        <f t="shared" si="19"/>
        <v>RIESGO ACEPTABLE</v>
      </c>
      <c r="AN124" s="33"/>
      <c r="AO124" s="34"/>
      <c r="AP124" s="34"/>
      <c r="AQ124" s="42" t="s">
        <v>601</v>
      </c>
      <c r="AR124" s="34" t="s">
        <v>600</v>
      </c>
      <c r="AS124" s="61" t="s">
        <v>466</v>
      </c>
    </row>
    <row r="125" spans="1:45" s="8" customFormat="1" ht="67.2" x14ac:dyDescent="0.25">
      <c r="A125" s="195"/>
      <c r="B125" s="198"/>
      <c r="C125" s="166"/>
      <c r="D125" s="196"/>
      <c r="E125" s="32" t="s">
        <v>496</v>
      </c>
      <c r="F125" s="152"/>
      <c r="G125" s="47" t="s">
        <v>592</v>
      </c>
      <c r="H125" s="34" t="s">
        <v>380</v>
      </c>
      <c r="I125" s="32" t="s">
        <v>1246</v>
      </c>
      <c r="J125" s="34" t="s">
        <v>625</v>
      </c>
      <c r="K125" s="32" t="s">
        <v>104</v>
      </c>
      <c r="L125" s="68" t="s">
        <v>383</v>
      </c>
      <c r="M125" s="73" t="s">
        <v>332</v>
      </c>
      <c r="N125" s="73" t="s">
        <v>311</v>
      </c>
      <c r="O125" s="73" t="s">
        <v>603</v>
      </c>
      <c r="P125" s="70">
        <v>2</v>
      </c>
      <c r="Q125" s="41">
        <v>2</v>
      </c>
      <c r="R125" s="33">
        <f t="shared" si="13"/>
        <v>4</v>
      </c>
      <c r="S125" s="33" t="str">
        <f t="shared" si="15"/>
        <v>BAJO</v>
      </c>
      <c r="T125" s="33">
        <v>10</v>
      </c>
      <c r="U125" s="75">
        <f t="shared" si="16"/>
        <v>40</v>
      </c>
      <c r="V125" s="33" t="str">
        <f t="shared" si="17"/>
        <v>lll</v>
      </c>
      <c r="W125" s="74" t="str">
        <f t="shared" si="18"/>
        <v>SI</v>
      </c>
      <c r="X125" s="33">
        <v>8</v>
      </c>
      <c r="Y125" s="31" t="s">
        <v>385</v>
      </c>
      <c r="Z125" s="33" t="s">
        <v>87</v>
      </c>
      <c r="AA125" s="45"/>
      <c r="AB125" s="33"/>
      <c r="AC125" s="40"/>
      <c r="AD125" s="34" t="s">
        <v>604</v>
      </c>
      <c r="AE125" s="34" t="s">
        <v>605</v>
      </c>
      <c r="AF125" s="34" t="s">
        <v>576</v>
      </c>
      <c r="AG125" s="41">
        <v>2</v>
      </c>
      <c r="AH125" s="41">
        <v>2</v>
      </c>
      <c r="AI125" s="33">
        <f t="shared" si="20"/>
        <v>4</v>
      </c>
      <c r="AJ125" s="33" t="str">
        <f t="shared" si="21"/>
        <v>BAJO</v>
      </c>
      <c r="AK125" s="33">
        <v>25</v>
      </c>
      <c r="AL125" s="33">
        <f t="shared" si="14"/>
        <v>100</v>
      </c>
      <c r="AM125" s="33" t="str">
        <f t="shared" si="19"/>
        <v>RIESGO ACEPTABLE</v>
      </c>
      <c r="AN125" s="33"/>
      <c r="AO125" s="33"/>
      <c r="AP125" s="34"/>
      <c r="AQ125" s="34" t="s">
        <v>606</v>
      </c>
      <c r="AR125" s="34" t="s">
        <v>605</v>
      </c>
      <c r="AS125" s="61" t="s">
        <v>466</v>
      </c>
    </row>
    <row r="126" spans="1:45" s="8" customFormat="1" ht="67.2" x14ac:dyDescent="0.25">
      <c r="A126" s="195"/>
      <c r="B126" s="198"/>
      <c r="C126" s="166"/>
      <c r="D126" s="196"/>
      <c r="E126" s="32" t="s">
        <v>496</v>
      </c>
      <c r="F126" s="152"/>
      <c r="G126" s="47" t="s">
        <v>592</v>
      </c>
      <c r="H126" s="34" t="s">
        <v>316</v>
      </c>
      <c r="I126" s="32" t="s">
        <v>1233</v>
      </c>
      <c r="J126" s="32" t="s">
        <v>607</v>
      </c>
      <c r="K126" s="32" t="s">
        <v>104</v>
      </c>
      <c r="L126" s="68" t="s">
        <v>83</v>
      </c>
      <c r="M126" s="73" t="s">
        <v>332</v>
      </c>
      <c r="N126" s="73" t="s">
        <v>106</v>
      </c>
      <c r="O126" s="73" t="s">
        <v>626</v>
      </c>
      <c r="P126" s="70">
        <v>2</v>
      </c>
      <c r="Q126" s="41">
        <v>3</v>
      </c>
      <c r="R126" s="33">
        <f t="shared" si="13"/>
        <v>6</v>
      </c>
      <c r="S126" s="33" t="str">
        <f t="shared" si="15"/>
        <v>MEDIO</v>
      </c>
      <c r="T126" s="33">
        <v>10</v>
      </c>
      <c r="U126" s="75">
        <f t="shared" si="16"/>
        <v>60</v>
      </c>
      <c r="V126" s="33" t="str">
        <f t="shared" si="17"/>
        <v>lll</v>
      </c>
      <c r="W126" s="74" t="str">
        <f t="shared" si="18"/>
        <v>SI</v>
      </c>
      <c r="X126" s="33">
        <v>8</v>
      </c>
      <c r="Y126" s="31" t="s">
        <v>108</v>
      </c>
      <c r="Z126" s="33" t="s">
        <v>87</v>
      </c>
      <c r="AA126" s="45"/>
      <c r="AB126" s="34"/>
      <c r="AC126" s="40"/>
      <c r="AD126" s="42" t="s">
        <v>609</v>
      </c>
      <c r="AE126" s="34" t="s">
        <v>610</v>
      </c>
      <c r="AF126" s="34" t="s">
        <v>576</v>
      </c>
      <c r="AG126" s="41">
        <v>2</v>
      </c>
      <c r="AH126" s="41">
        <v>2</v>
      </c>
      <c r="AI126" s="33">
        <f t="shared" si="20"/>
        <v>4</v>
      </c>
      <c r="AJ126" s="33" t="str">
        <f t="shared" si="21"/>
        <v>BAJO</v>
      </c>
      <c r="AK126" s="33">
        <v>10</v>
      </c>
      <c r="AL126" s="33">
        <f t="shared" si="14"/>
        <v>40</v>
      </c>
      <c r="AM126" s="33" t="str">
        <f t="shared" si="19"/>
        <v>RIESGO ACEPTABLE</v>
      </c>
      <c r="AN126" s="33"/>
      <c r="AO126" s="34"/>
      <c r="AP126" s="34"/>
      <c r="AQ126" s="42" t="s">
        <v>611</v>
      </c>
      <c r="AR126" s="34" t="s">
        <v>610</v>
      </c>
      <c r="AS126" s="61" t="s">
        <v>466</v>
      </c>
    </row>
    <row r="127" spans="1:45" s="8" customFormat="1" ht="67.2" x14ac:dyDescent="0.25">
      <c r="A127" s="195"/>
      <c r="B127" s="198"/>
      <c r="C127" s="166"/>
      <c r="D127" s="196"/>
      <c r="E127" s="32" t="s">
        <v>496</v>
      </c>
      <c r="F127" s="152"/>
      <c r="G127" s="47" t="s">
        <v>592</v>
      </c>
      <c r="H127" s="34" t="s">
        <v>205</v>
      </c>
      <c r="I127" s="32" t="s">
        <v>1242</v>
      </c>
      <c r="J127" s="32" t="s">
        <v>627</v>
      </c>
      <c r="K127" s="32" t="s">
        <v>104</v>
      </c>
      <c r="L127" s="68" t="s">
        <v>207</v>
      </c>
      <c r="M127" s="73" t="s">
        <v>332</v>
      </c>
      <c r="N127" s="73" t="s">
        <v>106</v>
      </c>
      <c r="O127" s="73" t="s">
        <v>85</v>
      </c>
      <c r="P127" s="70">
        <v>2</v>
      </c>
      <c r="Q127" s="41">
        <v>3</v>
      </c>
      <c r="R127" s="33">
        <f t="shared" si="13"/>
        <v>6</v>
      </c>
      <c r="S127" s="33" t="str">
        <f t="shared" si="15"/>
        <v>MEDIO</v>
      </c>
      <c r="T127" s="33">
        <v>10</v>
      </c>
      <c r="U127" s="75">
        <f t="shared" si="16"/>
        <v>60</v>
      </c>
      <c r="V127" s="33" t="str">
        <f t="shared" si="17"/>
        <v>lll</v>
      </c>
      <c r="W127" s="74" t="str">
        <f t="shared" si="18"/>
        <v>SI</v>
      </c>
      <c r="X127" s="33">
        <v>8</v>
      </c>
      <c r="Y127" s="31" t="s">
        <v>209</v>
      </c>
      <c r="Z127" s="33" t="s">
        <v>87</v>
      </c>
      <c r="AA127" s="45"/>
      <c r="AB127" s="34"/>
      <c r="AC127" s="34"/>
      <c r="AD127" s="34" t="s">
        <v>628</v>
      </c>
      <c r="AE127" s="34" t="s">
        <v>629</v>
      </c>
      <c r="AF127" s="34" t="s">
        <v>576</v>
      </c>
      <c r="AG127" s="41">
        <v>2</v>
      </c>
      <c r="AH127" s="41">
        <v>2</v>
      </c>
      <c r="AI127" s="33">
        <f t="shared" si="20"/>
        <v>4</v>
      </c>
      <c r="AJ127" s="33" t="str">
        <f t="shared" si="21"/>
        <v>BAJO</v>
      </c>
      <c r="AK127" s="33">
        <v>25</v>
      </c>
      <c r="AL127" s="33">
        <f t="shared" si="14"/>
        <v>100</v>
      </c>
      <c r="AM127" s="33" t="str">
        <f t="shared" si="19"/>
        <v>RIESGO ACEPTABLE</v>
      </c>
      <c r="AN127" s="33"/>
      <c r="AO127" s="34"/>
      <c r="AP127" s="34"/>
      <c r="AQ127" s="34" t="s">
        <v>630</v>
      </c>
      <c r="AR127" s="34" t="s">
        <v>629</v>
      </c>
      <c r="AS127" s="61" t="s">
        <v>466</v>
      </c>
    </row>
    <row r="128" spans="1:45" s="8" customFormat="1" ht="38.4" x14ac:dyDescent="0.25">
      <c r="A128" s="195"/>
      <c r="B128" s="198"/>
      <c r="C128" s="166"/>
      <c r="D128" s="196"/>
      <c r="E128" s="32" t="s">
        <v>496</v>
      </c>
      <c r="F128" s="152"/>
      <c r="G128" s="47" t="s">
        <v>592</v>
      </c>
      <c r="H128" s="34" t="s">
        <v>149</v>
      </c>
      <c r="I128" s="34" t="s">
        <v>1243</v>
      </c>
      <c r="J128" s="34" t="s">
        <v>612</v>
      </c>
      <c r="K128" s="32" t="s">
        <v>104</v>
      </c>
      <c r="L128" s="68" t="s">
        <v>327</v>
      </c>
      <c r="M128" s="73" t="s">
        <v>332</v>
      </c>
      <c r="N128" s="73" t="s">
        <v>311</v>
      </c>
      <c r="O128" s="73" t="s">
        <v>556</v>
      </c>
      <c r="P128" s="70">
        <v>2</v>
      </c>
      <c r="Q128" s="41">
        <v>2</v>
      </c>
      <c r="R128" s="33">
        <f t="shared" si="13"/>
        <v>4</v>
      </c>
      <c r="S128" s="33" t="str">
        <f t="shared" si="15"/>
        <v>BAJO</v>
      </c>
      <c r="T128" s="33">
        <v>10</v>
      </c>
      <c r="U128" s="75">
        <f t="shared" si="16"/>
        <v>40</v>
      </c>
      <c r="V128" s="33" t="str">
        <f t="shared" si="17"/>
        <v>lll</v>
      </c>
      <c r="W128" s="74" t="str">
        <f t="shared" si="18"/>
        <v>SI</v>
      </c>
      <c r="X128" s="33">
        <v>8</v>
      </c>
      <c r="Y128" s="31" t="s">
        <v>143</v>
      </c>
      <c r="Z128" s="33" t="s">
        <v>87</v>
      </c>
      <c r="AA128" s="45"/>
      <c r="AB128" s="34"/>
      <c r="AC128" s="34"/>
      <c r="AD128" s="34" t="s">
        <v>1346</v>
      </c>
      <c r="AE128" s="34"/>
      <c r="AF128" s="34" t="s">
        <v>576</v>
      </c>
      <c r="AG128" s="41">
        <v>2</v>
      </c>
      <c r="AH128" s="41">
        <v>2</v>
      </c>
      <c r="AI128" s="33">
        <f t="shared" si="20"/>
        <v>4</v>
      </c>
      <c r="AJ128" s="33" t="str">
        <f t="shared" si="21"/>
        <v>BAJO</v>
      </c>
      <c r="AK128" s="33">
        <v>25</v>
      </c>
      <c r="AL128" s="33">
        <f t="shared" si="14"/>
        <v>100</v>
      </c>
      <c r="AM128" s="33" t="str">
        <f t="shared" si="19"/>
        <v>RIESGO ACEPTABLE</v>
      </c>
      <c r="AN128" s="33"/>
      <c r="AO128" s="34"/>
      <c r="AP128" s="34"/>
      <c r="AQ128" s="34" t="s">
        <v>1347</v>
      </c>
      <c r="AR128" s="34"/>
      <c r="AS128" s="61" t="s">
        <v>466</v>
      </c>
    </row>
    <row r="129" spans="1:45" s="8" customFormat="1" ht="48" x14ac:dyDescent="0.25">
      <c r="A129" s="195"/>
      <c r="B129" s="198"/>
      <c r="C129" s="166"/>
      <c r="D129" s="196"/>
      <c r="E129" s="32" t="s">
        <v>496</v>
      </c>
      <c r="F129" s="152"/>
      <c r="G129" s="47" t="s">
        <v>592</v>
      </c>
      <c r="H129" s="34" t="s">
        <v>227</v>
      </c>
      <c r="I129" s="34" t="s">
        <v>1245</v>
      </c>
      <c r="J129" s="32" t="s">
        <v>615</v>
      </c>
      <c r="K129" s="32" t="s">
        <v>104</v>
      </c>
      <c r="L129" s="68" t="s">
        <v>229</v>
      </c>
      <c r="M129" s="73" t="s">
        <v>332</v>
      </c>
      <c r="N129" s="73" t="s">
        <v>311</v>
      </c>
      <c r="O129" s="73" t="s">
        <v>367</v>
      </c>
      <c r="P129" s="70">
        <v>2</v>
      </c>
      <c r="Q129" s="41">
        <v>2</v>
      </c>
      <c r="R129" s="33">
        <f t="shared" si="13"/>
        <v>4</v>
      </c>
      <c r="S129" s="33" t="str">
        <f t="shared" si="15"/>
        <v>BAJO</v>
      </c>
      <c r="T129" s="33">
        <v>10</v>
      </c>
      <c r="U129" s="75">
        <f t="shared" si="16"/>
        <v>40</v>
      </c>
      <c r="V129" s="33" t="str">
        <f t="shared" si="17"/>
        <v>lll</v>
      </c>
      <c r="W129" s="74" t="str">
        <f t="shared" si="18"/>
        <v>SI</v>
      </c>
      <c r="X129" s="33">
        <v>8</v>
      </c>
      <c r="Y129" s="31" t="s">
        <v>163</v>
      </c>
      <c r="Z129" s="33" t="s">
        <v>87</v>
      </c>
      <c r="AA129" s="45"/>
      <c r="AB129" s="34"/>
      <c r="AC129" s="34"/>
      <c r="AD129" s="34" t="s">
        <v>504</v>
      </c>
      <c r="AE129" s="34" t="s">
        <v>617</v>
      </c>
      <c r="AF129" s="34" t="s">
        <v>576</v>
      </c>
      <c r="AG129" s="41">
        <v>6</v>
      </c>
      <c r="AH129" s="41">
        <v>2</v>
      </c>
      <c r="AI129" s="33">
        <f t="shared" si="20"/>
        <v>12</v>
      </c>
      <c r="AJ129" s="33" t="str">
        <f t="shared" si="21"/>
        <v>ALTO</v>
      </c>
      <c r="AK129" s="33">
        <v>25</v>
      </c>
      <c r="AL129" s="33">
        <f t="shared" si="14"/>
        <v>300</v>
      </c>
      <c r="AM129" s="33" t="str">
        <f t="shared" si="19"/>
        <v xml:space="preserve"> RIESGO ACEPTABLE CON CONTROL ESPECIFICO</v>
      </c>
      <c r="AN129" s="33"/>
      <c r="AO129" s="34"/>
      <c r="AP129" s="34"/>
      <c r="AQ129" s="34" t="s">
        <v>618</v>
      </c>
      <c r="AR129" s="34" t="s">
        <v>617</v>
      </c>
      <c r="AS129" s="61" t="s">
        <v>466</v>
      </c>
    </row>
    <row r="130" spans="1:45" s="8" customFormat="1" ht="48" x14ac:dyDescent="0.25">
      <c r="A130" s="195"/>
      <c r="B130" s="198"/>
      <c r="C130" s="166"/>
      <c r="D130" s="196"/>
      <c r="E130" s="32" t="s">
        <v>496</v>
      </c>
      <c r="F130" s="152"/>
      <c r="G130" s="47" t="s">
        <v>592</v>
      </c>
      <c r="H130" s="34" t="s">
        <v>157</v>
      </c>
      <c r="I130" s="34" t="s">
        <v>1245</v>
      </c>
      <c r="J130" s="34" t="s">
        <v>619</v>
      </c>
      <c r="K130" s="32" t="s">
        <v>104</v>
      </c>
      <c r="L130" s="68" t="s">
        <v>160</v>
      </c>
      <c r="M130" s="73" t="s">
        <v>332</v>
      </c>
      <c r="N130" s="73" t="s">
        <v>311</v>
      </c>
      <c r="O130" s="73" t="s">
        <v>367</v>
      </c>
      <c r="P130" s="70">
        <v>6</v>
      </c>
      <c r="Q130" s="41">
        <v>3</v>
      </c>
      <c r="R130" s="33">
        <f t="shared" si="13"/>
        <v>18</v>
      </c>
      <c r="S130" s="33" t="str">
        <f t="shared" si="15"/>
        <v>ALTO</v>
      </c>
      <c r="T130" s="33">
        <v>10</v>
      </c>
      <c r="U130" s="75">
        <f t="shared" si="16"/>
        <v>180</v>
      </c>
      <c r="V130" s="33" t="str">
        <f t="shared" si="17"/>
        <v>ll</v>
      </c>
      <c r="W130" s="74" t="str">
        <f t="shared" si="18"/>
        <v>NO</v>
      </c>
      <c r="X130" s="33">
        <v>8</v>
      </c>
      <c r="Y130" s="31" t="s">
        <v>163</v>
      </c>
      <c r="Z130" s="33" t="s">
        <v>87</v>
      </c>
      <c r="AA130" s="46"/>
      <c r="AB130" s="33"/>
      <c r="AC130" s="34"/>
      <c r="AD130" s="42" t="s">
        <v>620</v>
      </c>
      <c r="AE130" s="34" t="s">
        <v>621</v>
      </c>
      <c r="AF130" s="34" t="s">
        <v>576</v>
      </c>
      <c r="AG130" s="41">
        <v>2</v>
      </c>
      <c r="AH130" s="41">
        <v>3</v>
      </c>
      <c r="AI130" s="33">
        <f t="shared" si="20"/>
        <v>6</v>
      </c>
      <c r="AJ130" s="33" t="str">
        <f t="shared" si="21"/>
        <v>MEDIO</v>
      </c>
      <c r="AK130" s="33">
        <v>10</v>
      </c>
      <c r="AL130" s="33">
        <f t="shared" si="14"/>
        <v>60</v>
      </c>
      <c r="AM130" s="33" t="str">
        <f t="shared" si="19"/>
        <v>RIESGO ACEPTABLE</v>
      </c>
      <c r="AN130" s="34"/>
      <c r="AO130" s="34"/>
      <c r="AP130" s="34"/>
      <c r="AQ130" s="42" t="s">
        <v>622</v>
      </c>
      <c r="AR130" s="34" t="s">
        <v>621</v>
      </c>
      <c r="AS130" s="61" t="s">
        <v>466</v>
      </c>
    </row>
    <row r="131" spans="1:45" s="8" customFormat="1" ht="67.2" x14ac:dyDescent="0.25">
      <c r="A131" s="195"/>
      <c r="B131" s="198"/>
      <c r="C131" s="166"/>
      <c r="D131" s="196"/>
      <c r="E131" s="32" t="s">
        <v>496</v>
      </c>
      <c r="F131" s="152"/>
      <c r="G131" s="47" t="s">
        <v>592</v>
      </c>
      <c r="H131" s="34" t="s">
        <v>631</v>
      </c>
      <c r="I131" s="32" t="s">
        <v>1246</v>
      </c>
      <c r="J131" s="32" t="s">
        <v>632</v>
      </c>
      <c r="K131" s="32" t="s">
        <v>104</v>
      </c>
      <c r="L131" s="68" t="s">
        <v>633</v>
      </c>
      <c r="M131" s="73" t="s">
        <v>332</v>
      </c>
      <c r="N131" s="73" t="s">
        <v>106</v>
      </c>
      <c r="O131" s="73" t="s">
        <v>294</v>
      </c>
      <c r="P131" s="70">
        <v>2</v>
      </c>
      <c r="Q131" s="41">
        <v>3</v>
      </c>
      <c r="R131" s="33">
        <f t="shared" si="13"/>
        <v>6</v>
      </c>
      <c r="S131" s="33" t="str">
        <f t="shared" si="15"/>
        <v>MEDIO</v>
      </c>
      <c r="T131" s="33">
        <v>10</v>
      </c>
      <c r="U131" s="75">
        <f t="shared" si="16"/>
        <v>60</v>
      </c>
      <c r="V131" s="33" t="str">
        <f t="shared" si="17"/>
        <v>lll</v>
      </c>
      <c r="W131" s="74" t="str">
        <f t="shared" si="18"/>
        <v>SI</v>
      </c>
      <c r="X131" s="33">
        <v>8</v>
      </c>
      <c r="Y131" s="31" t="s">
        <v>634</v>
      </c>
      <c r="Z131" s="33" t="s">
        <v>87</v>
      </c>
      <c r="AA131" s="45"/>
      <c r="AB131" s="34"/>
      <c r="AC131" s="34" t="s">
        <v>635</v>
      </c>
      <c r="AD131" s="34" t="s">
        <v>636</v>
      </c>
      <c r="AE131" s="34" t="s">
        <v>637</v>
      </c>
      <c r="AF131" s="34" t="s">
        <v>576</v>
      </c>
      <c r="AG131" s="41">
        <v>2</v>
      </c>
      <c r="AH131" s="41">
        <v>2</v>
      </c>
      <c r="AI131" s="33">
        <f t="shared" si="20"/>
        <v>4</v>
      </c>
      <c r="AJ131" s="33" t="str">
        <f t="shared" si="21"/>
        <v>BAJO</v>
      </c>
      <c r="AK131" s="33">
        <v>25</v>
      </c>
      <c r="AL131" s="33">
        <f t="shared" si="14"/>
        <v>100</v>
      </c>
      <c r="AM131" s="33" t="str">
        <f t="shared" si="19"/>
        <v>RIESGO ACEPTABLE</v>
      </c>
      <c r="AN131" s="33"/>
      <c r="AO131" s="34"/>
      <c r="AP131" s="34" t="s">
        <v>638</v>
      </c>
      <c r="AQ131" s="34" t="s">
        <v>639</v>
      </c>
      <c r="AR131" s="34" t="s">
        <v>637</v>
      </c>
      <c r="AS131" s="61" t="s">
        <v>466</v>
      </c>
    </row>
    <row r="132" spans="1:45" s="8" customFormat="1" ht="67.2" x14ac:dyDescent="0.25">
      <c r="A132" s="195"/>
      <c r="B132" s="198"/>
      <c r="C132" s="166"/>
      <c r="D132" s="196" t="s">
        <v>640</v>
      </c>
      <c r="E132" s="32" t="s">
        <v>496</v>
      </c>
      <c r="F132" s="152" t="s">
        <v>515</v>
      </c>
      <c r="G132" s="47" t="s">
        <v>592</v>
      </c>
      <c r="H132" s="34" t="s">
        <v>183</v>
      </c>
      <c r="I132" s="34" t="s">
        <v>1245</v>
      </c>
      <c r="J132" s="32" t="s">
        <v>593</v>
      </c>
      <c r="K132" s="32" t="s">
        <v>104</v>
      </c>
      <c r="L132" s="68" t="s">
        <v>185</v>
      </c>
      <c r="M132" s="73" t="s">
        <v>332</v>
      </c>
      <c r="N132" s="73" t="s">
        <v>641</v>
      </c>
      <c r="O132" s="73" t="s">
        <v>491</v>
      </c>
      <c r="P132" s="70">
        <v>2</v>
      </c>
      <c r="Q132" s="41">
        <v>3</v>
      </c>
      <c r="R132" s="33">
        <f t="shared" si="13"/>
        <v>6</v>
      </c>
      <c r="S132" s="33" t="str">
        <f t="shared" si="15"/>
        <v>MEDIO</v>
      </c>
      <c r="T132" s="33">
        <v>10</v>
      </c>
      <c r="U132" s="75">
        <f t="shared" si="16"/>
        <v>60</v>
      </c>
      <c r="V132" s="33" t="str">
        <f t="shared" si="17"/>
        <v>lll</v>
      </c>
      <c r="W132" s="74" t="str">
        <f t="shared" si="18"/>
        <v>SI</v>
      </c>
      <c r="X132" s="33">
        <v>8</v>
      </c>
      <c r="Y132" s="31" t="s">
        <v>178</v>
      </c>
      <c r="Z132" s="33" t="s">
        <v>87</v>
      </c>
      <c r="AA132" s="45"/>
      <c r="AB132" s="45"/>
      <c r="AC132" s="40"/>
      <c r="AD132" s="42" t="s">
        <v>595</v>
      </c>
      <c r="AE132" s="34" t="s">
        <v>596</v>
      </c>
      <c r="AF132" s="34" t="s">
        <v>576</v>
      </c>
      <c r="AG132" s="41">
        <v>2</v>
      </c>
      <c r="AH132" s="41">
        <v>2</v>
      </c>
      <c r="AI132" s="33">
        <f t="shared" si="20"/>
        <v>4</v>
      </c>
      <c r="AJ132" s="33" t="str">
        <f t="shared" si="21"/>
        <v>BAJO</v>
      </c>
      <c r="AK132" s="33">
        <v>25</v>
      </c>
      <c r="AL132" s="33">
        <f t="shared" si="14"/>
        <v>100</v>
      </c>
      <c r="AM132" s="33" t="str">
        <f t="shared" si="19"/>
        <v>RIESGO ACEPTABLE</v>
      </c>
      <c r="AN132" s="33"/>
      <c r="AO132" s="34"/>
      <c r="AP132" s="40"/>
      <c r="AQ132" s="42" t="s">
        <v>597</v>
      </c>
      <c r="AR132" s="34" t="s">
        <v>596</v>
      </c>
      <c r="AS132" s="61" t="s">
        <v>466</v>
      </c>
    </row>
    <row r="133" spans="1:45" s="8" customFormat="1" ht="67.2" x14ac:dyDescent="0.25">
      <c r="A133" s="195"/>
      <c r="B133" s="198"/>
      <c r="C133" s="166"/>
      <c r="D133" s="196"/>
      <c r="E133" s="32" t="s">
        <v>496</v>
      </c>
      <c r="F133" s="152"/>
      <c r="G133" s="47" t="s">
        <v>592</v>
      </c>
      <c r="H133" s="34" t="s">
        <v>191</v>
      </c>
      <c r="I133" s="32" t="s">
        <v>1246</v>
      </c>
      <c r="J133" s="32" t="s">
        <v>598</v>
      </c>
      <c r="K133" s="32" t="s">
        <v>104</v>
      </c>
      <c r="L133" s="68" t="s">
        <v>193</v>
      </c>
      <c r="M133" s="73" t="s">
        <v>332</v>
      </c>
      <c r="N133" s="73" t="s">
        <v>641</v>
      </c>
      <c r="O133" s="73" t="s">
        <v>491</v>
      </c>
      <c r="P133" s="70">
        <v>2</v>
      </c>
      <c r="Q133" s="41">
        <v>2</v>
      </c>
      <c r="R133" s="33">
        <f t="shared" si="13"/>
        <v>4</v>
      </c>
      <c r="S133" s="33" t="str">
        <f t="shared" si="15"/>
        <v>BAJO</v>
      </c>
      <c r="T133" s="33">
        <v>10</v>
      </c>
      <c r="U133" s="75">
        <f t="shared" si="16"/>
        <v>40</v>
      </c>
      <c r="V133" s="33" t="str">
        <f t="shared" si="17"/>
        <v>lll</v>
      </c>
      <c r="W133" s="74" t="str">
        <f t="shared" si="18"/>
        <v>SI</v>
      </c>
      <c r="X133" s="33">
        <v>8</v>
      </c>
      <c r="Y133" s="31" t="s">
        <v>195</v>
      </c>
      <c r="Z133" s="33" t="s">
        <v>87</v>
      </c>
      <c r="AA133" s="45"/>
      <c r="AB133" s="34"/>
      <c r="AC133" s="40"/>
      <c r="AD133" s="42" t="s">
        <v>599</v>
      </c>
      <c r="AE133" s="34" t="s">
        <v>600</v>
      </c>
      <c r="AF133" s="34" t="s">
        <v>576</v>
      </c>
      <c r="AG133" s="41">
        <v>2</v>
      </c>
      <c r="AH133" s="41">
        <v>2</v>
      </c>
      <c r="AI133" s="33">
        <f t="shared" si="20"/>
        <v>4</v>
      </c>
      <c r="AJ133" s="33" t="str">
        <f t="shared" si="21"/>
        <v>BAJO</v>
      </c>
      <c r="AK133" s="33">
        <v>25</v>
      </c>
      <c r="AL133" s="33">
        <f t="shared" si="14"/>
        <v>100</v>
      </c>
      <c r="AM133" s="33" t="str">
        <f t="shared" si="19"/>
        <v>RIESGO ACEPTABLE</v>
      </c>
      <c r="AN133" s="33"/>
      <c r="AO133" s="34"/>
      <c r="AP133" s="40"/>
      <c r="AQ133" s="42" t="s">
        <v>601</v>
      </c>
      <c r="AR133" s="34" t="s">
        <v>600</v>
      </c>
      <c r="AS133" s="61" t="s">
        <v>466</v>
      </c>
    </row>
    <row r="134" spans="1:45" s="8" customFormat="1" ht="96" x14ac:dyDescent="0.25">
      <c r="A134" s="195"/>
      <c r="B134" s="198"/>
      <c r="C134" s="166"/>
      <c r="D134" s="196"/>
      <c r="E134" s="32" t="s">
        <v>496</v>
      </c>
      <c r="F134" s="152"/>
      <c r="G134" s="47" t="s">
        <v>592</v>
      </c>
      <c r="H134" s="34" t="s">
        <v>380</v>
      </c>
      <c r="I134" s="32" t="s">
        <v>1246</v>
      </c>
      <c r="J134" s="34" t="s">
        <v>625</v>
      </c>
      <c r="K134" s="32" t="s">
        <v>104</v>
      </c>
      <c r="L134" s="68" t="s">
        <v>383</v>
      </c>
      <c r="M134" s="73" t="s">
        <v>332</v>
      </c>
      <c r="N134" s="73" t="s">
        <v>642</v>
      </c>
      <c r="O134" s="73" t="s">
        <v>643</v>
      </c>
      <c r="P134" s="70">
        <v>2</v>
      </c>
      <c r="Q134" s="41">
        <v>2</v>
      </c>
      <c r="R134" s="33">
        <f t="shared" si="13"/>
        <v>4</v>
      </c>
      <c r="S134" s="33" t="str">
        <f t="shared" si="15"/>
        <v>BAJO</v>
      </c>
      <c r="T134" s="33">
        <v>10</v>
      </c>
      <c r="U134" s="75">
        <f t="shared" si="16"/>
        <v>40</v>
      </c>
      <c r="V134" s="33" t="str">
        <f t="shared" si="17"/>
        <v>lll</v>
      </c>
      <c r="W134" s="74" t="str">
        <f t="shared" si="18"/>
        <v>SI</v>
      </c>
      <c r="X134" s="33">
        <v>8</v>
      </c>
      <c r="Y134" s="31" t="s">
        <v>385</v>
      </c>
      <c r="Z134" s="33" t="s">
        <v>87</v>
      </c>
      <c r="AA134" s="45"/>
      <c r="AB134" s="34"/>
      <c r="AC134" s="34"/>
      <c r="AD134" s="34" t="s">
        <v>604</v>
      </c>
      <c r="AE134" s="34" t="s">
        <v>605</v>
      </c>
      <c r="AF134" s="34" t="s">
        <v>576</v>
      </c>
      <c r="AG134" s="41">
        <v>2</v>
      </c>
      <c r="AH134" s="41">
        <v>2</v>
      </c>
      <c r="AI134" s="33">
        <f t="shared" si="20"/>
        <v>4</v>
      </c>
      <c r="AJ134" s="33" t="str">
        <f t="shared" si="21"/>
        <v>BAJO</v>
      </c>
      <c r="AK134" s="33">
        <v>25</v>
      </c>
      <c r="AL134" s="33">
        <f t="shared" si="14"/>
        <v>100</v>
      </c>
      <c r="AM134" s="33" t="str">
        <f t="shared" si="19"/>
        <v>RIESGO ACEPTABLE</v>
      </c>
      <c r="AN134" s="33"/>
      <c r="AO134" s="34"/>
      <c r="AP134" s="34"/>
      <c r="AQ134" s="34" t="s">
        <v>606</v>
      </c>
      <c r="AR134" s="34" t="s">
        <v>605</v>
      </c>
      <c r="AS134" s="61" t="s">
        <v>466</v>
      </c>
    </row>
    <row r="135" spans="1:45" s="8" customFormat="1" ht="67.2" x14ac:dyDescent="0.25">
      <c r="A135" s="195"/>
      <c r="B135" s="198"/>
      <c r="C135" s="166"/>
      <c r="D135" s="196"/>
      <c r="E135" s="32" t="s">
        <v>496</v>
      </c>
      <c r="F135" s="152"/>
      <c r="G135" s="47" t="s">
        <v>592</v>
      </c>
      <c r="H135" s="34" t="s">
        <v>316</v>
      </c>
      <c r="I135" s="32" t="s">
        <v>1233</v>
      </c>
      <c r="J135" s="32" t="s">
        <v>607</v>
      </c>
      <c r="K135" s="32" t="s">
        <v>104</v>
      </c>
      <c r="L135" s="68" t="s">
        <v>83</v>
      </c>
      <c r="M135" s="73" t="s">
        <v>332</v>
      </c>
      <c r="N135" s="73" t="s">
        <v>106</v>
      </c>
      <c r="O135" s="73" t="s">
        <v>608</v>
      </c>
      <c r="P135" s="70">
        <v>2</v>
      </c>
      <c r="Q135" s="41">
        <v>3</v>
      </c>
      <c r="R135" s="33">
        <f t="shared" si="13"/>
        <v>6</v>
      </c>
      <c r="S135" s="33" t="str">
        <f t="shared" si="15"/>
        <v>MEDIO</v>
      </c>
      <c r="T135" s="33">
        <v>10</v>
      </c>
      <c r="U135" s="75">
        <f t="shared" si="16"/>
        <v>60</v>
      </c>
      <c r="V135" s="33" t="str">
        <f t="shared" si="17"/>
        <v>lll</v>
      </c>
      <c r="W135" s="74" t="str">
        <f t="shared" si="18"/>
        <v>SI</v>
      </c>
      <c r="X135" s="33">
        <v>8</v>
      </c>
      <c r="Y135" s="31" t="s">
        <v>108</v>
      </c>
      <c r="Z135" s="33" t="s">
        <v>87</v>
      </c>
      <c r="AA135" s="45"/>
      <c r="AB135" s="34"/>
      <c r="AC135" s="42"/>
      <c r="AD135" s="42" t="s">
        <v>609</v>
      </c>
      <c r="AE135" s="34" t="s">
        <v>610</v>
      </c>
      <c r="AF135" s="34" t="s">
        <v>576</v>
      </c>
      <c r="AG135" s="41">
        <v>2</v>
      </c>
      <c r="AH135" s="41">
        <v>2</v>
      </c>
      <c r="AI135" s="33">
        <f t="shared" si="20"/>
        <v>4</v>
      </c>
      <c r="AJ135" s="33" t="str">
        <f t="shared" si="21"/>
        <v>BAJO</v>
      </c>
      <c r="AK135" s="33">
        <v>10</v>
      </c>
      <c r="AL135" s="33">
        <f t="shared" si="14"/>
        <v>40</v>
      </c>
      <c r="AM135" s="33" t="str">
        <f t="shared" si="19"/>
        <v>RIESGO ACEPTABLE</v>
      </c>
      <c r="AN135" s="33"/>
      <c r="AO135" s="34"/>
      <c r="AP135" s="42"/>
      <c r="AQ135" s="42" t="s">
        <v>611</v>
      </c>
      <c r="AR135" s="34" t="s">
        <v>610</v>
      </c>
      <c r="AS135" s="61" t="s">
        <v>466</v>
      </c>
    </row>
    <row r="136" spans="1:45" s="8" customFormat="1" ht="67.2" x14ac:dyDescent="0.25">
      <c r="A136" s="195"/>
      <c r="B136" s="198"/>
      <c r="C136" s="166"/>
      <c r="D136" s="196"/>
      <c r="E136" s="32" t="s">
        <v>496</v>
      </c>
      <c r="F136" s="152"/>
      <c r="G136" s="47" t="s">
        <v>592</v>
      </c>
      <c r="H136" s="34" t="s">
        <v>205</v>
      </c>
      <c r="I136" s="32" t="s">
        <v>1233</v>
      </c>
      <c r="J136" s="32" t="s">
        <v>644</v>
      </c>
      <c r="K136" s="32" t="s">
        <v>104</v>
      </c>
      <c r="L136" s="68" t="s">
        <v>207</v>
      </c>
      <c r="M136" s="73" t="s">
        <v>332</v>
      </c>
      <c r="N136" s="73" t="s">
        <v>106</v>
      </c>
      <c r="O136" s="73" t="s">
        <v>608</v>
      </c>
      <c r="P136" s="70">
        <v>2</v>
      </c>
      <c r="Q136" s="41">
        <v>3</v>
      </c>
      <c r="R136" s="33">
        <f t="shared" si="13"/>
        <v>6</v>
      </c>
      <c r="S136" s="33" t="str">
        <f t="shared" si="15"/>
        <v>MEDIO</v>
      </c>
      <c r="T136" s="33">
        <v>10</v>
      </c>
      <c r="U136" s="75">
        <f t="shared" si="16"/>
        <v>60</v>
      </c>
      <c r="V136" s="33" t="str">
        <f t="shared" si="17"/>
        <v>lll</v>
      </c>
      <c r="W136" s="74" t="str">
        <f t="shared" si="18"/>
        <v>SI</v>
      </c>
      <c r="X136" s="33">
        <v>8</v>
      </c>
      <c r="Y136" s="31" t="s">
        <v>209</v>
      </c>
      <c r="Z136" s="33" t="s">
        <v>87</v>
      </c>
      <c r="AA136" s="45"/>
      <c r="AB136" s="34"/>
      <c r="AC136" s="42"/>
      <c r="AD136" s="34" t="s">
        <v>628</v>
      </c>
      <c r="AE136" s="34" t="s">
        <v>629</v>
      </c>
      <c r="AF136" s="34" t="s">
        <v>576</v>
      </c>
      <c r="AG136" s="41">
        <v>2</v>
      </c>
      <c r="AH136" s="41">
        <v>2</v>
      </c>
      <c r="AI136" s="33">
        <f t="shared" si="20"/>
        <v>4</v>
      </c>
      <c r="AJ136" s="33" t="str">
        <f t="shared" si="21"/>
        <v>BAJO</v>
      </c>
      <c r="AK136" s="33">
        <v>25</v>
      </c>
      <c r="AL136" s="33">
        <f t="shared" si="14"/>
        <v>100</v>
      </c>
      <c r="AM136" s="33" t="str">
        <f t="shared" si="19"/>
        <v>RIESGO ACEPTABLE</v>
      </c>
      <c r="AN136" s="33"/>
      <c r="AO136" s="34"/>
      <c r="AP136" s="42"/>
      <c r="AQ136" s="34" t="s">
        <v>630</v>
      </c>
      <c r="AR136" s="34" t="s">
        <v>629</v>
      </c>
      <c r="AS136" s="61" t="s">
        <v>466</v>
      </c>
    </row>
    <row r="137" spans="1:45" s="8" customFormat="1" ht="67.2" x14ac:dyDescent="0.25">
      <c r="A137" s="195"/>
      <c r="B137" s="198"/>
      <c r="C137" s="166"/>
      <c r="D137" s="196"/>
      <c r="E137" s="32" t="s">
        <v>496</v>
      </c>
      <c r="F137" s="152"/>
      <c r="G137" s="47" t="s">
        <v>592</v>
      </c>
      <c r="H137" s="34" t="s">
        <v>101</v>
      </c>
      <c r="I137" s="32" t="s">
        <v>1233</v>
      </c>
      <c r="J137" s="32" t="s">
        <v>644</v>
      </c>
      <c r="K137" s="32" t="s">
        <v>104</v>
      </c>
      <c r="L137" s="68" t="s">
        <v>207</v>
      </c>
      <c r="M137" s="73" t="s">
        <v>332</v>
      </c>
      <c r="N137" s="73" t="s">
        <v>106</v>
      </c>
      <c r="O137" s="73" t="s">
        <v>608</v>
      </c>
      <c r="P137" s="70">
        <v>2</v>
      </c>
      <c r="Q137" s="41">
        <v>3</v>
      </c>
      <c r="R137" s="33">
        <f t="shared" si="13"/>
        <v>6</v>
      </c>
      <c r="S137" s="33" t="str">
        <f t="shared" si="15"/>
        <v>MEDIO</v>
      </c>
      <c r="T137" s="33">
        <v>10</v>
      </c>
      <c r="U137" s="75">
        <f t="shared" si="16"/>
        <v>60</v>
      </c>
      <c r="V137" s="33" t="str">
        <f t="shared" si="17"/>
        <v>lll</v>
      </c>
      <c r="W137" s="74" t="str">
        <f t="shared" si="18"/>
        <v>SI</v>
      </c>
      <c r="X137" s="33">
        <v>8</v>
      </c>
      <c r="Y137" s="31" t="s">
        <v>108</v>
      </c>
      <c r="Z137" s="33" t="s">
        <v>87</v>
      </c>
      <c r="AA137" s="45"/>
      <c r="AB137" s="34"/>
      <c r="AC137" s="40"/>
      <c r="AD137" s="34" t="s">
        <v>628</v>
      </c>
      <c r="AE137" s="34" t="s">
        <v>645</v>
      </c>
      <c r="AF137" s="34" t="s">
        <v>576</v>
      </c>
      <c r="AG137" s="41">
        <v>2</v>
      </c>
      <c r="AH137" s="41">
        <v>2</v>
      </c>
      <c r="AI137" s="33">
        <f t="shared" si="20"/>
        <v>4</v>
      </c>
      <c r="AJ137" s="33" t="str">
        <f t="shared" si="21"/>
        <v>BAJO</v>
      </c>
      <c r="AK137" s="33">
        <v>25</v>
      </c>
      <c r="AL137" s="33">
        <f t="shared" si="14"/>
        <v>100</v>
      </c>
      <c r="AM137" s="33" t="str">
        <f t="shared" si="19"/>
        <v>RIESGO ACEPTABLE</v>
      </c>
      <c r="AN137" s="33"/>
      <c r="AO137" s="34"/>
      <c r="AP137" s="40"/>
      <c r="AQ137" s="34" t="s">
        <v>646</v>
      </c>
      <c r="AR137" s="34" t="s">
        <v>647</v>
      </c>
      <c r="AS137" s="61" t="s">
        <v>466</v>
      </c>
    </row>
    <row r="138" spans="1:45" s="8" customFormat="1" ht="48" x14ac:dyDescent="0.25">
      <c r="A138" s="195"/>
      <c r="B138" s="198"/>
      <c r="C138" s="166"/>
      <c r="D138" s="196"/>
      <c r="E138" s="32" t="s">
        <v>496</v>
      </c>
      <c r="F138" s="152"/>
      <c r="G138" s="47" t="s">
        <v>592</v>
      </c>
      <c r="H138" s="34" t="s">
        <v>149</v>
      </c>
      <c r="I138" s="34" t="s">
        <v>1236</v>
      </c>
      <c r="J138" s="34" t="s">
        <v>612</v>
      </c>
      <c r="K138" s="32" t="s">
        <v>104</v>
      </c>
      <c r="L138" s="68" t="s">
        <v>327</v>
      </c>
      <c r="M138" s="73" t="s">
        <v>332</v>
      </c>
      <c r="N138" s="73" t="s">
        <v>161</v>
      </c>
      <c r="O138" s="73" t="s">
        <v>152</v>
      </c>
      <c r="P138" s="70">
        <v>2</v>
      </c>
      <c r="Q138" s="41">
        <v>2</v>
      </c>
      <c r="R138" s="33">
        <f t="shared" ref="R138:R200" si="22">P138*Q138</f>
        <v>4</v>
      </c>
      <c r="S138" s="33" t="str">
        <f t="shared" si="15"/>
        <v>BAJO</v>
      </c>
      <c r="T138" s="33">
        <v>10</v>
      </c>
      <c r="U138" s="75">
        <f t="shared" si="16"/>
        <v>40</v>
      </c>
      <c r="V138" s="33" t="str">
        <f t="shared" si="17"/>
        <v>lll</v>
      </c>
      <c r="W138" s="74" t="str">
        <f t="shared" si="18"/>
        <v>SI</v>
      </c>
      <c r="X138" s="33">
        <v>8</v>
      </c>
      <c r="Y138" s="31" t="s">
        <v>143</v>
      </c>
      <c r="Z138" s="33" t="s">
        <v>87</v>
      </c>
      <c r="AA138" s="45"/>
      <c r="AB138" s="34"/>
      <c r="AC138" s="34"/>
      <c r="AD138" s="34" t="s">
        <v>1346</v>
      </c>
      <c r="AE138" s="34"/>
      <c r="AF138" s="34" t="s">
        <v>576</v>
      </c>
      <c r="AG138" s="41">
        <v>2</v>
      </c>
      <c r="AH138" s="41">
        <v>2</v>
      </c>
      <c r="AI138" s="33">
        <f t="shared" si="20"/>
        <v>4</v>
      </c>
      <c r="AJ138" s="33" t="str">
        <f t="shared" si="21"/>
        <v>BAJO</v>
      </c>
      <c r="AK138" s="33">
        <v>25</v>
      </c>
      <c r="AL138" s="33">
        <f t="shared" si="14"/>
        <v>100</v>
      </c>
      <c r="AM138" s="33" t="str">
        <f t="shared" si="19"/>
        <v>RIESGO ACEPTABLE</v>
      </c>
      <c r="AN138" s="33"/>
      <c r="AO138" s="34"/>
      <c r="AP138" s="34"/>
      <c r="AQ138" s="34" t="s">
        <v>1348</v>
      </c>
      <c r="AR138" s="34"/>
      <c r="AS138" s="61" t="s">
        <v>466</v>
      </c>
    </row>
    <row r="139" spans="1:45" s="8" customFormat="1" ht="96" x14ac:dyDescent="0.25">
      <c r="A139" s="195"/>
      <c r="B139" s="198"/>
      <c r="C139" s="166"/>
      <c r="D139" s="196"/>
      <c r="E139" s="32" t="s">
        <v>496</v>
      </c>
      <c r="F139" s="152"/>
      <c r="G139" s="47" t="s">
        <v>592</v>
      </c>
      <c r="H139" s="34" t="s">
        <v>227</v>
      </c>
      <c r="I139" s="34" t="s">
        <v>1245</v>
      </c>
      <c r="J139" s="32" t="s">
        <v>502</v>
      </c>
      <c r="K139" s="32" t="s">
        <v>104</v>
      </c>
      <c r="L139" s="68" t="s">
        <v>229</v>
      </c>
      <c r="M139" s="73" t="s">
        <v>332</v>
      </c>
      <c r="N139" s="73" t="s">
        <v>642</v>
      </c>
      <c r="O139" s="73" t="s">
        <v>559</v>
      </c>
      <c r="P139" s="70">
        <v>6</v>
      </c>
      <c r="Q139" s="41">
        <v>2</v>
      </c>
      <c r="R139" s="33">
        <f t="shared" si="22"/>
        <v>12</v>
      </c>
      <c r="S139" s="33" t="str">
        <f t="shared" si="15"/>
        <v>ALTO</v>
      </c>
      <c r="T139" s="33">
        <v>10</v>
      </c>
      <c r="U139" s="75">
        <f t="shared" si="16"/>
        <v>120</v>
      </c>
      <c r="V139" s="33" t="str">
        <f t="shared" si="17"/>
        <v>lll</v>
      </c>
      <c r="W139" s="74" t="str">
        <f t="shared" si="18"/>
        <v>SI</v>
      </c>
      <c r="X139" s="33">
        <v>8</v>
      </c>
      <c r="Y139" s="31" t="s">
        <v>163</v>
      </c>
      <c r="Z139" s="33" t="s">
        <v>87</v>
      </c>
      <c r="AA139" s="45"/>
      <c r="AB139" s="32"/>
      <c r="AC139" s="40"/>
      <c r="AD139" s="34" t="s">
        <v>504</v>
      </c>
      <c r="AE139" s="34" t="s">
        <v>617</v>
      </c>
      <c r="AF139" s="34" t="s">
        <v>576</v>
      </c>
      <c r="AG139" s="41">
        <v>2</v>
      </c>
      <c r="AH139" s="41">
        <v>2</v>
      </c>
      <c r="AI139" s="33">
        <f t="shared" si="20"/>
        <v>4</v>
      </c>
      <c r="AJ139" s="33" t="str">
        <f t="shared" si="21"/>
        <v>BAJO</v>
      </c>
      <c r="AK139" s="33">
        <v>10</v>
      </c>
      <c r="AL139" s="33">
        <f t="shared" si="14"/>
        <v>40</v>
      </c>
      <c r="AM139" s="33" t="str">
        <f t="shared" si="19"/>
        <v>RIESGO ACEPTABLE</v>
      </c>
      <c r="AN139" s="33"/>
      <c r="AO139" s="32"/>
      <c r="AP139" s="40"/>
      <c r="AQ139" s="34" t="s">
        <v>618</v>
      </c>
      <c r="AR139" s="34" t="s">
        <v>617</v>
      </c>
      <c r="AS139" s="61" t="s">
        <v>466</v>
      </c>
    </row>
    <row r="140" spans="1:45" s="8" customFormat="1" ht="96" x14ac:dyDescent="0.25">
      <c r="A140" s="195"/>
      <c r="B140" s="198"/>
      <c r="C140" s="166"/>
      <c r="D140" s="196"/>
      <c r="E140" s="32" t="s">
        <v>496</v>
      </c>
      <c r="F140" s="152"/>
      <c r="G140" s="47" t="s">
        <v>592</v>
      </c>
      <c r="H140" s="34" t="s">
        <v>157</v>
      </c>
      <c r="I140" s="34" t="s">
        <v>1245</v>
      </c>
      <c r="J140" s="34" t="s">
        <v>619</v>
      </c>
      <c r="K140" s="32" t="s">
        <v>104</v>
      </c>
      <c r="L140" s="68" t="s">
        <v>160</v>
      </c>
      <c r="M140" s="73" t="s">
        <v>332</v>
      </c>
      <c r="N140" s="73" t="s">
        <v>642</v>
      </c>
      <c r="O140" s="73" t="s">
        <v>648</v>
      </c>
      <c r="P140" s="70">
        <v>6</v>
      </c>
      <c r="Q140" s="41">
        <v>3</v>
      </c>
      <c r="R140" s="33">
        <f t="shared" si="22"/>
        <v>18</v>
      </c>
      <c r="S140" s="33" t="str">
        <f t="shared" si="15"/>
        <v>ALTO</v>
      </c>
      <c r="T140" s="33">
        <v>10</v>
      </c>
      <c r="U140" s="75">
        <f t="shared" si="16"/>
        <v>180</v>
      </c>
      <c r="V140" s="33" t="str">
        <f t="shared" si="17"/>
        <v>ll</v>
      </c>
      <c r="W140" s="74" t="str">
        <f t="shared" si="18"/>
        <v>NO</v>
      </c>
      <c r="X140" s="33">
        <v>8</v>
      </c>
      <c r="Y140" s="31" t="s">
        <v>163</v>
      </c>
      <c r="Z140" s="33" t="s">
        <v>87</v>
      </c>
      <c r="AA140" s="45"/>
      <c r="AB140" s="34"/>
      <c r="AC140" s="34"/>
      <c r="AD140" s="42" t="s">
        <v>620</v>
      </c>
      <c r="AE140" s="34" t="s">
        <v>621</v>
      </c>
      <c r="AF140" s="34" t="s">
        <v>576</v>
      </c>
      <c r="AG140" s="41">
        <v>2</v>
      </c>
      <c r="AH140" s="41">
        <v>2</v>
      </c>
      <c r="AI140" s="33">
        <f t="shared" si="20"/>
        <v>4</v>
      </c>
      <c r="AJ140" s="33" t="str">
        <f t="shared" si="21"/>
        <v>BAJO</v>
      </c>
      <c r="AK140" s="33">
        <v>25</v>
      </c>
      <c r="AL140" s="33">
        <f t="shared" si="14"/>
        <v>100</v>
      </c>
      <c r="AM140" s="33" t="str">
        <f t="shared" si="19"/>
        <v>RIESGO ACEPTABLE</v>
      </c>
      <c r="AN140" s="33"/>
      <c r="AO140" s="34"/>
      <c r="AP140" s="40"/>
      <c r="AQ140" s="42" t="s">
        <v>622</v>
      </c>
      <c r="AR140" s="34" t="s">
        <v>621</v>
      </c>
      <c r="AS140" s="61" t="s">
        <v>466</v>
      </c>
    </row>
    <row r="141" spans="1:45" s="8" customFormat="1" ht="96" x14ac:dyDescent="0.25">
      <c r="A141" s="195"/>
      <c r="B141" s="198"/>
      <c r="C141" s="166"/>
      <c r="D141" s="196"/>
      <c r="E141" s="32" t="s">
        <v>496</v>
      </c>
      <c r="F141" s="152"/>
      <c r="G141" s="47" t="s">
        <v>592</v>
      </c>
      <c r="H141" s="32" t="s">
        <v>649</v>
      </c>
      <c r="I141" s="34" t="s">
        <v>1245</v>
      </c>
      <c r="J141" s="32" t="s">
        <v>650</v>
      </c>
      <c r="K141" s="32" t="s">
        <v>104</v>
      </c>
      <c r="L141" s="68" t="s">
        <v>651</v>
      </c>
      <c r="M141" s="73" t="s">
        <v>332</v>
      </c>
      <c r="N141" s="73" t="s">
        <v>642</v>
      </c>
      <c r="O141" s="73" t="s">
        <v>652</v>
      </c>
      <c r="P141" s="70">
        <v>2</v>
      </c>
      <c r="Q141" s="41">
        <v>2</v>
      </c>
      <c r="R141" s="33">
        <f t="shared" si="22"/>
        <v>4</v>
      </c>
      <c r="S141" s="33" t="str">
        <f t="shared" si="15"/>
        <v>BAJO</v>
      </c>
      <c r="T141" s="33">
        <v>10</v>
      </c>
      <c r="U141" s="75">
        <f t="shared" si="16"/>
        <v>40</v>
      </c>
      <c r="V141" s="33" t="str">
        <f t="shared" si="17"/>
        <v>lll</v>
      </c>
      <c r="W141" s="74" t="str">
        <f t="shared" si="18"/>
        <v>SI</v>
      </c>
      <c r="X141" s="33">
        <v>8</v>
      </c>
      <c r="Y141" s="31" t="s">
        <v>653</v>
      </c>
      <c r="Z141" s="33" t="s">
        <v>87</v>
      </c>
      <c r="AA141" s="45"/>
      <c r="AB141" s="34"/>
      <c r="AC141" s="40"/>
      <c r="AD141" s="34" t="s">
        <v>654</v>
      </c>
      <c r="AE141" s="34" t="s">
        <v>655</v>
      </c>
      <c r="AF141" s="34" t="s">
        <v>576</v>
      </c>
      <c r="AG141" s="41">
        <v>2</v>
      </c>
      <c r="AH141" s="41">
        <v>2</v>
      </c>
      <c r="AI141" s="33">
        <f t="shared" si="20"/>
        <v>4</v>
      </c>
      <c r="AJ141" s="33" t="str">
        <f t="shared" si="21"/>
        <v>BAJO</v>
      </c>
      <c r="AK141" s="33">
        <v>25</v>
      </c>
      <c r="AL141" s="33">
        <f t="shared" si="14"/>
        <v>100</v>
      </c>
      <c r="AM141" s="33" t="str">
        <f t="shared" si="19"/>
        <v>RIESGO ACEPTABLE</v>
      </c>
      <c r="AN141" s="33"/>
      <c r="AO141" s="34"/>
      <c r="AP141" s="40"/>
      <c r="AQ141" s="34" t="s">
        <v>656</v>
      </c>
      <c r="AR141" s="34" t="s">
        <v>655</v>
      </c>
      <c r="AS141" s="61" t="s">
        <v>466</v>
      </c>
    </row>
    <row r="142" spans="1:45" s="8" customFormat="1" ht="96" x14ac:dyDescent="0.25">
      <c r="A142" s="195"/>
      <c r="B142" s="198"/>
      <c r="C142" s="166"/>
      <c r="D142" s="196"/>
      <c r="E142" s="32" t="s">
        <v>496</v>
      </c>
      <c r="F142" s="152"/>
      <c r="G142" s="47" t="s">
        <v>592</v>
      </c>
      <c r="H142" s="34" t="s">
        <v>631</v>
      </c>
      <c r="I142" s="32" t="s">
        <v>1246</v>
      </c>
      <c r="J142" s="32" t="s">
        <v>657</v>
      </c>
      <c r="K142" s="32" t="s">
        <v>104</v>
      </c>
      <c r="L142" s="68" t="s">
        <v>633</v>
      </c>
      <c r="M142" s="73" t="s">
        <v>332</v>
      </c>
      <c r="N142" s="73" t="s">
        <v>642</v>
      </c>
      <c r="O142" s="73" t="s">
        <v>658</v>
      </c>
      <c r="P142" s="70">
        <v>2</v>
      </c>
      <c r="Q142" s="41">
        <v>3</v>
      </c>
      <c r="R142" s="33">
        <f t="shared" si="22"/>
        <v>6</v>
      </c>
      <c r="S142" s="33" t="str">
        <f t="shared" si="15"/>
        <v>MEDIO</v>
      </c>
      <c r="T142" s="33">
        <v>25</v>
      </c>
      <c r="U142" s="75">
        <f t="shared" si="16"/>
        <v>150</v>
      </c>
      <c r="V142" s="33" t="str">
        <f t="shared" si="17"/>
        <v>ll</v>
      </c>
      <c r="W142" s="74" t="str">
        <f t="shared" si="18"/>
        <v>NO</v>
      </c>
      <c r="X142" s="33">
        <v>8</v>
      </c>
      <c r="Y142" s="31" t="s">
        <v>634</v>
      </c>
      <c r="Z142" s="33" t="s">
        <v>87</v>
      </c>
      <c r="AA142" s="45"/>
      <c r="AB142" s="34"/>
      <c r="AC142" s="34" t="s">
        <v>659</v>
      </c>
      <c r="AD142" s="34" t="s">
        <v>660</v>
      </c>
      <c r="AE142" s="34"/>
      <c r="AF142" s="34" t="s">
        <v>576</v>
      </c>
      <c r="AG142" s="41">
        <v>2</v>
      </c>
      <c r="AH142" s="41">
        <v>3</v>
      </c>
      <c r="AI142" s="33">
        <f t="shared" si="20"/>
        <v>6</v>
      </c>
      <c r="AJ142" s="33" t="str">
        <f t="shared" si="21"/>
        <v>MEDIO</v>
      </c>
      <c r="AK142" s="33">
        <v>10</v>
      </c>
      <c r="AL142" s="33">
        <f t="shared" si="14"/>
        <v>60</v>
      </c>
      <c r="AM142" s="33" t="str">
        <f t="shared" si="19"/>
        <v>RIESGO ACEPTABLE</v>
      </c>
      <c r="AN142" s="33"/>
      <c r="AO142" s="34"/>
      <c r="AP142" s="34" t="s">
        <v>659</v>
      </c>
      <c r="AQ142" s="34" t="s">
        <v>661</v>
      </c>
      <c r="AR142" s="34"/>
      <c r="AS142" s="61" t="s">
        <v>466</v>
      </c>
    </row>
    <row r="143" spans="1:45" s="8" customFormat="1" ht="67.2" x14ac:dyDescent="0.25">
      <c r="A143" s="195"/>
      <c r="B143" s="198"/>
      <c r="C143" s="166"/>
      <c r="D143" s="201" t="s">
        <v>662</v>
      </c>
      <c r="E143" s="32" t="s">
        <v>496</v>
      </c>
      <c r="F143" s="152" t="s">
        <v>663</v>
      </c>
      <c r="G143" s="47" t="s">
        <v>592</v>
      </c>
      <c r="H143" s="34" t="s">
        <v>183</v>
      </c>
      <c r="I143" s="34" t="s">
        <v>1245</v>
      </c>
      <c r="J143" s="32" t="s">
        <v>593</v>
      </c>
      <c r="K143" s="32" t="s">
        <v>104</v>
      </c>
      <c r="L143" s="68" t="s">
        <v>185</v>
      </c>
      <c r="M143" s="73" t="s">
        <v>332</v>
      </c>
      <c r="N143" s="73" t="s">
        <v>641</v>
      </c>
      <c r="O143" s="73" t="s">
        <v>548</v>
      </c>
      <c r="P143" s="70">
        <v>2</v>
      </c>
      <c r="Q143" s="41">
        <v>3</v>
      </c>
      <c r="R143" s="33">
        <f t="shared" si="22"/>
        <v>6</v>
      </c>
      <c r="S143" s="33" t="str">
        <f t="shared" si="15"/>
        <v>MEDIO</v>
      </c>
      <c r="T143" s="33">
        <v>10</v>
      </c>
      <c r="U143" s="75">
        <f t="shared" si="16"/>
        <v>60</v>
      </c>
      <c r="V143" s="33" t="str">
        <f t="shared" si="17"/>
        <v>lll</v>
      </c>
      <c r="W143" s="74" t="str">
        <f t="shared" si="18"/>
        <v>SI</v>
      </c>
      <c r="X143" s="33">
        <v>8</v>
      </c>
      <c r="Y143" s="31" t="s">
        <v>178</v>
      </c>
      <c r="Z143" s="33" t="s">
        <v>87</v>
      </c>
      <c r="AA143" s="45"/>
      <c r="AB143" s="34"/>
      <c r="AC143" s="34"/>
      <c r="AD143" s="42" t="s">
        <v>595</v>
      </c>
      <c r="AE143" s="34" t="s">
        <v>596</v>
      </c>
      <c r="AF143" s="34" t="s">
        <v>576</v>
      </c>
      <c r="AG143" s="41">
        <v>2</v>
      </c>
      <c r="AH143" s="41">
        <v>2</v>
      </c>
      <c r="AI143" s="33">
        <f t="shared" si="20"/>
        <v>4</v>
      </c>
      <c r="AJ143" s="33" t="str">
        <f t="shared" si="21"/>
        <v>BAJO</v>
      </c>
      <c r="AK143" s="33">
        <v>25</v>
      </c>
      <c r="AL143" s="33">
        <f t="shared" ref="AL143:AL204" si="23">AI143*AK143</f>
        <v>100</v>
      </c>
      <c r="AM143" s="33" t="str">
        <f t="shared" si="19"/>
        <v>RIESGO ACEPTABLE</v>
      </c>
      <c r="AN143" s="33"/>
      <c r="AO143" s="34"/>
      <c r="AP143" s="34"/>
      <c r="AQ143" s="42" t="s">
        <v>597</v>
      </c>
      <c r="AR143" s="34" t="s">
        <v>596</v>
      </c>
      <c r="AS143" s="61" t="s">
        <v>466</v>
      </c>
    </row>
    <row r="144" spans="1:45" s="8" customFormat="1" ht="67.2" x14ac:dyDescent="0.25">
      <c r="A144" s="195"/>
      <c r="B144" s="198"/>
      <c r="C144" s="166"/>
      <c r="D144" s="201"/>
      <c r="E144" s="32" t="s">
        <v>496</v>
      </c>
      <c r="F144" s="152"/>
      <c r="G144" s="47" t="s">
        <v>592</v>
      </c>
      <c r="H144" s="34" t="s">
        <v>191</v>
      </c>
      <c r="I144" s="32" t="s">
        <v>1246</v>
      </c>
      <c r="J144" s="32" t="s">
        <v>598</v>
      </c>
      <c r="K144" s="32" t="s">
        <v>104</v>
      </c>
      <c r="L144" s="68" t="s">
        <v>193</v>
      </c>
      <c r="M144" s="73" t="s">
        <v>332</v>
      </c>
      <c r="N144" s="73" t="s">
        <v>641</v>
      </c>
      <c r="O144" s="73" t="s">
        <v>624</v>
      </c>
      <c r="P144" s="70">
        <v>2</v>
      </c>
      <c r="Q144" s="41">
        <v>2</v>
      </c>
      <c r="R144" s="33">
        <f t="shared" si="22"/>
        <v>4</v>
      </c>
      <c r="S144" s="33" t="str">
        <f t="shared" si="15"/>
        <v>BAJO</v>
      </c>
      <c r="T144" s="33">
        <v>10</v>
      </c>
      <c r="U144" s="75">
        <f t="shared" si="16"/>
        <v>40</v>
      </c>
      <c r="V144" s="33" t="str">
        <f t="shared" si="17"/>
        <v>lll</v>
      </c>
      <c r="W144" s="74" t="str">
        <f t="shared" si="18"/>
        <v>SI</v>
      </c>
      <c r="X144" s="33">
        <v>8</v>
      </c>
      <c r="Y144" s="31" t="s">
        <v>195</v>
      </c>
      <c r="Z144" s="33" t="s">
        <v>87</v>
      </c>
      <c r="AA144" s="45"/>
      <c r="AB144" s="34"/>
      <c r="AC144" s="34"/>
      <c r="AD144" s="42" t="s">
        <v>599</v>
      </c>
      <c r="AE144" s="34" t="s">
        <v>600</v>
      </c>
      <c r="AF144" s="34" t="s">
        <v>576</v>
      </c>
      <c r="AG144" s="41">
        <v>2</v>
      </c>
      <c r="AH144" s="41">
        <v>2</v>
      </c>
      <c r="AI144" s="33">
        <f t="shared" si="20"/>
        <v>4</v>
      </c>
      <c r="AJ144" s="33" t="str">
        <f t="shared" si="21"/>
        <v>BAJO</v>
      </c>
      <c r="AK144" s="33">
        <v>25</v>
      </c>
      <c r="AL144" s="33">
        <f t="shared" si="23"/>
        <v>100</v>
      </c>
      <c r="AM144" s="33" t="str">
        <f t="shared" si="19"/>
        <v>RIESGO ACEPTABLE</v>
      </c>
      <c r="AN144" s="33"/>
      <c r="AO144" s="34"/>
      <c r="AP144" s="34"/>
      <c r="AQ144" s="42" t="s">
        <v>601</v>
      </c>
      <c r="AR144" s="34" t="s">
        <v>600</v>
      </c>
      <c r="AS144" s="61" t="s">
        <v>466</v>
      </c>
    </row>
    <row r="145" spans="1:45" s="8" customFormat="1" ht="67.2" x14ac:dyDescent="0.25">
      <c r="A145" s="195"/>
      <c r="B145" s="198"/>
      <c r="C145" s="166"/>
      <c r="D145" s="201"/>
      <c r="E145" s="32" t="s">
        <v>496</v>
      </c>
      <c r="F145" s="152"/>
      <c r="G145" s="47" t="s">
        <v>592</v>
      </c>
      <c r="H145" s="34" t="s">
        <v>380</v>
      </c>
      <c r="I145" s="32" t="s">
        <v>1246</v>
      </c>
      <c r="J145" s="34" t="s">
        <v>625</v>
      </c>
      <c r="K145" s="32" t="s">
        <v>104</v>
      </c>
      <c r="L145" s="68" t="s">
        <v>383</v>
      </c>
      <c r="M145" s="73" t="s">
        <v>332</v>
      </c>
      <c r="N145" s="73" t="s">
        <v>161</v>
      </c>
      <c r="O145" s="73" t="s">
        <v>664</v>
      </c>
      <c r="P145" s="70">
        <v>2</v>
      </c>
      <c r="Q145" s="41">
        <v>2</v>
      </c>
      <c r="R145" s="33">
        <f t="shared" si="22"/>
        <v>4</v>
      </c>
      <c r="S145" s="33" t="str">
        <f t="shared" ref="S145:S206" si="24">IF(AND(R145&gt;=0,R145&lt;=4),"BAJO",IF(AND(R145&gt;=6,R145&lt;=8),"MEDIO",IF(AND(R145&gt;=10,R145&lt;=20),"ALTO",IF(AND(R145&gt;=24,R145&lt;=40),"MUY ALTO"))))</f>
        <v>BAJO</v>
      </c>
      <c r="T145" s="33">
        <v>10</v>
      </c>
      <c r="U145" s="75">
        <f t="shared" si="16"/>
        <v>40</v>
      </c>
      <c r="V145" s="33" t="str">
        <f t="shared" si="17"/>
        <v>lll</v>
      </c>
      <c r="W145" s="74" t="str">
        <f t="shared" si="18"/>
        <v>SI</v>
      </c>
      <c r="X145" s="33">
        <v>8</v>
      </c>
      <c r="Y145" s="31" t="s">
        <v>385</v>
      </c>
      <c r="Z145" s="33" t="s">
        <v>87</v>
      </c>
      <c r="AA145" s="45"/>
      <c r="AB145" s="34"/>
      <c r="AC145" s="34"/>
      <c r="AD145" s="34" t="s">
        <v>604</v>
      </c>
      <c r="AE145" s="34" t="s">
        <v>605</v>
      </c>
      <c r="AF145" s="34" t="s">
        <v>576</v>
      </c>
      <c r="AG145" s="41">
        <v>2</v>
      </c>
      <c r="AH145" s="41">
        <v>2</v>
      </c>
      <c r="AI145" s="33">
        <f t="shared" si="20"/>
        <v>4</v>
      </c>
      <c r="AJ145" s="33" t="str">
        <f t="shared" si="21"/>
        <v>BAJO</v>
      </c>
      <c r="AK145" s="33">
        <v>25</v>
      </c>
      <c r="AL145" s="33">
        <f t="shared" si="23"/>
        <v>100</v>
      </c>
      <c r="AM145" s="33" t="str">
        <f t="shared" si="19"/>
        <v>RIESGO ACEPTABLE</v>
      </c>
      <c r="AN145" s="33"/>
      <c r="AO145" s="34"/>
      <c r="AP145" s="34"/>
      <c r="AQ145" s="34" t="s">
        <v>606</v>
      </c>
      <c r="AR145" s="34" t="s">
        <v>605</v>
      </c>
      <c r="AS145" s="61" t="s">
        <v>466</v>
      </c>
    </row>
    <row r="146" spans="1:45" s="8" customFormat="1" ht="38.4" x14ac:dyDescent="0.25">
      <c r="A146" s="195"/>
      <c r="B146" s="198"/>
      <c r="C146" s="166"/>
      <c r="D146" s="201"/>
      <c r="E146" s="32" t="s">
        <v>496</v>
      </c>
      <c r="F146" s="152"/>
      <c r="G146" s="47" t="s">
        <v>592</v>
      </c>
      <c r="H146" s="34" t="s">
        <v>149</v>
      </c>
      <c r="I146" s="34" t="s">
        <v>1243</v>
      </c>
      <c r="J146" s="34" t="s">
        <v>612</v>
      </c>
      <c r="K146" s="32" t="s">
        <v>104</v>
      </c>
      <c r="L146" s="68" t="s">
        <v>327</v>
      </c>
      <c r="M146" s="73" t="s">
        <v>332</v>
      </c>
      <c r="N146" s="73" t="s">
        <v>332</v>
      </c>
      <c r="O146" s="73" t="s">
        <v>556</v>
      </c>
      <c r="P146" s="70">
        <v>2</v>
      </c>
      <c r="Q146" s="41">
        <v>2</v>
      </c>
      <c r="R146" s="33">
        <f t="shared" si="22"/>
        <v>4</v>
      </c>
      <c r="S146" s="33" t="str">
        <f t="shared" si="24"/>
        <v>BAJO</v>
      </c>
      <c r="T146" s="33">
        <v>10</v>
      </c>
      <c r="U146" s="75">
        <f t="shared" ref="U146:U207" si="25">R146*T146</f>
        <v>40</v>
      </c>
      <c r="V146" s="33" t="str">
        <f t="shared" si="17"/>
        <v>lll</v>
      </c>
      <c r="W146" s="74" t="str">
        <f t="shared" ref="W146:W207" si="26">IF(AND(V146="lV"),"SI",IF(AND(V146="lll"),"SI",IF(AND(V146="ll"),"NO",IF(AND(V146="l"),"NO"))))</f>
        <v>SI</v>
      </c>
      <c r="X146" s="33">
        <v>8</v>
      </c>
      <c r="Y146" s="31" t="s">
        <v>143</v>
      </c>
      <c r="Z146" s="33" t="s">
        <v>87</v>
      </c>
      <c r="AA146" s="45"/>
      <c r="AB146" s="34"/>
      <c r="AC146" s="34"/>
      <c r="AD146" s="34" t="s">
        <v>1346</v>
      </c>
      <c r="AE146" s="34"/>
      <c r="AF146" s="34" t="s">
        <v>576</v>
      </c>
      <c r="AG146" s="41">
        <v>2</v>
      </c>
      <c r="AH146" s="41">
        <v>2</v>
      </c>
      <c r="AI146" s="33">
        <f t="shared" si="20"/>
        <v>4</v>
      </c>
      <c r="AJ146" s="33" t="str">
        <f t="shared" si="21"/>
        <v>BAJO</v>
      </c>
      <c r="AK146" s="33">
        <v>25</v>
      </c>
      <c r="AL146" s="33">
        <f t="shared" si="23"/>
        <v>100</v>
      </c>
      <c r="AM146" s="33" t="str">
        <f t="shared" si="19"/>
        <v>RIESGO ACEPTABLE</v>
      </c>
      <c r="AN146" s="33"/>
      <c r="AO146" s="34"/>
      <c r="AP146" s="34"/>
      <c r="AQ146" s="34" t="s">
        <v>1347</v>
      </c>
      <c r="AR146" s="34"/>
      <c r="AS146" s="61" t="s">
        <v>466</v>
      </c>
    </row>
    <row r="147" spans="1:45" s="8" customFormat="1" ht="48" x14ac:dyDescent="0.25">
      <c r="A147" s="195"/>
      <c r="B147" s="198"/>
      <c r="C147" s="166"/>
      <c r="D147" s="201"/>
      <c r="E147" s="32" t="s">
        <v>496</v>
      </c>
      <c r="F147" s="152"/>
      <c r="G147" s="47" t="s">
        <v>592</v>
      </c>
      <c r="H147" s="34" t="s">
        <v>227</v>
      </c>
      <c r="I147" s="34" t="s">
        <v>1245</v>
      </c>
      <c r="J147" s="32" t="s">
        <v>615</v>
      </c>
      <c r="K147" s="32" t="s">
        <v>104</v>
      </c>
      <c r="L147" s="68" t="s">
        <v>229</v>
      </c>
      <c r="M147" s="73" t="s">
        <v>332</v>
      </c>
      <c r="N147" s="73" t="s">
        <v>332</v>
      </c>
      <c r="O147" s="73" t="s">
        <v>230</v>
      </c>
      <c r="P147" s="70">
        <v>2</v>
      </c>
      <c r="Q147" s="41">
        <v>2</v>
      </c>
      <c r="R147" s="33">
        <f t="shared" si="22"/>
        <v>4</v>
      </c>
      <c r="S147" s="33" t="str">
        <f t="shared" si="24"/>
        <v>BAJO</v>
      </c>
      <c r="T147" s="33">
        <v>25</v>
      </c>
      <c r="U147" s="75">
        <f t="shared" si="25"/>
        <v>100</v>
      </c>
      <c r="V147" s="33" t="str">
        <f t="shared" si="17"/>
        <v>lll</v>
      </c>
      <c r="W147" s="74" t="str">
        <f t="shared" si="26"/>
        <v>SI</v>
      </c>
      <c r="X147" s="33">
        <v>8</v>
      </c>
      <c r="Y147" s="31" t="s">
        <v>163</v>
      </c>
      <c r="Z147" s="33" t="s">
        <v>87</v>
      </c>
      <c r="AA147" s="45"/>
      <c r="AB147" s="34"/>
      <c r="AC147" s="34"/>
      <c r="AD147" s="34" t="s">
        <v>504</v>
      </c>
      <c r="AE147" s="34" t="s">
        <v>617</v>
      </c>
      <c r="AF147" s="34" t="s">
        <v>576</v>
      </c>
      <c r="AG147" s="41">
        <v>2</v>
      </c>
      <c r="AH147" s="41">
        <v>2</v>
      </c>
      <c r="AI147" s="33">
        <f t="shared" si="20"/>
        <v>4</v>
      </c>
      <c r="AJ147" s="33" t="str">
        <f t="shared" si="21"/>
        <v>BAJO</v>
      </c>
      <c r="AK147" s="33">
        <v>25</v>
      </c>
      <c r="AL147" s="33">
        <f t="shared" si="23"/>
        <v>100</v>
      </c>
      <c r="AM147" s="33" t="str">
        <f t="shared" si="19"/>
        <v>RIESGO ACEPTABLE</v>
      </c>
      <c r="AN147" s="33"/>
      <c r="AO147" s="34"/>
      <c r="AP147" s="34"/>
      <c r="AQ147" s="34" t="s">
        <v>618</v>
      </c>
      <c r="AR147" s="34" t="s">
        <v>617</v>
      </c>
      <c r="AS147" s="61" t="s">
        <v>466</v>
      </c>
    </row>
    <row r="148" spans="1:45" s="8" customFormat="1" ht="48" x14ac:dyDescent="0.25">
      <c r="A148" s="195"/>
      <c r="B148" s="198"/>
      <c r="C148" s="166"/>
      <c r="D148" s="201"/>
      <c r="E148" s="32" t="s">
        <v>496</v>
      </c>
      <c r="F148" s="152"/>
      <c r="G148" s="47" t="s">
        <v>592</v>
      </c>
      <c r="H148" s="34" t="s">
        <v>157</v>
      </c>
      <c r="I148" s="34" t="s">
        <v>1245</v>
      </c>
      <c r="J148" s="34" t="s">
        <v>619</v>
      </c>
      <c r="K148" s="32" t="s">
        <v>104</v>
      </c>
      <c r="L148" s="68" t="s">
        <v>160</v>
      </c>
      <c r="M148" s="73" t="s">
        <v>332</v>
      </c>
      <c r="N148" s="73" t="s">
        <v>332</v>
      </c>
      <c r="O148" s="73" t="s">
        <v>665</v>
      </c>
      <c r="P148" s="70">
        <v>2</v>
      </c>
      <c r="Q148" s="41">
        <v>2</v>
      </c>
      <c r="R148" s="33">
        <f t="shared" si="22"/>
        <v>4</v>
      </c>
      <c r="S148" s="33" t="str">
        <f t="shared" si="24"/>
        <v>BAJO</v>
      </c>
      <c r="T148" s="33">
        <v>25</v>
      </c>
      <c r="U148" s="75">
        <f t="shared" si="25"/>
        <v>100</v>
      </c>
      <c r="V148" s="33" t="str">
        <f t="shared" ref="V148:V211" si="27">IF(AND(U148&gt;=0,U148&lt;=20),"IV ",IF(AND(U148&gt;=40,U148&lt;=120),"lll",IF(AND(U148&gt;=150,U148&lt;=500),"ll",IF(AND(U148&gt;=600,U148&lt;=4000),"l"))))</f>
        <v>lll</v>
      </c>
      <c r="W148" s="74" t="str">
        <f t="shared" si="26"/>
        <v>SI</v>
      </c>
      <c r="X148" s="33">
        <v>8</v>
      </c>
      <c r="Y148" s="31" t="s">
        <v>163</v>
      </c>
      <c r="Z148" s="33" t="s">
        <v>87</v>
      </c>
      <c r="AA148" s="45"/>
      <c r="AB148" s="34"/>
      <c r="AC148" s="34"/>
      <c r="AD148" s="42" t="s">
        <v>620</v>
      </c>
      <c r="AE148" s="34" t="s">
        <v>621</v>
      </c>
      <c r="AF148" s="34" t="s">
        <v>576</v>
      </c>
      <c r="AG148" s="41">
        <v>2</v>
      </c>
      <c r="AH148" s="41">
        <v>2</v>
      </c>
      <c r="AI148" s="33">
        <f t="shared" si="20"/>
        <v>4</v>
      </c>
      <c r="AJ148" s="33" t="str">
        <f t="shared" si="21"/>
        <v>BAJO</v>
      </c>
      <c r="AK148" s="33">
        <v>25</v>
      </c>
      <c r="AL148" s="33">
        <f t="shared" si="23"/>
        <v>100</v>
      </c>
      <c r="AM148" s="33" t="str">
        <f t="shared" ref="AM148:AM211" si="28">IF(AND(AL148&gt;=0,AL148&lt;=120),"RIESGO ACEPTABLE",IF(AND(AL148&gt;=150,AL148&lt;=500)," RIESGO ACEPTABLE CON CONTROL ESPECIFICO",IF(AND(AL148&gt;=600,AL148&lt;=4000),"RIESGO NO ACEPTABLE")))</f>
        <v>RIESGO ACEPTABLE</v>
      </c>
      <c r="AN148" s="33"/>
      <c r="AO148" s="34"/>
      <c r="AP148" s="34"/>
      <c r="AQ148" s="42" t="s">
        <v>622</v>
      </c>
      <c r="AR148" s="34" t="s">
        <v>621</v>
      </c>
      <c r="AS148" s="61" t="s">
        <v>466</v>
      </c>
    </row>
    <row r="149" spans="1:45" s="8" customFormat="1" ht="58.8" customHeight="1" x14ac:dyDescent="0.25">
      <c r="A149" s="195"/>
      <c r="B149" s="198"/>
      <c r="C149" s="166"/>
      <c r="D149" s="201"/>
      <c r="E149" s="32" t="s">
        <v>496</v>
      </c>
      <c r="F149" s="152"/>
      <c r="G149" s="47" t="s">
        <v>592</v>
      </c>
      <c r="H149" s="34" t="s">
        <v>631</v>
      </c>
      <c r="I149" s="32" t="s">
        <v>170</v>
      </c>
      <c r="J149" s="32" t="s">
        <v>632</v>
      </c>
      <c r="K149" s="32" t="s">
        <v>104</v>
      </c>
      <c r="L149" s="68" t="s">
        <v>633</v>
      </c>
      <c r="M149" s="73" t="s">
        <v>332</v>
      </c>
      <c r="N149" s="73" t="s">
        <v>332</v>
      </c>
      <c r="O149" s="73" t="s">
        <v>666</v>
      </c>
      <c r="P149" s="70">
        <v>2</v>
      </c>
      <c r="Q149" s="41">
        <v>2</v>
      </c>
      <c r="R149" s="33">
        <f t="shared" si="22"/>
        <v>4</v>
      </c>
      <c r="S149" s="33" t="str">
        <f t="shared" si="24"/>
        <v>BAJO</v>
      </c>
      <c r="T149" s="33">
        <v>25</v>
      </c>
      <c r="U149" s="75">
        <f t="shared" si="25"/>
        <v>100</v>
      </c>
      <c r="V149" s="33" t="str">
        <f t="shared" si="27"/>
        <v>lll</v>
      </c>
      <c r="W149" s="74" t="str">
        <f t="shared" si="26"/>
        <v>SI</v>
      </c>
      <c r="X149" s="33">
        <v>8</v>
      </c>
      <c r="Y149" s="31" t="s">
        <v>634</v>
      </c>
      <c r="Z149" s="33" t="s">
        <v>87</v>
      </c>
      <c r="AA149" s="45"/>
      <c r="AB149" s="34"/>
      <c r="AC149" s="34" t="s">
        <v>635</v>
      </c>
      <c r="AD149" s="34" t="s">
        <v>636</v>
      </c>
      <c r="AE149" s="34" t="s">
        <v>637</v>
      </c>
      <c r="AF149" s="34" t="s">
        <v>576</v>
      </c>
      <c r="AG149" s="41">
        <v>2</v>
      </c>
      <c r="AH149" s="41">
        <v>2</v>
      </c>
      <c r="AI149" s="33">
        <f t="shared" si="20"/>
        <v>4</v>
      </c>
      <c r="AJ149" s="33" t="str">
        <f t="shared" si="21"/>
        <v>BAJO</v>
      </c>
      <c r="AK149" s="33">
        <v>25</v>
      </c>
      <c r="AL149" s="33">
        <f t="shared" si="23"/>
        <v>100</v>
      </c>
      <c r="AM149" s="33" t="str">
        <f t="shared" si="28"/>
        <v>RIESGO ACEPTABLE</v>
      </c>
      <c r="AN149" s="33"/>
      <c r="AO149" s="34"/>
      <c r="AP149" s="34" t="s">
        <v>638</v>
      </c>
      <c r="AQ149" s="34" t="s">
        <v>639</v>
      </c>
      <c r="AR149" s="34" t="s">
        <v>637</v>
      </c>
      <c r="AS149" s="61" t="s">
        <v>466</v>
      </c>
    </row>
    <row r="150" spans="1:45" s="8" customFormat="1" ht="67.2" x14ac:dyDescent="0.25">
      <c r="A150" s="195"/>
      <c r="B150" s="198"/>
      <c r="C150" s="166"/>
      <c r="D150" s="201" t="s">
        <v>667</v>
      </c>
      <c r="E150" s="32" t="s">
        <v>496</v>
      </c>
      <c r="F150" s="152" t="s">
        <v>663</v>
      </c>
      <c r="G150" s="47" t="s">
        <v>592</v>
      </c>
      <c r="H150" s="34" t="s">
        <v>183</v>
      </c>
      <c r="I150" s="34" t="s">
        <v>1245</v>
      </c>
      <c r="J150" s="32" t="s">
        <v>593</v>
      </c>
      <c r="K150" s="32" t="s">
        <v>104</v>
      </c>
      <c r="L150" s="68" t="s">
        <v>185</v>
      </c>
      <c r="M150" s="73" t="s">
        <v>332</v>
      </c>
      <c r="N150" s="73" t="s">
        <v>641</v>
      </c>
      <c r="O150" s="73" t="s">
        <v>668</v>
      </c>
      <c r="P150" s="70">
        <v>2</v>
      </c>
      <c r="Q150" s="41">
        <v>3</v>
      </c>
      <c r="R150" s="33">
        <f t="shared" si="22"/>
        <v>6</v>
      </c>
      <c r="S150" s="33" t="str">
        <f t="shared" si="24"/>
        <v>MEDIO</v>
      </c>
      <c r="T150" s="33">
        <v>25</v>
      </c>
      <c r="U150" s="75">
        <f t="shared" si="25"/>
        <v>150</v>
      </c>
      <c r="V150" s="33" t="str">
        <f t="shared" si="27"/>
        <v>ll</v>
      </c>
      <c r="W150" s="74" t="str">
        <f t="shared" si="26"/>
        <v>NO</v>
      </c>
      <c r="X150" s="33">
        <v>8</v>
      </c>
      <c r="Y150" s="31" t="s">
        <v>178</v>
      </c>
      <c r="Z150" s="33" t="s">
        <v>87</v>
      </c>
      <c r="AA150" s="45"/>
      <c r="AB150" s="34"/>
      <c r="AC150" s="34"/>
      <c r="AD150" s="42" t="s">
        <v>595</v>
      </c>
      <c r="AE150" s="34" t="s">
        <v>596</v>
      </c>
      <c r="AF150" s="34" t="s">
        <v>576</v>
      </c>
      <c r="AG150" s="41">
        <v>2</v>
      </c>
      <c r="AH150" s="41">
        <v>2</v>
      </c>
      <c r="AI150" s="33">
        <f t="shared" si="20"/>
        <v>4</v>
      </c>
      <c r="AJ150" s="33" t="str">
        <f t="shared" si="21"/>
        <v>BAJO</v>
      </c>
      <c r="AK150" s="33">
        <v>25</v>
      </c>
      <c r="AL150" s="33">
        <f t="shared" si="23"/>
        <v>100</v>
      </c>
      <c r="AM150" s="33" t="str">
        <f t="shared" si="28"/>
        <v>RIESGO ACEPTABLE</v>
      </c>
      <c r="AN150" s="33"/>
      <c r="AO150" s="34"/>
      <c r="AP150" s="34"/>
      <c r="AQ150" s="42" t="s">
        <v>597</v>
      </c>
      <c r="AR150" s="34" t="s">
        <v>596</v>
      </c>
      <c r="AS150" s="61" t="s">
        <v>466</v>
      </c>
    </row>
    <row r="151" spans="1:45" s="8" customFormat="1" ht="67.2" x14ac:dyDescent="0.25">
      <c r="A151" s="195"/>
      <c r="B151" s="198"/>
      <c r="C151" s="166"/>
      <c r="D151" s="201"/>
      <c r="E151" s="32" t="s">
        <v>496</v>
      </c>
      <c r="F151" s="152"/>
      <c r="G151" s="47" t="s">
        <v>592</v>
      </c>
      <c r="H151" s="34" t="s">
        <v>191</v>
      </c>
      <c r="I151" s="32" t="s">
        <v>170</v>
      </c>
      <c r="J151" s="32" t="s">
        <v>598</v>
      </c>
      <c r="K151" s="32" t="s">
        <v>104</v>
      </c>
      <c r="L151" s="68" t="s">
        <v>193</v>
      </c>
      <c r="M151" s="73" t="s">
        <v>332</v>
      </c>
      <c r="N151" s="73" t="s">
        <v>641</v>
      </c>
      <c r="O151" s="73" t="s">
        <v>669</v>
      </c>
      <c r="P151" s="70">
        <v>2</v>
      </c>
      <c r="Q151" s="41">
        <v>2</v>
      </c>
      <c r="R151" s="33">
        <f t="shared" si="22"/>
        <v>4</v>
      </c>
      <c r="S151" s="33" t="str">
        <f t="shared" si="24"/>
        <v>BAJO</v>
      </c>
      <c r="T151" s="33">
        <v>10</v>
      </c>
      <c r="U151" s="75">
        <f t="shared" si="25"/>
        <v>40</v>
      </c>
      <c r="V151" s="33" t="str">
        <f t="shared" si="27"/>
        <v>lll</v>
      </c>
      <c r="W151" s="74" t="str">
        <f t="shared" si="26"/>
        <v>SI</v>
      </c>
      <c r="X151" s="33">
        <v>8</v>
      </c>
      <c r="Y151" s="31" t="s">
        <v>195</v>
      </c>
      <c r="Z151" s="33" t="s">
        <v>87</v>
      </c>
      <c r="AA151" s="45"/>
      <c r="AB151" s="34"/>
      <c r="AC151" s="34"/>
      <c r="AD151" s="42" t="s">
        <v>599</v>
      </c>
      <c r="AE151" s="34" t="s">
        <v>600</v>
      </c>
      <c r="AF151" s="34" t="s">
        <v>576</v>
      </c>
      <c r="AG151" s="41">
        <v>2</v>
      </c>
      <c r="AH151" s="41">
        <v>2</v>
      </c>
      <c r="AI151" s="33">
        <f t="shared" si="20"/>
        <v>4</v>
      </c>
      <c r="AJ151" s="33" t="str">
        <f t="shared" si="21"/>
        <v>BAJO</v>
      </c>
      <c r="AK151" s="33">
        <v>25</v>
      </c>
      <c r="AL151" s="33">
        <f t="shared" si="23"/>
        <v>100</v>
      </c>
      <c r="AM151" s="33" t="str">
        <f t="shared" si="28"/>
        <v>RIESGO ACEPTABLE</v>
      </c>
      <c r="AN151" s="33"/>
      <c r="AO151" s="34"/>
      <c r="AP151" s="34"/>
      <c r="AQ151" s="42" t="s">
        <v>601</v>
      </c>
      <c r="AR151" s="34" t="s">
        <v>600</v>
      </c>
      <c r="AS151" s="61" t="s">
        <v>466</v>
      </c>
    </row>
    <row r="152" spans="1:45" s="8" customFormat="1" ht="67.2" x14ac:dyDescent="0.25">
      <c r="A152" s="195"/>
      <c r="B152" s="198"/>
      <c r="C152" s="166"/>
      <c r="D152" s="201"/>
      <c r="E152" s="32" t="s">
        <v>496</v>
      </c>
      <c r="F152" s="152"/>
      <c r="G152" s="47" t="s">
        <v>592</v>
      </c>
      <c r="H152" s="34" t="s">
        <v>380</v>
      </c>
      <c r="I152" s="32" t="s">
        <v>170</v>
      </c>
      <c r="J152" s="34" t="s">
        <v>625</v>
      </c>
      <c r="K152" s="32" t="s">
        <v>104</v>
      </c>
      <c r="L152" s="68" t="s">
        <v>383</v>
      </c>
      <c r="M152" s="73" t="s">
        <v>332</v>
      </c>
      <c r="N152" s="73" t="s">
        <v>84</v>
      </c>
      <c r="O152" s="73" t="s">
        <v>669</v>
      </c>
      <c r="P152" s="70">
        <v>2</v>
      </c>
      <c r="Q152" s="41">
        <v>2</v>
      </c>
      <c r="R152" s="33">
        <f t="shared" si="22"/>
        <v>4</v>
      </c>
      <c r="S152" s="33" t="str">
        <f t="shared" si="24"/>
        <v>BAJO</v>
      </c>
      <c r="T152" s="33">
        <v>10</v>
      </c>
      <c r="U152" s="75">
        <f t="shared" si="25"/>
        <v>40</v>
      </c>
      <c r="V152" s="33" t="str">
        <f t="shared" si="27"/>
        <v>lll</v>
      </c>
      <c r="W152" s="74" t="str">
        <f t="shared" si="26"/>
        <v>SI</v>
      </c>
      <c r="X152" s="33">
        <v>8</v>
      </c>
      <c r="Y152" s="31" t="s">
        <v>385</v>
      </c>
      <c r="Z152" s="33" t="s">
        <v>87</v>
      </c>
      <c r="AA152" s="45"/>
      <c r="AB152" s="34"/>
      <c r="AC152" s="34"/>
      <c r="AD152" s="34" t="s">
        <v>604</v>
      </c>
      <c r="AE152" s="34" t="s">
        <v>605</v>
      </c>
      <c r="AF152" s="34" t="s">
        <v>576</v>
      </c>
      <c r="AG152" s="41">
        <v>2</v>
      </c>
      <c r="AH152" s="41">
        <v>2</v>
      </c>
      <c r="AI152" s="33">
        <f t="shared" si="20"/>
        <v>4</v>
      </c>
      <c r="AJ152" s="33" t="str">
        <f t="shared" si="21"/>
        <v>BAJO</v>
      </c>
      <c r="AK152" s="33">
        <v>25</v>
      </c>
      <c r="AL152" s="33">
        <f t="shared" si="23"/>
        <v>100</v>
      </c>
      <c r="AM152" s="33" t="str">
        <f t="shared" si="28"/>
        <v>RIESGO ACEPTABLE</v>
      </c>
      <c r="AN152" s="33"/>
      <c r="AO152" s="34"/>
      <c r="AP152" s="34"/>
      <c r="AQ152" s="34" t="s">
        <v>606</v>
      </c>
      <c r="AR152" s="34" t="s">
        <v>605</v>
      </c>
      <c r="AS152" s="61" t="s">
        <v>466</v>
      </c>
    </row>
    <row r="153" spans="1:45" s="8" customFormat="1" ht="67.2" x14ac:dyDescent="0.25">
      <c r="A153" s="195"/>
      <c r="B153" s="198"/>
      <c r="C153" s="166"/>
      <c r="D153" s="201"/>
      <c r="E153" s="32" t="s">
        <v>496</v>
      </c>
      <c r="F153" s="152"/>
      <c r="G153" s="47" t="s">
        <v>592</v>
      </c>
      <c r="H153" s="34" t="s">
        <v>316</v>
      </c>
      <c r="I153" s="32" t="s">
        <v>1242</v>
      </c>
      <c r="J153" s="32" t="s">
        <v>607</v>
      </c>
      <c r="K153" s="32" t="s">
        <v>104</v>
      </c>
      <c r="L153" s="68" t="s">
        <v>83</v>
      </c>
      <c r="M153" s="73" t="s">
        <v>332</v>
      </c>
      <c r="N153" s="73" t="s">
        <v>106</v>
      </c>
      <c r="O153" s="73" t="s">
        <v>549</v>
      </c>
      <c r="P153" s="70">
        <v>2</v>
      </c>
      <c r="Q153" s="41">
        <v>3</v>
      </c>
      <c r="R153" s="33">
        <f t="shared" si="22"/>
        <v>6</v>
      </c>
      <c r="S153" s="33" t="str">
        <f t="shared" si="24"/>
        <v>MEDIO</v>
      </c>
      <c r="T153" s="33">
        <v>10</v>
      </c>
      <c r="U153" s="75">
        <f t="shared" si="25"/>
        <v>60</v>
      </c>
      <c r="V153" s="33" t="str">
        <f t="shared" si="27"/>
        <v>lll</v>
      </c>
      <c r="W153" s="74" t="str">
        <f t="shared" si="26"/>
        <v>SI</v>
      </c>
      <c r="X153" s="33">
        <v>8</v>
      </c>
      <c r="Y153" s="31" t="s">
        <v>108</v>
      </c>
      <c r="Z153" s="33" t="s">
        <v>87</v>
      </c>
      <c r="AA153" s="45"/>
      <c r="AB153" s="34"/>
      <c r="AC153" s="34"/>
      <c r="AD153" s="42" t="s">
        <v>609</v>
      </c>
      <c r="AE153" s="34" t="s">
        <v>610</v>
      </c>
      <c r="AF153" s="34" t="s">
        <v>576</v>
      </c>
      <c r="AG153" s="41">
        <v>2</v>
      </c>
      <c r="AH153" s="41">
        <v>2</v>
      </c>
      <c r="AI153" s="33">
        <f t="shared" si="20"/>
        <v>4</v>
      </c>
      <c r="AJ153" s="33" t="str">
        <f t="shared" si="21"/>
        <v>BAJO</v>
      </c>
      <c r="AK153" s="33">
        <v>10</v>
      </c>
      <c r="AL153" s="33">
        <f t="shared" si="23"/>
        <v>40</v>
      </c>
      <c r="AM153" s="33" t="str">
        <f t="shared" si="28"/>
        <v>RIESGO ACEPTABLE</v>
      </c>
      <c r="AN153" s="33"/>
      <c r="AO153" s="34"/>
      <c r="AP153" s="40"/>
      <c r="AQ153" s="42" t="s">
        <v>611</v>
      </c>
      <c r="AR153" s="34" t="s">
        <v>610</v>
      </c>
      <c r="AS153" s="61" t="s">
        <v>466</v>
      </c>
    </row>
    <row r="154" spans="1:45" s="8" customFormat="1" ht="67.2" x14ac:dyDescent="0.25">
      <c r="A154" s="195"/>
      <c r="B154" s="198"/>
      <c r="C154" s="166"/>
      <c r="D154" s="201"/>
      <c r="E154" s="32" t="s">
        <v>496</v>
      </c>
      <c r="F154" s="152"/>
      <c r="G154" s="47" t="s">
        <v>592</v>
      </c>
      <c r="H154" s="34" t="s">
        <v>101</v>
      </c>
      <c r="I154" s="32" t="s">
        <v>1242</v>
      </c>
      <c r="J154" s="32" t="s">
        <v>644</v>
      </c>
      <c r="K154" s="32" t="s">
        <v>104</v>
      </c>
      <c r="L154" s="68" t="s">
        <v>207</v>
      </c>
      <c r="M154" s="73" t="s">
        <v>332</v>
      </c>
      <c r="N154" s="73" t="s">
        <v>106</v>
      </c>
      <c r="O154" s="73" t="s">
        <v>549</v>
      </c>
      <c r="P154" s="70">
        <v>2</v>
      </c>
      <c r="Q154" s="41">
        <v>3</v>
      </c>
      <c r="R154" s="33">
        <f t="shared" si="22"/>
        <v>6</v>
      </c>
      <c r="S154" s="33" t="str">
        <f t="shared" si="24"/>
        <v>MEDIO</v>
      </c>
      <c r="T154" s="33">
        <v>10</v>
      </c>
      <c r="U154" s="75">
        <f t="shared" si="25"/>
        <v>60</v>
      </c>
      <c r="V154" s="33" t="str">
        <f t="shared" si="27"/>
        <v>lll</v>
      </c>
      <c r="W154" s="74" t="str">
        <f t="shared" si="26"/>
        <v>SI</v>
      </c>
      <c r="X154" s="33">
        <v>8</v>
      </c>
      <c r="Y154" s="31" t="s">
        <v>108</v>
      </c>
      <c r="Z154" s="33" t="s">
        <v>87</v>
      </c>
      <c r="AA154" s="45"/>
      <c r="AB154" s="32"/>
      <c r="AC154" s="34"/>
      <c r="AD154" s="34" t="s">
        <v>628</v>
      </c>
      <c r="AE154" s="34" t="s">
        <v>645</v>
      </c>
      <c r="AF154" s="34" t="s">
        <v>576</v>
      </c>
      <c r="AG154" s="41">
        <v>2</v>
      </c>
      <c r="AH154" s="41">
        <v>2</v>
      </c>
      <c r="AI154" s="33">
        <f t="shared" si="20"/>
        <v>4</v>
      </c>
      <c r="AJ154" s="33" t="str">
        <f t="shared" si="21"/>
        <v>BAJO</v>
      </c>
      <c r="AK154" s="33">
        <v>25</v>
      </c>
      <c r="AL154" s="33">
        <f t="shared" si="23"/>
        <v>100</v>
      </c>
      <c r="AM154" s="33" t="str">
        <f t="shared" si="28"/>
        <v>RIESGO ACEPTABLE</v>
      </c>
      <c r="AN154" s="33"/>
      <c r="AO154" s="32"/>
      <c r="AP154" s="34"/>
      <c r="AQ154" s="34" t="s">
        <v>646</v>
      </c>
      <c r="AR154" s="34" t="s">
        <v>647</v>
      </c>
      <c r="AS154" s="61" t="s">
        <v>466</v>
      </c>
    </row>
    <row r="155" spans="1:45" s="8" customFormat="1" ht="38.4" x14ac:dyDescent="0.25">
      <c r="A155" s="195"/>
      <c r="B155" s="198"/>
      <c r="C155" s="166"/>
      <c r="D155" s="201"/>
      <c r="E155" s="32" t="s">
        <v>496</v>
      </c>
      <c r="F155" s="152"/>
      <c r="G155" s="47" t="s">
        <v>592</v>
      </c>
      <c r="H155" s="34" t="s">
        <v>149</v>
      </c>
      <c r="I155" s="34" t="s">
        <v>1243</v>
      </c>
      <c r="J155" s="34" t="s">
        <v>612</v>
      </c>
      <c r="K155" s="32" t="s">
        <v>104</v>
      </c>
      <c r="L155" s="68" t="s">
        <v>327</v>
      </c>
      <c r="M155" s="73" t="s">
        <v>332</v>
      </c>
      <c r="N155" s="73" t="s">
        <v>84</v>
      </c>
      <c r="O155" s="73" t="s">
        <v>670</v>
      </c>
      <c r="P155" s="70">
        <v>2</v>
      </c>
      <c r="Q155" s="41">
        <v>2</v>
      </c>
      <c r="R155" s="33">
        <f t="shared" si="22"/>
        <v>4</v>
      </c>
      <c r="S155" s="33" t="str">
        <f t="shared" si="24"/>
        <v>BAJO</v>
      </c>
      <c r="T155" s="33">
        <v>10</v>
      </c>
      <c r="U155" s="75">
        <f t="shared" si="25"/>
        <v>40</v>
      </c>
      <c r="V155" s="33" t="str">
        <f t="shared" si="27"/>
        <v>lll</v>
      </c>
      <c r="W155" s="74" t="str">
        <f t="shared" si="26"/>
        <v>SI</v>
      </c>
      <c r="X155" s="33">
        <v>8</v>
      </c>
      <c r="Y155" s="31" t="s">
        <v>143</v>
      </c>
      <c r="Z155" s="33" t="s">
        <v>87</v>
      </c>
      <c r="AA155" s="45"/>
      <c r="AB155" s="32"/>
      <c r="AC155" s="34"/>
      <c r="AD155" s="34" t="s">
        <v>1346</v>
      </c>
      <c r="AE155" s="34"/>
      <c r="AF155" s="34" t="s">
        <v>576</v>
      </c>
      <c r="AG155" s="41">
        <v>2</v>
      </c>
      <c r="AH155" s="41">
        <v>2</v>
      </c>
      <c r="AI155" s="33">
        <f t="shared" si="20"/>
        <v>4</v>
      </c>
      <c r="AJ155" s="33" t="str">
        <f t="shared" si="21"/>
        <v>BAJO</v>
      </c>
      <c r="AK155" s="33">
        <v>25</v>
      </c>
      <c r="AL155" s="33">
        <f t="shared" si="23"/>
        <v>100</v>
      </c>
      <c r="AM155" s="33" t="str">
        <f t="shared" si="28"/>
        <v>RIESGO ACEPTABLE</v>
      </c>
      <c r="AN155" s="33"/>
      <c r="AO155" s="32"/>
      <c r="AP155" s="34"/>
      <c r="AQ155" s="34" t="s">
        <v>1349</v>
      </c>
      <c r="AR155" s="34"/>
      <c r="AS155" s="61" t="s">
        <v>466</v>
      </c>
    </row>
    <row r="156" spans="1:45" s="8" customFormat="1" ht="48" x14ac:dyDescent="0.25">
      <c r="A156" s="195"/>
      <c r="B156" s="198"/>
      <c r="C156" s="166"/>
      <c r="D156" s="201"/>
      <c r="E156" s="32" t="s">
        <v>496</v>
      </c>
      <c r="F156" s="152"/>
      <c r="G156" s="47" t="s">
        <v>592</v>
      </c>
      <c r="H156" s="34" t="s">
        <v>227</v>
      </c>
      <c r="I156" s="34" t="s">
        <v>1245</v>
      </c>
      <c r="J156" s="32" t="s">
        <v>615</v>
      </c>
      <c r="K156" s="32" t="s">
        <v>104</v>
      </c>
      <c r="L156" s="68" t="s">
        <v>229</v>
      </c>
      <c r="M156" s="73" t="s">
        <v>332</v>
      </c>
      <c r="N156" s="73" t="s">
        <v>84</v>
      </c>
      <c r="O156" s="73" t="s">
        <v>559</v>
      </c>
      <c r="P156" s="70">
        <v>2</v>
      </c>
      <c r="Q156" s="41">
        <v>2</v>
      </c>
      <c r="R156" s="33">
        <f t="shared" si="22"/>
        <v>4</v>
      </c>
      <c r="S156" s="33" t="str">
        <f t="shared" si="24"/>
        <v>BAJO</v>
      </c>
      <c r="T156" s="33">
        <v>10</v>
      </c>
      <c r="U156" s="75">
        <f t="shared" si="25"/>
        <v>40</v>
      </c>
      <c r="V156" s="33" t="str">
        <f t="shared" si="27"/>
        <v>lll</v>
      </c>
      <c r="W156" s="74" t="str">
        <f t="shared" si="26"/>
        <v>SI</v>
      </c>
      <c r="X156" s="33">
        <v>8</v>
      </c>
      <c r="Y156" s="31" t="s">
        <v>163</v>
      </c>
      <c r="Z156" s="33" t="s">
        <v>87</v>
      </c>
      <c r="AA156" s="45"/>
      <c r="AB156" s="34"/>
      <c r="AC156" s="34"/>
      <c r="AD156" s="34" t="s">
        <v>504</v>
      </c>
      <c r="AE156" s="34" t="s">
        <v>617</v>
      </c>
      <c r="AF156" s="34" t="s">
        <v>576</v>
      </c>
      <c r="AG156" s="41">
        <v>2</v>
      </c>
      <c r="AH156" s="41">
        <v>2</v>
      </c>
      <c r="AI156" s="33">
        <f t="shared" si="20"/>
        <v>4</v>
      </c>
      <c r="AJ156" s="33" t="str">
        <f t="shared" si="21"/>
        <v>BAJO</v>
      </c>
      <c r="AK156" s="33">
        <v>60</v>
      </c>
      <c r="AL156" s="33">
        <f t="shared" si="23"/>
        <v>240</v>
      </c>
      <c r="AM156" s="33" t="str">
        <f t="shared" si="28"/>
        <v xml:space="preserve"> RIESGO ACEPTABLE CON CONTROL ESPECIFICO</v>
      </c>
      <c r="AN156" s="33"/>
      <c r="AO156" s="34"/>
      <c r="AP156" s="34"/>
      <c r="AQ156" s="34" t="s">
        <v>618</v>
      </c>
      <c r="AR156" s="34" t="s">
        <v>617</v>
      </c>
      <c r="AS156" s="61" t="s">
        <v>466</v>
      </c>
    </row>
    <row r="157" spans="1:45" s="8" customFormat="1" ht="48" x14ac:dyDescent="0.25">
      <c r="A157" s="195"/>
      <c r="B157" s="198"/>
      <c r="C157" s="166"/>
      <c r="D157" s="201"/>
      <c r="E157" s="32" t="s">
        <v>496</v>
      </c>
      <c r="F157" s="152"/>
      <c r="G157" s="47" t="s">
        <v>592</v>
      </c>
      <c r="H157" s="34" t="s">
        <v>157</v>
      </c>
      <c r="I157" s="34" t="s">
        <v>1245</v>
      </c>
      <c r="J157" s="34" t="s">
        <v>619</v>
      </c>
      <c r="K157" s="32" t="s">
        <v>104</v>
      </c>
      <c r="L157" s="68" t="s">
        <v>160</v>
      </c>
      <c r="M157" s="73" t="s">
        <v>332</v>
      </c>
      <c r="N157" s="73" t="s">
        <v>84</v>
      </c>
      <c r="O157" s="73" t="s">
        <v>665</v>
      </c>
      <c r="P157" s="70">
        <v>2</v>
      </c>
      <c r="Q157" s="41">
        <v>3</v>
      </c>
      <c r="R157" s="33">
        <f t="shared" si="22"/>
        <v>6</v>
      </c>
      <c r="S157" s="33" t="str">
        <f t="shared" si="24"/>
        <v>MEDIO</v>
      </c>
      <c r="T157" s="33">
        <v>10</v>
      </c>
      <c r="U157" s="75">
        <f t="shared" si="25"/>
        <v>60</v>
      </c>
      <c r="V157" s="33" t="str">
        <f t="shared" si="27"/>
        <v>lll</v>
      </c>
      <c r="W157" s="74" t="str">
        <f t="shared" si="26"/>
        <v>SI</v>
      </c>
      <c r="X157" s="33">
        <v>8</v>
      </c>
      <c r="Y157" s="31" t="s">
        <v>163</v>
      </c>
      <c r="Z157" s="33" t="s">
        <v>87</v>
      </c>
      <c r="AA157" s="45"/>
      <c r="AB157" s="34"/>
      <c r="AC157" s="34"/>
      <c r="AD157" s="42" t="s">
        <v>620</v>
      </c>
      <c r="AE157" s="34" t="s">
        <v>621</v>
      </c>
      <c r="AF157" s="34" t="s">
        <v>576</v>
      </c>
      <c r="AG157" s="41">
        <v>6</v>
      </c>
      <c r="AH157" s="41">
        <v>2</v>
      </c>
      <c r="AI157" s="33">
        <f t="shared" si="20"/>
        <v>12</v>
      </c>
      <c r="AJ157" s="33" t="str">
        <f t="shared" si="21"/>
        <v>ALTO</v>
      </c>
      <c r="AK157" s="33">
        <v>25</v>
      </c>
      <c r="AL157" s="33">
        <f t="shared" si="23"/>
        <v>300</v>
      </c>
      <c r="AM157" s="33" t="str">
        <f t="shared" si="28"/>
        <v xml:space="preserve"> RIESGO ACEPTABLE CON CONTROL ESPECIFICO</v>
      </c>
      <c r="AN157" s="33"/>
      <c r="AO157" s="34"/>
      <c r="AP157" s="34"/>
      <c r="AQ157" s="42" t="s">
        <v>622</v>
      </c>
      <c r="AR157" s="34" t="s">
        <v>621</v>
      </c>
      <c r="AS157" s="61" t="s">
        <v>466</v>
      </c>
    </row>
    <row r="158" spans="1:45" s="8" customFormat="1" ht="38.4" x14ac:dyDescent="0.25">
      <c r="A158" s="195"/>
      <c r="B158" s="198"/>
      <c r="C158" s="166"/>
      <c r="D158" s="196" t="s">
        <v>671</v>
      </c>
      <c r="E158" s="32" t="s">
        <v>496</v>
      </c>
      <c r="F158" s="152" t="s">
        <v>1352</v>
      </c>
      <c r="G158" s="47" t="s">
        <v>592</v>
      </c>
      <c r="H158" s="34" t="s">
        <v>183</v>
      </c>
      <c r="I158" s="32" t="s">
        <v>170</v>
      </c>
      <c r="J158" s="32" t="s">
        <v>593</v>
      </c>
      <c r="K158" s="32" t="s">
        <v>104</v>
      </c>
      <c r="L158" s="68" t="s">
        <v>185</v>
      </c>
      <c r="M158" s="73" t="s">
        <v>332</v>
      </c>
      <c r="N158" s="73" t="s">
        <v>84</v>
      </c>
      <c r="O158" s="73" t="s">
        <v>186</v>
      </c>
      <c r="P158" s="70">
        <v>2</v>
      </c>
      <c r="Q158" s="41">
        <v>3</v>
      </c>
      <c r="R158" s="33">
        <f t="shared" si="22"/>
        <v>6</v>
      </c>
      <c r="S158" s="33" t="str">
        <f t="shared" si="24"/>
        <v>MEDIO</v>
      </c>
      <c r="T158" s="33">
        <v>10</v>
      </c>
      <c r="U158" s="75">
        <f t="shared" si="25"/>
        <v>60</v>
      </c>
      <c r="V158" s="33" t="str">
        <f t="shared" si="27"/>
        <v>lll</v>
      </c>
      <c r="W158" s="74" t="str">
        <f t="shared" si="26"/>
        <v>SI</v>
      </c>
      <c r="X158" s="33">
        <v>8</v>
      </c>
      <c r="Y158" s="31" t="s">
        <v>178</v>
      </c>
      <c r="Z158" s="33" t="s">
        <v>87</v>
      </c>
      <c r="AA158" s="45"/>
      <c r="AB158" s="34"/>
      <c r="AC158" s="34"/>
      <c r="AD158" s="42" t="s">
        <v>595</v>
      </c>
      <c r="AE158" s="34" t="s">
        <v>596</v>
      </c>
      <c r="AF158" s="34" t="s">
        <v>576</v>
      </c>
      <c r="AG158" s="41">
        <v>2</v>
      </c>
      <c r="AH158" s="41">
        <v>2</v>
      </c>
      <c r="AI158" s="33">
        <f t="shared" si="20"/>
        <v>4</v>
      </c>
      <c r="AJ158" s="33" t="str">
        <f t="shared" si="21"/>
        <v>BAJO</v>
      </c>
      <c r="AK158" s="33">
        <v>25</v>
      </c>
      <c r="AL158" s="33">
        <f t="shared" si="23"/>
        <v>100</v>
      </c>
      <c r="AM158" s="33" t="str">
        <f t="shared" si="28"/>
        <v>RIESGO ACEPTABLE</v>
      </c>
      <c r="AN158" s="33"/>
      <c r="AO158" s="34"/>
      <c r="AP158" s="34"/>
      <c r="AQ158" s="42" t="s">
        <v>597</v>
      </c>
      <c r="AR158" s="34" t="s">
        <v>596</v>
      </c>
      <c r="AS158" s="61" t="s">
        <v>466</v>
      </c>
    </row>
    <row r="159" spans="1:45" s="8" customFormat="1" ht="67.2" x14ac:dyDescent="0.25">
      <c r="A159" s="195"/>
      <c r="B159" s="198"/>
      <c r="C159" s="166"/>
      <c r="D159" s="196"/>
      <c r="E159" s="32" t="s">
        <v>496</v>
      </c>
      <c r="F159" s="152"/>
      <c r="G159" s="47" t="s">
        <v>592</v>
      </c>
      <c r="H159" s="34" t="s">
        <v>205</v>
      </c>
      <c r="I159" s="32" t="s">
        <v>1242</v>
      </c>
      <c r="J159" s="32" t="s">
        <v>672</v>
      </c>
      <c r="K159" s="32" t="s">
        <v>104</v>
      </c>
      <c r="L159" s="68" t="s">
        <v>207</v>
      </c>
      <c r="M159" s="73" t="s">
        <v>332</v>
      </c>
      <c r="N159" s="73" t="s">
        <v>106</v>
      </c>
      <c r="O159" s="73" t="s">
        <v>608</v>
      </c>
      <c r="P159" s="70">
        <v>2</v>
      </c>
      <c r="Q159" s="41">
        <v>3</v>
      </c>
      <c r="R159" s="33">
        <f t="shared" si="22"/>
        <v>6</v>
      </c>
      <c r="S159" s="33" t="str">
        <f t="shared" si="24"/>
        <v>MEDIO</v>
      </c>
      <c r="T159" s="33">
        <v>10</v>
      </c>
      <c r="U159" s="75">
        <f t="shared" si="25"/>
        <v>60</v>
      </c>
      <c r="V159" s="33" t="str">
        <f t="shared" si="27"/>
        <v>lll</v>
      </c>
      <c r="W159" s="74" t="str">
        <f t="shared" si="26"/>
        <v>SI</v>
      </c>
      <c r="X159" s="33">
        <v>8</v>
      </c>
      <c r="Y159" s="31" t="s">
        <v>209</v>
      </c>
      <c r="Z159" s="33" t="s">
        <v>87</v>
      </c>
      <c r="AA159" s="45"/>
      <c r="AB159" s="34"/>
      <c r="AC159" s="34"/>
      <c r="AD159" s="34" t="s">
        <v>628</v>
      </c>
      <c r="AE159" s="34" t="s">
        <v>673</v>
      </c>
      <c r="AF159" s="34" t="s">
        <v>576</v>
      </c>
      <c r="AG159" s="41">
        <v>2</v>
      </c>
      <c r="AH159" s="41">
        <v>3</v>
      </c>
      <c r="AI159" s="33">
        <f t="shared" si="20"/>
        <v>6</v>
      </c>
      <c r="AJ159" s="33" t="str">
        <f t="shared" si="21"/>
        <v>MEDIO</v>
      </c>
      <c r="AK159" s="33">
        <v>25</v>
      </c>
      <c r="AL159" s="33">
        <f t="shared" si="23"/>
        <v>150</v>
      </c>
      <c r="AM159" s="33" t="str">
        <f t="shared" si="28"/>
        <v xml:space="preserve"> RIESGO ACEPTABLE CON CONTROL ESPECIFICO</v>
      </c>
      <c r="AN159" s="33"/>
      <c r="AO159" s="34"/>
      <c r="AP159" s="40"/>
      <c r="AQ159" s="34" t="s">
        <v>630</v>
      </c>
      <c r="AR159" s="34" t="s">
        <v>673</v>
      </c>
      <c r="AS159" s="61" t="s">
        <v>466</v>
      </c>
    </row>
    <row r="160" spans="1:45" s="8" customFormat="1" ht="67.2" x14ac:dyDescent="0.25">
      <c r="A160" s="195"/>
      <c r="B160" s="198"/>
      <c r="C160" s="166"/>
      <c r="D160" s="196"/>
      <c r="E160" s="32" t="s">
        <v>496</v>
      </c>
      <c r="F160" s="152"/>
      <c r="G160" s="47" t="s">
        <v>592</v>
      </c>
      <c r="H160" s="34" t="s">
        <v>101</v>
      </c>
      <c r="I160" s="32" t="s">
        <v>1242</v>
      </c>
      <c r="J160" s="32" t="s">
        <v>644</v>
      </c>
      <c r="K160" s="32" t="s">
        <v>104</v>
      </c>
      <c r="L160" s="68" t="s">
        <v>207</v>
      </c>
      <c r="M160" s="73" t="s">
        <v>332</v>
      </c>
      <c r="N160" s="73" t="s">
        <v>106</v>
      </c>
      <c r="O160" s="73" t="s">
        <v>608</v>
      </c>
      <c r="P160" s="70">
        <v>2</v>
      </c>
      <c r="Q160" s="41">
        <v>3</v>
      </c>
      <c r="R160" s="33">
        <f t="shared" si="22"/>
        <v>6</v>
      </c>
      <c r="S160" s="33" t="str">
        <f t="shared" si="24"/>
        <v>MEDIO</v>
      </c>
      <c r="T160" s="33">
        <v>10</v>
      </c>
      <c r="U160" s="75">
        <f t="shared" si="25"/>
        <v>60</v>
      </c>
      <c r="V160" s="33" t="str">
        <f t="shared" si="27"/>
        <v>lll</v>
      </c>
      <c r="W160" s="74" t="str">
        <f t="shared" si="26"/>
        <v>SI</v>
      </c>
      <c r="X160" s="33">
        <v>8</v>
      </c>
      <c r="Y160" s="31" t="s">
        <v>108</v>
      </c>
      <c r="Z160" s="33" t="s">
        <v>87</v>
      </c>
      <c r="AA160" s="45"/>
      <c r="AB160" s="34"/>
      <c r="AC160" s="34"/>
      <c r="AD160" s="34" t="s">
        <v>628</v>
      </c>
      <c r="AE160" s="34" t="s">
        <v>673</v>
      </c>
      <c r="AF160" s="34" t="s">
        <v>576</v>
      </c>
      <c r="AG160" s="41">
        <v>2</v>
      </c>
      <c r="AH160" s="41">
        <v>3</v>
      </c>
      <c r="AI160" s="33">
        <f t="shared" si="20"/>
        <v>6</v>
      </c>
      <c r="AJ160" s="33" t="str">
        <f t="shared" si="21"/>
        <v>MEDIO</v>
      </c>
      <c r="AK160" s="33">
        <v>25</v>
      </c>
      <c r="AL160" s="33">
        <f t="shared" si="23"/>
        <v>150</v>
      </c>
      <c r="AM160" s="33" t="str">
        <f t="shared" si="28"/>
        <v xml:space="preserve"> RIESGO ACEPTABLE CON CONTROL ESPECIFICO</v>
      </c>
      <c r="AN160" s="33"/>
      <c r="AO160" s="34"/>
      <c r="AP160" s="34"/>
      <c r="AQ160" s="34" t="s">
        <v>630</v>
      </c>
      <c r="AR160" s="34" t="s">
        <v>673</v>
      </c>
      <c r="AS160" s="61" t="s">
        <v>466</v>
      </c>
    </row>
    <row r="161" spans="1:152" s="8" customFormat="1" ht="48" x14ac:dyDescent="0.25">
      <c r="A161" s="195"/>
      <c r="B161" s="198"/>
      <c r="C161" s="166"/>
      <c r="D161" s="196"/>
      <c r="E161" s="32" t="s">
        <v>496</v>
      </c>
      <c r="F161" s="152"/>
      <c r="G161" s="47" t="s">
        <v>516</v>
      </c>
      <c r="H161" s="34" t="s">
        <v>138</v>
      </c>
      <c r="I161" s="32" t="s">
        <v>1236</v>
      </c>
      <c r="J161" s="40" t="s">
        <v>674</v>
      </c>
      <c r="K161" s="32" t="s">
        <v>104</v>
      </c>
      <c r="L161" s="68" t="s">
        <v>475</v>
      </c>
      <c r="M161" s="73" t="s">
        <v>332</v>
      </c>
      <c r="N161" s="73" t="s">
        <v>84</v>
      </c>
      <c r="O161" s="73" t="s">
        <v>556</v>
      </c>
      <c r="P161" s="70">
        <v>2</v>
      </c>
      <c r="Q161" s="41">
        <v>2</v>
      </c>
      <c r="R161" s="33">
        <f t="shared" si="22"/>
        <v>4</v>
      </c>
      <c r="S161" s="33" t="str">
        <f t="shared" si="24"/>
        <v>BAJO</v>
      </c>
      <c r="T161" s="33">
        <v>10</v>
      </c>
      <c r="U161" s="75">
        <f t="shared" si="25"/>
        <v>40</v>
      </c>
      <c r="V161" s="33" t="str">
        <f t="shared" si="27"/>
        <v>lll</v>
      </c>
      <c r="W161" s="74" t="str">
        <f t="shared" si="26"/>
        <v>SI</v>
      </c>
      <c r="X161" s="33">
        <v>8</v>
      </c>
      <c r="Y161" s="31" t="s">
        <v>143</v>
      </c>
      <c r="Z161" s="33" t="s">
        <v>87</v>
      </c>
      <c r="AA161" s="45"/>
      <c r="AB161" s="34"/>
      <c r="AC161" s="34"/>
      <c r="AD161" s="34" t="s">
        <v>1351</v>
      </c>
      <c r="AE161" s="34"/>
      <c r="AF161" s="34" t="s">
        <v>576</v>
      </c>
      <c r="AG161" s="41">
        <v>2</v>
      </c>
      <c r="AH161" s="41">
        <v>2</v>
      </c>
      <c r="AI161" s="33">
        <f t="shared" ref="AI161:AI224" si="29">AG161*AH161</f>
        <v>4</v>
      </c>
      <c r="AJ161" s="33" t="str">
        <f t="shared" ref="AJ161:AJ224" si="30">IF(AND(AI161&gt;=0,AI161&lt;=4),"BAJO",IF(AND(AI161&gt;=6,AI161&lt;=8),"MEDIO",IF(AND(AI161&gt;=10,AI161&lt;=20),"ALTO",IF(AND(AI161&gt;=24,AI161&lt;=40),"MUY ALTO"))))</f>
        <v>BAJO</v>
      </c>
      <c r="AK161" s="33">
        <v>25</v>
      </c>
      <c r="AL161" s="33">
        <f t="shared" si="23"/>
        <v>100</v>
      </c>
      <c r="AM161" s="33" t="str">
        <f t="shared" si="28"/>
        <v>RIESGO ACEPTABLE</v>
      </c>
      <c r="AN161" s="33"/>
      <c r="AO161" s="34"/>
      <c r="AP161" s="34"/>
      <c r="AQ161" s="34" t="s">
        <v>1350</v>
      </c>
      <c r="AR161" s="34"/>
      <c r="AS161" s="61" t="s">
        <v>466</v>
      </c>
    </row>
    <row r="162" spans="1:152" s="8" customFormat="1" ht="48" x14ac:dyDescent="0.25">
      <c r="A162" s="195"/>
      <c r="B162" s="198"/>
      <c r="C162" s="166"/>
      <c r="D162" s="196"/>
      <c r="E162" s="32" t="s">
        <v>496</v>
      </c>
      <c r="F162" s="152"/>
      <c r="G162" s="47" t="s">
        <v>592</v>
      </c>
      <c r="H162" s="34" t="s">
        <v>227</v>
      </c>
      <c r="I162" s="34" t="s">
        <v>1245</v>
      </c>
      <c r="J162" s="32" t="s">
        <v>615</v>
      </c>
      <c r="K162" s="32" t="s">
        <v>104</v>
      </c>
      <c r="L162" s="68" t="s">
        <v>229</v>
      </c>
      <c r="M162" s="73" t="s">
        <v>332</v>
      </c>
      <c r="N162" s="73" t="s">
        <v>84</v>
      </c>
      <c r="O162" s="73" t="s">
        <v>676</v>
      </c>
      <c r="P162" s="70">
        <v>2</v>
      </c>
      <c r="Q162" s="41">
        <v>2</v>
      </c>
      <c r="R162" s="33">
        <f t="shared" si="22"/>
        <v>4</v>
      </c>
      <c r="S162" s="33" t="str">
        <f t="shared" si="24"/>
        <v>BAJO</v>
      </c>
      <c r="T162" s="33">
        <v>10</v>
      </c>
      <c r="U162" s="75">
        <f t="shared" si="25"/>
        <v>40</v>
      </c>
      <c r="V162" s="33" t="str">
        <f t="shared" si="27"/>
        <v>lll</v>
      </c>
      <c r="W162" s="74" t="str">
        <f t="shared" si="26"/>
        <v>SI</v>
      </c>
      <c r="X162" s="33">
        <v>8</v>
      </c>
      <c r="Y162" s="31" t="s">
        <v>163</v>
      </c>
      <c r="Z162" s="33" t="s">
        <v>87</v>
      </c>
      <c r="AA162" s="45"/>
      <c r="AB162" s="34"/>
      <c r="AC162" s="34"/>
      <c r="AD162" s="34" t="s">
        <v>504</v>
      </c>
      <c r="AE162" s="34" t="s">
        <v>617</v>
      </c>
      <c r="AF162" s="34" t="s">
        <v>576</v>
      </c>
      <c r="AG162" s="41">
        <v>2</v>
      </c>
      <c r="AH162" s="41">
        <v>2</v>
      </c>
      <c r="AI162" s="33">
        <f t="shared" si="29"/>
        <v>4</v>
      </c>
      <c r="AJ162" s="33" t="str">
        <f t="shared" si="30"/>
        <v>BAJO</v>
      </c>
      <c r="AK162" s="33">
        <v>25</v>
      </c>
      <c r="AL162" s="33">
        <f t="shared" si="23"/>
        <v>100</v>
      </c>
      <c r="AM162" s="33" t="str">
        <f t="shared" si="28"/>
        <v>RIESGO ACEPTABLE</v>
      </c>
      <c r="AN162" s="33"/>
      <c r="AO162" s="34"/>
      <c r="AP162" s="40"/>
      <c r="AQ162" s="34" t="s">
        <v>618</v>
      </c>
      <c r="AR162" s="34" t="s">
        <v>617</v>
      </c>
      <c r="AS162" s="61" t="s">
        <v>466</v>
      </c>
    </row>
    <row r="163" spans="1:152" s="8" customFormat="1" ht="48" x14ac:dyDescent="0.25">
      <c r="A163" s="195"/>
      <c r="B163" s="198"/>
      <c r="C163" s="166"/>
      <c r="D163" s="196"/>
      <c r="E163" s="32" t="s">
        <v>496</v>
      </c>
      <c r="F163" s="152"/>
      <c r="G163" s="47" t="s">
        <v>592</v>
      </c>
      <c r="H163" s="34" t="s">
        <v>157</v>
      </c>
      <c r="I163" s="34" t="s">
        <v>1245</v>
      </c>
      <c r="J163" s="34" t="s">
        <v>677</v>
      </c>
      <c r="K163" s="32" t="s">
        <v>104</v>
      </c>
      <c r="L163" s="68" t="s">
        <v>160</v>
      </c>
      <c r="M163" s="73" t="s">
        <v>332</v>
      </c>
      <c r="N163" s="73" t="s">
        <v>84</v>
      </c>
      <c r="O163" s="73" t="s">
        <v>676</v>
      </c>
      <c r="P163" s="70">
        <v>2</v>
      </c>
      <c r="Q163" s="41">
        <v>3</v>
      </c>
      <c r="R163" s="33">
        <f t="shared" si="22"/>
        <v>6</v>
      </c>
      <c r="S163" s="33" t="str">
        <f t="shared" si="24"/>
        <v>MEDIO</v>
      </c>
      <c r="T163" s="33">
        <v>10</v>
      </c>
      <c r="U163" s="75">
        <f t="shared" si="25"/>
        <v>60</v>
      </c>
      <c r="V163" s="33" t="str">
        <f t="shared" si="27"/>
        <v>lll</v>
      </c>
      <c r="W163" s="74" t="str">
        <f t="shared" si="26"/>
        <v>SI</v>
      </c>
      <c r="X163" s="33">
        <v>8</v>
      </c>
      <c r="Y163" s="31" t="s">
        <v>163</v>
      </c>
      <c r="Z163" s="33" t="s">
        <v>87</v>
      </c>
      <c r="AA163" s="45"/>
      <c r="AB163" s="34"/>
      <c r="AC163" s="34"/>
      <c r="AD163" s="42" t="s">
        <v>620</v>
      </c>
      <c r="AE163" s="34" t="s">
        <v>621</v>
      </c>
      <c r="AF163" s="34" t="s">
        <v>576</v>
      </c>
      <c r="AG163" s="41">
        <v>2</v>
      </c>
      <c r="AH163" s="41">
        <v>2</v>
      </c>
      <c r="AI163" s="33">
        <f t="shared" si="29"/>
        <v>4</v>
      </c>
      <c r="AJ163" s="33" t="str">
        <f t="shared" si="30"/>
        <v>BAJO</v>
      </c>
      <c r="AK163" s="33">
        <v>60</v>
      </c>
      <c r="AL163" s="33">
        <f t="shared" si="23"/>
        <v>240</v>
      </c>
      <c r="AM163" s="33" t="str">
        <f t="shared" si="28"/>
        <v xml:space="preserve"> RIESGO ACEPTABLE CON CONTROL ESPECIFICO</v>
      </c>
      <c r="AN163" s="33"/>
      <c r="AO163" s="34"/>
      <c r="AP163" s="34"/>
      <c r="AQ163" s="42" t="s">
        <v>622</v>
      </c>
      <c r="AR163" s="34" t="s">
        <v>621</v>
      </c>
      <c r="AS163" s="61" t="s">
        <v>466</v>
      </c>
    </row>
    <row r="164" spans="1:152" s="8" customFormat="1" ht="76.8" x14ac:dyDescent="0.25">
      <c r="A164" s="195"/>
      <c r="B164" s="198"/>
      <c r="C164" s="210" t="s">
        <v>678</v>
      </c>
      <c r="D164" s="211" t="s">
        <v>679</v>
      </c>
      <c r="E164" s="32" t="s">
        <v>87</v>
      </c>
      <c r="F164" s="152" t="s">
        <v>680</v>
      </c>
      <c r="G164" s="47" t="s">
        <v>681</v>
      </c>
      <c r="H164" s="34" t="s">
        <v>380</v>
      </c>
      <c r="I164" s="32" t="s">
        <v>170</v>
      </c>
      <c r="J164" s="34" t="s">
        <v>682</v>
      </c>
      <c r="K164" s="32" t="s">
        <v>104</v>
      </c>
      <c r="L164" s="68" t="s">
        <v>383</v>
      </c>
      <c r="M164" s="73" t="s">
        <v>332</v>
      </c>
      <c r="N164" s="73" t="s">
        <v>683</v>
      </c>
      <c r="O164" s="73" t="s">
        <v>684</v>
      </c>
      <c r="P164" s="70">
        <v>2</v>
      </c>
      <c r="Q164" s="41">
        <v>2</v>
      </c>
      <c r="R164" s="33">
        <f t="shared" si="22"/>
        <v>4</v>
      </c>
      <c r="S164" s="33" t="str">
        <f t="shared" si="24"/>
        <v>BAJO</v>
      </c>
      <c r="T164" s="33">
        <v>10</v>
      </c>
      <c r="U164" s="75">
        <f t="shared" si="25"/>
        <v>40</v>
      </c>
      <c r="V164" s="33" t="str">
        <f t="shared" si="27"/>
        <v>lll</v>
      </c>
      <c r="W164" s="74" t="str">
        <f t="shared" si="26"/>
        <v>SI</v>
      </c>
      <c r="X164" s="33">
        <v>8</v>
      </c>
      <c r="Y164" s="31" t="s">
        <v>385</v>
      </c>
      <c r="Z164" s="33" t="s">
        <v>87</v>
      </c>
      <c r="AA164" s="45"/>
      <c r="AB164" s="32"/>
      <c r="AC164" s="34" t="s">
        <v>685</v>
      </c>
      <c r="AD164" s="34" t="s">
        <v>686</v>
      </c>
      <c r="AE164" s="34"/>
      <c r="AF164" s="34" t="s">
        <v>182</v>
      </c>
      <c r="AG164" s="41">
        <v>2</v>
      </c>
      <c r="AH164" s="41">
        <v>2</v>
      </c>
      <c r="AI164" s="33">
        <f t="shared" si="29"/>
        <v>4</v>
      </c>
      <c r="AJ164" s="33" t="str">
        <f t="shared" si="30"/>
        <v>BAJO</v>
      </c>
      <c r="AK164" s="33">
        <v>25</v>
      </c>
      <c r="AL164" s="33">
        <f t="shared" si="23"/>
        <v>100</v>
      </c>
      <c r="AM164" s="33" t="str">
        <f t="shared" si="28"/>
        <v>RIESGO ACEPTABLE</v>
      </c>
      <c r="AN164" s="33"/>
      <c r="AO164" s="32"/>
      <c r="AP164" s="34" t="s">
        <v>687</v>
      </c>
      <c r="AQ164" s="34" t="s">
        <v>1188</v>
      </c>
      <c r="AR164" s="34"/>
      <c r="AS164" s="61" t="s">
        <v>182</v>
      </c>
    </row>
    <row r="165" spans="1:152" s="8" customFormat="1" ht="38.4" x14ac:dyDescent="0.25">
      <c r="A165" s="195"/>
      <c r="B165" s="198"/>
      <c r="C165" s="210"/>
      <c r="D165" s="211"/>
      <c r="E165" s="32" t="s">
        <v>87</v>
      </c>
      <c r="F165" s="152"/>
      <c r="G165" s="47" t="s">
        <v>681</v>
      </c>
      <c r="H165" s="34" t="s">
        <v>128</v>
      </c>
      <c r="I165" s="32" t="s">
        <v>1240</v>
      </c>
      <c r="J165" s="32" t="s">
        <v>454</v>
      </c>
      <c r="K165" s="32" t="s">
        <v>104</v>
      </c>
      <c r="L165" s="68" t="s">
        <v>131</v>
      </c>
      <c r="M165" s="73" t="s">
        <v>332</v>
      </c>
      <c r="N165" s="73" t="s">
        <v>683</v>
      </c>
      <c r="O165" s="73" t="s">
        <v>132</v>
      </c>
      <c r="P165" s="70">
        <v>2</v>
      </c>
      <c r="Q165" s="41">
        <v>4</v>
      </c>
      <c r="R165" s="33">
        <f t="shared" si="22"/>
        <v>8</v>
      </c>
      <c r="S165" s="33" t="str">
        <f t="shared" si="24"/>
        <v>MEDIO</v>
      </c>
      <c r="T165" s="33">
        <v>10</v>
      </c>
      <c r="U165" s="75">
        <f t="shared" si="25"/>
        <v>80</v>
      </c>
      <c r="V165" s="33" t="str">
        <f t="shared" si="27"/>
        <v>lll</v>
      </c>
      <c r="W165" s="74" t="str">
        <f t="shared" si="26"/>
        <v>SI</v>
      </c>
      <c r="X165" s="33">
        <v>8</v>
      </c>
      <c r="Y165" s="31" t="s">
        <v>133</v>
      </c>
      <c r="Z165" s="33" t="s">
        <v>87</v>
      </c>
      <c r="AA165" s="46"/>
      <c r="AB165" s="33"/>
      <c r="AC165" s="34"/>
      <c r="AD165" s="34" t="s">
        <v>689</v>
      </c>
      <c r="AE165" s="34"/>
      <c r="AF165" s="34" t="s">
        <v>690</v>
      </c>
      <c r="AG165" s="41">
        <v>2</v>
      </c>
      <c r="AH165" s="41">
        <v>4</v>
      </c>
      <c r="AI165" s="33">
        <f t="shared" si="29"/>
        <v>8</v>
      </c>
      <c r="AJ165" s="33" t="str">
        <f t="shared" si="30"/>
        <v>MEDIO</v>
      </c>
      <c r="AK165" s="33">
        <v>10</v>
      </c>
      <c r="AL165" s="33">
        <f t="shared" si="23"/>
        <v>80</v>
      </c>
      <c r="AM165" s="33" t="str">
        <f t="shared" si="28"/>
        <v>RIESGO ACEPTABLE</v>
      </c>
      <c r="AN165" s="34"/>
      <c r="AO165" s="34"/>
      <c r="AP165" s="34"/>
      <c r="AQ165" s="34" t="s">
        <v>136</v>
      </c>
      <c r="AR165" s="34"/>
      <c r="AS165" s="61" t="s">
        <v>690</v>
      </c>
      <c r="EQ165" s="15"/>
      <c r="ER165" s="15"/>
      <c r="ES165" s="15"/>
      <c r="ET165" s="15"/>
      <c r="EU165" s="15"/>
      <c r="EV165" s="15"/>
    </row>
    <row r="166" spans="1:152" s="14" customFormat="1" ht="38.4" x14ac:dyDescent="0.25">
      <c r="A166" s="195"/>
      <c r="B166" s="198"/>
      <c r="C166" s="210"/>
      <c r="D166" s="211"/>
      <c r="E166" s="51" t="s">
        <v>87</v>
      </c>
      <c r="F166" s="152"/>
      <c r="G166" s="52" t="s">
        <v>681</v>
      </c>
      <c r="H166" s="34" t="s">
        <v>393</v>
      </c>
      <c r="I166" s="34" t="s">
        <v>1234</v>
      </c>
      <c r="J166" s="34" t="s">
        <v>691</v>
      </c>
      <c r="K166" s="34" t="s">
        <v>104</v>
      </c>
      <c r="L166" s="68" t="s">
        <v>395</v>
      </c>
      <c r="M166" s="73" t="s">
        <v>332</v>
      </c>
      <c r="N166" s="73" t="s">
        <v>683</v>
      </c>
      <c r="O166" s="73" t="s">
        <v>396</v>
      </c>
      <c r="P166" s="70">
        <v>2</v>
      </c>
      <c r="Q166" s="41">
        <v>3</v>
      </c>
      <c r="R166" s="33">
        <f>P166*Q166</f>
        <v>6</v>
      </c>
      <c r="S166" s="33" t="str">
        <f t="shared" si="24"/>
        <v>MEDIO</v>
      </c>
      <c r="T166" s="33">
        <v>25</v>
      </c>
      <c r="U166" s="75">
        <f t="shared" si="25"/>
        <v>150</v>
      </c>
      <c r="V166" s="33" t="str">
        <f t="shared" si="27"/>
        <v>ll</v>
      </c>
      <c r="W166" s="74" t="s">
        <v>87</v>
      </c>
      <c r="X166" s="33">
        <v>8</v>
      </c>
      <c r="Y166" s="31" t="s">
        <v>397</v>
      </c>
      <c r="Z166" s="33" t="s">
        <v>87</v>
      </c>
      <c r="AA166" s="45"/>
      <c r="AB166" s="54" t="s">
        <v>692</v>
      </c>
      <c r="AC166" s="54" t="s">
        <v>693</v>
      </c>
      <c r="AD166" s="42"/>
      <c r="AE166" s="50" t="s">
        <v>401</v>
      </c>
      <c r="AF166" s="50" t="s">
        <v>694</v>
      </c>
      <c r="AG166" s="41">
        <v>0</v>
      </c>
      <c r="AH166" s="41">
        <v>3</v>
      </c>
      <c r="AI166" s="33">
        <f>AG166*AH166</f>
        <v>0</v>
      </c>
      <c r="AJ166" s="33" t="str">
        <f>IF(AND(AI166&gt;=0,AI166&lt;=4),"BAJO",IF(AND(AI166&gt;=6,AI166&lt;=8),"MEDIO",IF(AND(AI166&gt;=10,AI166&lt;=20),"ALTO",IF(AND(AI166&gt;=24,AI166&lt;=40),"MUY ALTO"))))</f>
        <v>BAJO</v>
      </c>
      <c r="AK166" s="33">
        <v>25</v>
      </c>
      <c r="AL166" s="33">
        <f t="shared" si="23"/>
        <v>0</v>
      </c>
      <c r="AM166" s="33" t="str">
        <f t="shared" si="28"/>
        <v>RIESGO ACEPTABLE</v>
      </c>
      <c r="AN166" s="33"/>
      <c r="AO166" s="32"/>
      <c r="AP166" s="42" t="s">
        <v>695</v>
      </c>
      <c r="AQ166" s="42" t="s">
        <v>696</v>
      </c>
      <c r="AR166" s="34"/>
      <c r="AS166" s="61" t="s">
        <v>697</v>
      </c>
    </row>
    <row r="167" spans="1:152" s="8" customFormat="1" ht="67.2" x14ac:dyDescent="0.25">
      <c r="A167" s="195"/>
      <c r="B167" s="198"/>
      <c r="C167" s="210"/>
      <c r="D167" s="211"/>
      <c r="E167" s="32" t="s">
        <v>87</v>
      </c>
      <c r="F167" s="152"/>
      <c r="G167" s="47" t="s">
        <v>681</v>
      </c>
      <c r="H167" s="34" t="s">
        <v>191</v>
      </c>
      <c r="I167" s="32" t="s">
        <v>170</v>
      </c>
      <c r="J167" s="32" t="s">
        <v>598</v>
      </c>
      <c r="K167" s="32" t="s">
        <v>104</v>
      </c>
      <c r="L167" s="68" t="s">
        <v>193</v>
      </c>
      <c r="M167" s="73" t="s">
        <v>332</v>
      </c>
      <c r="N167" s="73" t="s">
        <v>641</v>
      </c>
      <c r="O167" s="73" t="s">
        <v>698</v>
      </c>
      <c r="P167" s="70">
        <v>2</v>
      </c>
      <c r="Q167" s="41">
        <v>3</v>
      </c>
      <c r="R167" s="33">
        <f t="shared" si="22"/>
        <v>6</v>
      </c>
      <c r="S167" s="33" t="str">
        <f t="shared" si="24"/>
        <v>MEDIO</v>
      </c>
      <c r="T167" s="33">
        <v>10</v>
      </c>
      <c r="U167" s="75">
        <f t="shared" si="25"/>
        <v>60</v>
      </c>
      <c r="V167" s="33" t="str">
        <f t="shared" si="27"/>
        <v>lll</v>
      </c>
      <c r="W167" s="74" t="str">
        <f>IF(AND(V167="lV"),"SI",IF(AND(V167="lll"),"SI",IF(AND(V167="ll"),"NO",IF(AND(V167="l"),"NO"))))</f>
        <v>SI</v>
      </c>
      <c r="X167" s="33">
        <v>8</v>
      </c>
      <c r="Y167" s="31" t="s">
        <v>195</v>
      </c>
      <c r="Z167" s="33" t="s">
        <v>87</v>
      </c>
      <c r="AA167" s="45"/>
      <c r="AB167" s="34"/>
      <c r="AC167" s="34"/>
      <c r="AD167" s="34" t="s">
        <v>699</v>
      </c>
      <c r="AE167" s="34"/>
      <c r="AF167" s="34" t="s">
        <v>700</v>
      </c>
      <c r="AG167" s="41">
        <v>2</v>
      </c>
      <c r="AH167" s="41">
        <v>3</v>
      </c>
      <c r="AI167" s="33">
        <f t="shared" si="29"/>
        <v>6</v>
      </c>
      <c r="AJ167" s="33" t="str">
        <f t="shared" si="30"/>
        <v>MEDIO</v>
      </c>
      <c r="AK167" s="33">
        <v>10</v>
      </c>
      <c r="AL167" s="33">
        <f t="shared" si="23"/>
        <v>60</v>
      </c>
      <c r="AM167" s="33" t="str">
        <f t="shared" si="28"/>
        <v>RIESGO ACEPTABLE</v>
      </c>
      <c r="AN167" s="33"/>
      <c r="AO167" s="34"/>
      <c r="AP167" s="34"/>
      <c r="AQ167" s="34" t="s">
        <v>701</v>
      </c>
      <c r="AR167" s="34"/>
      <c r="AS167" s="61" t="s">
        <v>700</v>
      </c>
    </row>
    <row r="168" spans="1:152" s="8" customFormat="1" ht="67.2" x14ac:dyDescent="0.25">
      <c r="A168" s="195"/>
      <c r="B168" s="198"/>
      <c r="C168" s="210"/>
      <c r="D168" s="211"/>
      <c r="E168" s="32" t="s">
        <v>87</v>
      </c>
      <c r="F168" s="152"/>
      <c r="G168" s="47" t="s">
        <v>681</v>
      </c>
      <c r="H168" s="34" t="s">
        <v>183</v>
      </c>
      <c r="I168" s="32" t="s">
        <v>1245</v>
      </c>
      <c r="J168" s="32" t="s">
        <v>702</v>
      </c>
      <c r="K168" s="32" t="s">
        <v>104</v>
      </c>
      <c r="L168" s="68" t="s">
        <v>185</v>
      </c>
      <c r="M168" s="73" t="s">
        <v>332</v>
      </c>
      <c r="N168" s="73" t="s">
        <v>641</v>
      </c>
      <c r="O168" s="73" t="s">
        <v>491</v>
      </c>
      <c r="P168" s="70">
        <v>2</v>
      </c>
      <c r="Q168" s="41">
        <v>3</v>
      </c>
      <c r="R168" s="33">
        <f>P168*Q168</f>
        <v>6</v>
      </c>
      <c r="S168" s="33" t="str">
        <f t="shared" si="24"/>
        <v>MEDIO</v>
      </c>
      <c r="T168" s="33">
        <v>10</v>
      </c>
      <c r="U168" s="75">
        <f t="shared" si="25"/>
        <v>60</v>
      </c>
      <c r="V168" s="33" t="str">
        <f t="shared" si="27"/>
        <v>lll</v>
      </c>
      <c r="W168" s="74" t="str">
        <f t="shared" si="26"/>
        <v>SI</v>
      </c>
      <c r="X168" s="33">
        <v>8</v>
      </c>
      <c r="Y168" s="31" t="s">
        <v>178</v>
      </c>
      <c r="Z168" s="33" t="s">
        <v>87</v>
      </c>
      <c r="AA168" s="45"/>
      <c r="AB168" s="34"/>
      <c r="AC168" s="34" t="s">
        <v>703</v>
      </c>
      <c r="AD168" s="34" t="s">
        <v>699</v>
      </c>
      <c r="AE168" s="34"/>
      <c r="AF168" s="34" t="s">
        <v>700</v>
      </c>
      <c r="AG168" s="41">
        <v>2</v>
      </c>
      <c r="AH168" s="41">
        <v>3</v>
      </c>
      <c r="AI168" s="33">
        <f>AG168*AH168</f>
        <v>6</v>
      </c>
      <c r="AJ168" s="33" t="str">
        <f>IF(AND(AI168&gt;=0,AI168&lt;=4),"BAJO",IF(AND(AI168&gt;=6,AI168&lt;=8),"MEDIO",IF(AND(AI168&gt;=10,AI168&lt;=20),"ALTO",IF(AND(AI168&gt;=24,AI168&lt;=40),"MUY ALTO"))))</f>
        <v>MEDIO</v>
      </c>
      <c r="AK168" s="33">
        <v>10</v>
      </c>
      <c r="AL168" s="33">
        <f t="shared" si="23"/>
        <v>60</v>
      </c>
      <c r="AM168" s="33" t="str">
        <f t="shared" si="28"/>
        <v>RIESGO ACEPTABLE</v>
      </c>
      <c r="AN168" s="33"/>
      <c r="AO168" s="34"/>
      <c r="AP168" s="34" t="s">
        <v>703</v>
      </c>
      <c r="AQ168" s="34" t="s">
        <v>701</v>
      </c>
      <c r="AR168" s="34"/>
      <c r="AS168" s="61" t="s">
        <v>700</v>
      </c>
    </row>
    <row r="169" spans="1:152" s="8" customFormat="1" ht="38.4" x14ac:dyDescent="0.25">
      <c r="A169" s="195"/>
      <c r="B169" s="198"/>
      <c r="C169" s="210"/>
      <c r="D169" s="211"/>
      <c r="E169" s="32" t="s">
        <v>87</v>
      </c>
      <c r="F169" s="152"/>
      <c r="G169" s="47" t="s">
        <v>681</v>
      </c>
      <c r="H169" s="34" t="s">
        <v>246</v>
      </c>
      <c r="I169" s="32" t="s">
        <v>1241</v>
      </c>
      <c r="J169" s="32" t="s">
        <v>704</v>
      </c>
      <c r="K169" s="32" t="s">
        <v>248</v>
      </c>
      <c r="L169" s="68" t="s">
        <v>249</v>
      </c>
      <c r="M169" s="73" t="s">
        <v>332</v>
      </c>
      <c r="N169" s="73" t="s">
        <v>683</v>
      </c>
      <c r="O169" s="73" t="s">
        <v>250</v>
      </c>
      <c r="P169" s="70">
        <v>2</v>
      </c>
      <c r="Q169" s="41">
        <v>2</v>
      </c>
      <c r="R169" s="33">
        <f t="shared" si="22"/>
        <v>4</v>
      </c>
      <c r="S169" s="33" t="str">
        <f t="shared" si="24"/>
        <v>BAJO</v>
      </c>
      <c r="T169" s="33">
        <v>10</v>
      </c>
      <c r="U169" s="75">
        <f t="shared" si="25"/>
        <v>40</v>
      </c>
      <c r="V169" s="33" t="str">
        <f t="shared" si="27"/>
        <v>lll</v>
      </c>
      <c r="W169" s="74" t="str">
        <f t="shared" si="26"/>
        <v>SI</v>
      </c>
      <c r="X169" s="33">
        <v>8</v>
      </c>
      <c r="Y169" s="31" t="s">
        <v>251</v>
      </c>
      <c r="Z169" s="33" t="s">
        <v>87</v>
      </c>
      <c r="AA169" s="45"/>
      <c r="AB169" s="34"/>
      <c r="AC169" s="34" t="s">
        <v>705</v>
      </c>
      <c r="AD169" s="34" t="s">
        <v>706</v>
      </c>
      <c r="AE169" s="34"/>
      <c r="AF169" s="34" t="s">
        <v>707</v>
      </c>
      <c r="AG169" s="41">
        <v>2</v>
      </c>
      <c r="AH169" s="41">
        <v>3</v>
      </c>
      <c r="AI169" s="33">
        <f t="shared" si="29"/>
        <v>6</v>
      </c>
      <c r="AJ169" s="33" t="str">
        <f t="shared" si="30"/>
        <v>MEDIO</v>
      </c>
      <c r="AK169" s="33">
        <v>10</v>
      </c>
      <c r="AL169" s="33">
        <f t="shared" si="23"/>
        <v>60</v>
      </c>
      <c r="AM169" s="33" t="str">
        <f t="shared" si="28"/>
        <v>RIESGO ACEPTABLE</v>
      </c>
      <c r="AN169" s="33"/>
      <c r="AO169" s="34"/>
      <c r="AP169" s="34" t="s">
        <v>705</v>
      </c>
      <c r="AQ169" s="34" t="s">
        <v>708</v>
      </c>
      <c r="AR169" s="34"/>
      <c r="AS169" s="61" t="s">
        <v>707</v>
      </c>
    </row>
    <row r="170" spans="1:152" s="8" customFormat="1" ht="46.8" customHeight="1" x14ac:dyDescent="0.25">
      <c r="A170" s="195"/>
      <c r="B170" s="198"/>
      <c r="C170" s="210"/>
      <c r="D170" s="211"/>
      <c r="E170" s="32" t="s">
        <v>87</v>
      </c>
      <c r="F170" s="152"/>
      <c r="G170" s="47" t="s">
        <v>681</v>
      </c>
      <c r="H170" s="34" t="s">
        <v>214</v>
      </c>
      <c r="I170" s="32" t="s">
        <v>1243</v>
      </c>
      <c r="J170" s="32" t="s">
        <v>709</v>
      </c>
      <c r="K170" s="32" t="s">
        <v>248</v>
      </c>
      <c r="L170" s="68" t="s">
        <v>216</v>
      </c>
      <c r="M170" s="73" t="s">
        <v>332</v>
      </c>
      <c r="N170" s="73" t="s">
        <v>683</v>
      </c>
      <c r="O170" s="73" t="s">
        <v>152</v>
      </c>
      <c r="P170" s="70">
        <v>2</v>
      </c>
      <c r="Q170" s="41">
        <v>3</v>
      </c>
      <c r="R170" s="33">
        <f t="shared" si="22"/>
        <v>6</v>
      </c>
      <c r="S170" s="33" t="str">
        <f t="shared" si="24"/>
        <v>MEDIO</v>
      </c>
      <c r="T170" s="33">
        <v>10</v>
      </c>
      <c r="U170" s="75">
        <f t="shared" si="25"/>
        <v>60</v>
      </c>
      <c r="V170" s="33" t="str">
        <f t="shared" si="27"/>
        <v>lll</v>
      </c>
      <c r="W170" s="74" t="str">
        <f t="shared" si="26"/>
        <v>SI</v>
      </c>
      <c r="X170" s="33">
        <v>8</v>
      </c>
      <c r="Y170" s="31" t="s">
        <v>218</v>
      </c>
      <c r="Z170" s="33" t="s">
        <v>87</v>
      </c>
      <c r="AA170" s="45"/>
      <c r="AB170" s="40"/>
      <c r="AC170" s="34" t="s">
        <v>710</v>
      </c>
      <c r="AD170" s="34" t="s">
        <v>711</v>
      </c>
      <c r="AE170" s="34"/>
      <c r="AF170" s="34" t="s">
        <v>1284</v>
      </c>
      <c r="AG170" s="41">
        <v>2</v>
      </c>
      <c r="AH170" s="41">
        <v>3</v>
      </c>
      <c r="AI170" s="33">
        <f t="shared" si="29"/>
        <v>6</v>
      </c>
      <c r="AJ170" s="33" t="str">
        <f t="shared" si="30"/>
        <v>MEDIO</v>
      </c>
      <c r="AK170" s="33">
        <v>10</v>
      </c>
      <c r="AL170" s="33">
        <f t="shared" si="23"/>
        <v>60</v>
      </c>
      <c r="AM170" s="33" t="str">
        <f t="shared" si="28"/>
        <v>RIESGO ACEPTABLE</v>
      </c>
      <c r="AN170" s="33"/>
      <c r="AO170" s="40"/>
      <c r="AP170" s="34"/>
      <c r="AQ170" s="34" t="s">
        <v>1282</v>
      </c>
      <c r="AR170" s="34"/>
      <c r="AS170" s="61" t="s">
        <v>1283</v>
      </c>
    </row>
    <row r="171" spans="1:152" s="8" customFormat="1" ht="57.6" x14ac:dyDescent="0.25">
      <c r="A171" s="195"/>
      <c r="B171" s="198"/>
      <c r="C171" s="210"/>
      <c r="D171" s="211"/>
      <c r="E171" s="32" t="s">
        <v>87</v>
      </c>
      <c r="F171" s="152"/>
      <c r="G171" s="47" t="s">
        <v>681</v>
      </c>
      <c r="H171" s="34" t="s">
        <v>149</v>
      </c>
      <c r="I171" s="32" t="s">
        <v>1243</v>
      </c>
      <c r="J171" s="34" t="s">
        <v>715</v>
      </c>
      <c r="K171" s="32" t="s">
        <v>104</v>
      </c>
      <c r="L171" s="68" t="s">
        <v>327</v>
      </c>
      <c r="M171" s="73" t="s">
        <v>332</v>
      </c>
      <c r="N171" s="73" t="s">
        <v>683</v>
      </c>
      <c r="O171" s="73" t="s">
        <v>152</v>
      </c>
      <c r="P171" s="70">
        <v>2</v>
      </c>
      <c r="Q171" s="41">
        <v>3</v>
      </c>
      <c r="R171" s="33">
        <f>P171*Q171</f>
        <v>6</v>
      </c>
      <c r="S171" s="33" t="str">
        <f t="shared" si="24"/>
        <v>MEDIO</v>
      </c>
      <c r="T171" s="33">
        <v>10</v>
      </c>
      <c r="U171" s="75">
        <f t="shared" si="25"/>
        <v>60</v>
      </c>
      <c r="V171" s="33" t="str">
        <f t="shared" si="27"/>
        <v>lll</v>
      </c>
      <c r="W171" s="74" t="str">
        <f t="shared" si="26"/>
        <v>SI</v>
      </c>
      <c r="X171" s="33">
        <v>8</v>
      </c>
      <c r="Y171" s="31" t="s">
        <v>143</v>
      </c>
      <c r="Z171" s="33" t="s">
        <v>87</v>
      </c>
      <c r="AA171" s="46"/>
      <c r="AB171" s="33"/>
      <c r="AC171" s="34" t="s">
        <v>710</v>
      </c>
      <c r="AD171" s="34" t="s">
        <v>716</v>
      </c>
      <c r="AE171" s="34"/>
      <c r="AF171" s="34" t="s">
        <v>1285</v>
      </c>
      <c r="AG171" s="41">
        <v>2</v>
      </c>
      <c r="AH171" s="41">
        <v>3</v>
      </c>
      <c r="AI171" s="33">
        <f t="shared" si="29"/>
        <v>6</v>
      </c>
      <c r="AJ171" s="33" t="str">
        <f t="shared" si="30"/>
        <v>MEDIO</v>
      </c>
      <c r="AK171" s="33">
        <v>10</v>
      </c>
      <c r="AL171" s="33">
        <f t="shared" si="23"/>
        <v>60</v>
      </c>
      <c r="AM171" s="33" t="str">
        <f t="shared" si="28"/>
        <v>RIESGO ACEPTABLE</v>
      </c>
      <c r="AN171" s="34"/>
      <c r="AO171" s="34"/>
      <c r="AP171" s="34" t="s">
        <v>718</v>
      </c>
      <c r="AQ171" s="34" t="s">
        <v>1286</v>
      </c>
      <c r="AR171" s="34"/>
      <c r="AS171" s="61" t="s">
        <v>1283</v>
      </c>
    </row>
    <row r="172" spans="1:152" s="8" customFormat="1" ht="48" x14ac:dyDescent="0.25">
      <c r="A172" s="195"/>
      <c r="B172" s="198"/>
      <c r="C172" s="210"/>
      <c r="D172" s="211"/>
      <c r="E172" s="32" t="s">
        <v>87</v>
      </c>
      <c r="F172" s="152"/>
      <c r="G172" s="47" t="s">
        <v>681</v>
      </c>
      <c r="H172" s="34" t="s">
        <v>114</v>
      </c>
      <c r="I172" s="32" t="s">
        <v>1234</v>
      </c>
      <c r="J172" s="34" t="s">
        <v>720</v>
      </c>
      <c r="K172" s="34" t="s">
        <v>104</v>
      </c>
      <c r="L172" s="68" t="s">
        <v>117</v>
      </c>
      <c r="M172" s="73" t="s">
        <v>332</v>
      </c>
      <c r="N172" s="73" t="s">
        <v>683</v>
      </c>
      <c r="O172" s="73" t="s">
        <v>264</v>
      </c>
      <c r="P172" s="70">
        <v>2</v>
      </c>
      <c r="Q172" s="41">
        <v>3</v>
      </c>
      <c r="R172" s="33">
        <f>P172*Q172</f>
        <v>6</v>
      </c>
      <c r="S172" s="33" t="str">
        <f t="shared" si="24"/>
        <v>MEDIO</v>
      </c>
      <c r="T172" s="33">
        <v>10</v>
      </c>
      <c r="U172" s="75">
        <f t="shared" si="25"/>
        <v>60</v>
      </c>
      <c r="V172" s="33" t="str">
        <f t="shared" si="27"/>
        <v>lll</v>
      </c>
      <c r="W172" s="74" t="str">
        <f t="shared" si="26"/>
        <v>SI</v>
      </c>
      <c r="X172" s="33">
        <v>8</v>
      </c>
      <c r="Y172" s="31" t="s">
        <v>119</v>
      </c>
      <c r="Z172" s="33" t="s">
        <v>87</v>
      </c>
      <c r="AA172" s="45"/>
      <c r="AB172" s="32"/>
      <c r="AC172" s="40" t="s">
        <v>721</v>
      </c>
      <c r="AD172" s="34" t="s">
        <v>722</v>
      </c>
      <c r="AE172" s="34" t="s">
        <v>723</v>
      </c>
      <c r="AF172" s="34" t="s">
        <v>1287</v>
      </c>
      <c r="AG172" s="41">
        <v>2</v>
      </c>
      <c r="AH172" s="41">
        <v>3</v>
      </c>
      <c r="AI172" s="33">
        <f t="shared" si="29"/>
        <v>6</v>
      </c>
      <c r="AJ172" s="33" t="str">
        <f t="shared" si="30"/>
        <v>MEDIO</v>
      </c>
      <c r="AK172" s="33">
        <v>10</v>
      </c>
      <c r="AL172" s="33">
        <f t="shared" si="23"/>
        <v>60</v>
      </c>
      <c r="AM172" s="33" t="str">
        <f t="shared" si="28"/>
        <v>RIESGO ACEPTABLE</v>
      </c>
      <c r="AN172" s="33"/>
      <c r="AO172" s="32"/>
      <c r="AP172" s="40" t="s">
        <v>721</v>
      </c>
      <c r="AQ172" s="34" t="s">
        <v>1288</v>
      </c>
      <c r="AR172" s="34" t="s">
        <v>126</v>
      </c>
      <c r="AS172" s="61" t="s">
        <v>1289</v>
      </c>
      <c r="EQ172" s="15"/>
      <c r="ER172" s="15"/>
      <c r="ES172" s="15"/>
      <c r="ET172" s="15"/>
      <c r="EU172" s="15"/>
      <c r="EV172" s="15"/>
    </row>
    <row r="173" spans="1:152" s="8" customFormat="1" ht="48" x14ac:dyDescent="0.25">
      <c r="A173" s="195"/>
      <c r="B173" s="198"/>
      <c r="C173" s="210"/>
      <c r="D173" s="211"/>
      <c r="E173" s="32" t="s">
        <v>87</v>
      </c>
      <c r="F173" s="152"/>
      <c r="G173" s="47" t="s">
        <v>681</v>
      </c>
      <c r="H173" s="34" t="s">
        <v>631</v>
      </c>
      <c r="I173" s="32" t="s">
        <v>1245</v>
      </c>
      <c r="J173" s="32" t="s">
        <v>725</v>
      </c>
      <c r="K173" s="32" t="s">
        <v>104</v>
      </c>
      <c r="L173" s="68" t="s">
        <v>633</v>
      </c>
      <c r="M173" s="73" t="s">
        <v>332</v>
      </c>
      <c r="N173" s="73" t="s">
        <v>683</v>
      </c>
      <c r="O173" s="73" t="s">
        <v>726</v>
      </c>
      <c r="P173" s="70">
        <v>2</v>
      </c>
      <c r="Q173" s="41">
        <v>3</v>
      </c>
      <c r="R173" s="33">
        <f>P173*Q173</f>
        <v>6</v>
      </c>
      <c r="S173" s="33" t="str">
        <f t="shared" si="24"/>
        <v>MEDIO</v>
      </c>
      <c r="T173" s="33">
        <v>10</v>
      </c>
      <c r="U173" s="75">
        <f t="shared" si="25"/>
        <v>60</v>
      </c>
      <c r="V173" s="33" t="str">
        <f t="shared" si="27"/>
        <v>lll</v>
      </c>
      <c r="W173" s="74" t="s">
        <v>87</v>
      </c>
      <c r="X173" s="33">
        <v>8</v>
      </c>
      <c r="Y173" s="31" t="s">
        <v>634</v>
      </c>
      <c r="Z173" s="33" t="s">
        <v>87</v>
      </c>
      <c r="AA173" s="45"/>
      <c r="AB173" s="34"/>
      <c r="AC173" s="34" t="s">
        <v>727</v>
      </c>
      <c r="AD173" s="34" t="s">
        <v>728</v>
      </c>
      <c r="AE173" s="34"/>
      <c r="AF173" s="34" t="s">
        <v>729</v>
      </c>
      <c r="AG173" s="41">
        <v>2</v>
      </c>
      <c r="AH173" s="41">
        <v>1</v>
      </c>
      <c r="AI173" s="33">
        <f>AG173*AH173</f>
        <v>2</v>
      </c>
      <c r="AJ173" s="33" t="str">
        <f>IF(AND(AI173&gt;=0,AI173&lt;=4),"BAJO",IF(AND(AI173&gt;=6,AI173&lt;=8),"MEDIO",IF(AND(AI173&gt;=10,AI173&lt;=20),"ALTO",IF(AND(AI173&gt;=24,AI173&lt;=40),"MUY ALTO"))))</f>
        <v>BAJO</v>
      </c>
      <c r="AK173" s="33">
        <v>25</v>
      </c>
      <c r="AL173" s="33">
        <f t="shared" si="23"/>
        <v>50</v>
      </c>
      <c r="AM173" s="33" t="str">
        <f t="shared" si="28"/>
        <v>RIESGO ACEPTABLE</v>
      </c>
      <c r="AN173" s="33"/>
      <c r="AO173" s="34"/>
      <c r="AP173" s="34" t="s">
        <v>730</v>
      </c>
      <c r="AQ173" s="34" t="s">
        <v>731</v>
      </c>
      <c r="AR173" s="34"/>
      <c r="AS173" s="61" t="s">
        <v>729</v>
      </c>
    </row>
    <row r="174" spans="1:152" s="8" customFormat="1" ht="76.8" x14ac:dyDescent="0.25">
      <c r="A174" s="195"/>
      <c r="B174" s="198"/>
      <c r="C174" s="210"/>
      <c r="D174" s="211"/>
      <c r="E174" s="32" t="s">
        <v>87</v>
      </c>
      <c r="F174" s="152"/>
      <c r="G174" s="47" t="s">
        <v>681</v>
      </c>
      <c r="H174" s="34" t="s">
        <v>79</v>
      </c>
      <c r="I174" s="32" t="s">
        <v>1250</v>
      </c>
      <c r="J174" s="47" t="s">
        <v>732</v>
      </c>
      <c r="K174" s="32" t="s">
        <v>104</v>
      </c>
      <c r="L174" s="68" t="s">
        <v>448</v>
      </c>
      <c r="M174" s="73" t="s">
        <v>332</v>
      </c>
      <c r="N174" s="73" t="s">
        <v>683</v>
      </c>
      <c r="O174" s="7" t="s">
        <v>85</v>
      </c>
      <c r="P174" s="70">
        <v>2</v>
      </c>
      <c r="Q174" s="41">
        <v>3</v>
      </c>
      <c r="R174" s="33">
        <f>P174*Q174</f>
        <v>6</v>
      </c>
      <c r="S174" s="33" t="str">
        <f t="shared" si="24"/>
        <v>MEDIO</v>
      </c>
      <c r="T174" s="33">
        <v>10</v>
      </c>
      <c r="U174" s="75">
        <f t="shared" si="25"/>
        <v>60</v>
      </c>
      <c r="V174" s="33" t="str">
        <f t="shared" si="27"/>
        <v>lll</v>
      </c>
      <c r="W174" s="74" t="str">
        <f t="shared" si="26"/>
        <v>SI</v>
      </c>
      <c r="X174" s="33">
        <v>8</v>
      </c>
      <c r="Y174" s="31" t="s">
        <v>86</v>
      </c>
      <c r="Z174" s="33" t="s">
        <v>87</v>
      </c>
      <c r="AA174" s="45"/>
      <c r="AB174" s="33"/>
      <c r="AC174" s="34"/>
      <c r="AD174" s="34" t="s">
        <v>733</v>
      </c>
      <c r="AE174" s="34" t="s">
        <v>93</v>
      </c>
      <c r="AF174" s="34" t="s">
        <v>734</v>
      </c>
      <c r="AG174" s="41">
        <v>2</v>
      </c>
      <c r="AH174" s="41">
        <v>3</v>
      </c>
      <c r="AI174" s="33">
        <f>AG174*AH174</f>
        <v>6</v>
      </c>
      <c r="AJ174" s="33" t="str">
        <f>IF(AND(AI174&gt;=0,AI174&lt;=4),"BAJO",IF(AND(AI174&gt;=6,AI174&lt;=8),"MEDIO",IF(AND(AI174&gt;=10,AI174&lt;=20),"ALTO",IF(AND(AI174&gt;=24,AI174&lt;=40),"MUY ALTO"))))</f>
        <v>MEDIO</v>
      </c>
      <c r="AK174" s="33">
        <v>10</v>
      </c>
      <c r="AL174" s="33">
        <f t="shared" si="23"/>
        <v>60</v>
      </c>
      <c r="AM174" s="33" t="str">
        <f t="shared" si="28"/>
        <v>RIESGO ACEPTABLE</v>
      </c>
      <c r="AN174" s="34"/>
      <c r="AO174" s="34"/>
      <c r="AP174" s="34"/>
      <c r="AQ174" s="34" t="s">
        <v>735</v>
      </c>
      <c r="AR174" s="34" t="s">
        <v>93</v>
      </c>
      <c r="AS174" s="61" t="s">
        <v>734</v>
      </c>
      <c r="EQ174" s="15"/>
      <c r="ER174" s="15"/>
      <c r="ES174" s="15"/>
      <c r="ET174" s="15"/>
      <c r="EU174" s="15"/>
      <c r="EV174" s="15"/>
    </row>
    <row r="175" spans="1:152" s="8" customFormat="1" ht="57.6" x14ac:dyDescent="0.25">
      <c r="A175" s="195"/>
      <c r="B175" s="198"/>
      <c r="C175" s="210"/>
      <c r="D175" s="211"/>
      <c r="E175" s="32" t="s">
        <v>87</v>
      </c>
      <c r="F175" s="152"/>
      <c r="G175" s="47" t="s">
        <v>681</v>
      </c>
      <c r="H175" s="34" t="s">
        <v>227</v>
      </c>
      <c r="I175" s="32" t="s">
        <v>1245</v>
      </c>
      <c r="J175" s="32" t="s">
        <v>736</v>
      </c>
      <c r="K175" s="32" t="s">
        <v>104</v>
      </c>
      <c r="L175" s="68" t="s">
        <v>229</v>
      </c>
      <c r="M175" s="73" t="s">
        <v>332</v>
      </c>
      <c r="N175" s="73" t="s">
        <v>683</v>
      </c>
      <c r="O175" s="73" t="s">
        <v>343</v>
      </c>
      <c r="P175" s="70">
        <v>2</v>
      </c>
      <c r="Q175" s="41">
        <v>1</v>
      </c>
      <c r="R175" s="33">
        <f t="shared" si="22"/>
        <v>2</v>
      </c>
      <c r="S175" s="33" t="str">
        <f t="shared" si="24"/>
        <v>BAJO</v>
      </c>
      <c r="T175" s="33">
        <v>10</v>
      </c>
      <c r="U175" s="75">
        <f t="shared" si="25"/>
        <v>20</v>
      </c>
      <c r="V175" s="33" t="str">
        <f t="shared" si="27"/>
        <v xml:space="preserve">IV </v>
      </c>
      <c r="W175" s="74" t="s">
        <v>87</v>
      </c>
      <c r="X175" s="33">
        <v>8</v>
      </c>
      <c r="Y175" s="31" t="s">
        <v>163</v>
      </c>
      <c r="Z175" s="33" t="s">
        <v>87</v>
      </c>
      <c r="AA175" s="45"/>
      <c r="AB175" s="34"/>
      <c r="AC175" s="34" t="s">
        <v>737</v>
      </c>
      <c r="AD175" s="34" t="s">
        <v>738</v>
      </c>
      <c r="AE175" s="34"/>
      <c r="AF175" s="42" t="s">
        <v>182</v>
      </c>
      <c r="AG175" s="41">
        <v>2</v>
      </c>
      <c r="AH175" s="41">
        <v>1</v>
      </c>
      <c r="AI175" s="33">
        <f>AG175*AH175</f>
        <v>2</v>
      </c>
      <c r="AJ175" s="33" t="str">
        <f>IF(AND(AI175&gt;=0,AI175&lt;=4),"BAJO",IF(AND(AI175&gt;=6,AI175&lt;=8),"MEDIO",IF(AND(AI175&gt;=10,AI175&lt;=20),"ALTO",IF(AND(AI175&gt;=24,AI175&lt;=40),"MUY ALTO"))))</f>
        <v>BAJO</v>
      </c>
      <c r="AK175" s="33">
        <v>10</v>
      </c>
      <c r="AL175" s="33">
        <f t="shared" si="23"/>
        <v>20</v>
      </c>
      <c r="AM175" s="33" t="str">
        <f t="shared" si="28"/>
        <v>RIESGO ACEPTABLE</v>
      </c>
      <c r="AN175" s="33"/>
      <c r="AO175" s="34"/>
      <c r="AP175" s="34" t="s">
        <v>737</v>
      </c>
      <c r="AQ175" s="34" t="s">
        <v>738</v>
      </c>
      <c r="AR175" s="34"/>
      <c r="AS175" s="61" t="s">
        <v>739</v>
      </c>
    </row>
    <row r="176" spans="1:152" s="14" customFormat="1" ht="67.2" x14ac:dyDescent="0.25">
      <c r="A176" s="195"/>
      <c r="B176" s="198"/>
      <c r="C176" s="166" t="s">
        <v>740</v>
      </c>
      <c r="D176" s="196" t="s">
        <v>741</v>
      </c>
      <c r="E176" s="32" t="s">
        <v>496</v>
      </c>
      <c r="F176" s="152" t="s">
        <v>1352</v>
      </c>
      <c r="G176" s="47" t="s">
        <v>742</v>
      </c>
      <c r="H176" s="34" t="s">
        <v>743</v>
      </c>
      <c r="I176" s="32" t="s">
        <v>1251</v>
      </c>
      <c r="J176" s="47" t="s">
        <v>745</v>
      </c>
      <c r="K176" s="40" t="s">
        <v>248</v>
      </c>
      <c r="L176" s="68" t="s">
        <v>746</v>
      </c>
      <c r="M176" s="73" t="s">
        <v>332</v>
      </c>
      <c r="N176" s="73" t="s">
        <v>747</v>
      </c>
      <c r="O176" s="73" t="s">
        <v>748</v>
      </c>
      <c r="P176" s="70">
        <v>2</v>
      </c>
      <c r="Q176" s="41">
        <v>1</v>
      </c>
      <c r="R176" s="33">
        <f t="shared" si="22"/>
        <v>2</v>
      </c>
      <c r="S176" s="33" t="str">
        <f t="shared" si="24"/>
        <v>BAJO</v>
      </c>
      <c r="T176" s="33">
        <v>10</v>
      </c>
      <c r="U176" s="75">
        <f t="shared" si="25"/>
        <v>20</v>
      </c>
      <c r="V176" s="33" t="str">
        <f t="shared" si="27"/>
        <v xml:space="preserve">IV </v>
      </c>
      <c r="W176" s="74" t="s">
        <v>87</v>
      </c>
      <c r="X176" s="33">
        <v>8</v>
      </c>
      <c r="Y176" s="31" t="s">
        <v>749</v>
      </c>
      <c r="Z176" s="33" t="s">
        <v>87</v>
      </c>
      <c r="AA176" s="46"/>
      <c r="AB176" s="33"/>
      <c r="AC176" s="34"/>
      <c r="AD176" s="34" t="s">
        <v>750</v>
      </c>
      <c r="AE176" s="34"/>
      <c r="AF176" s="34" t="s">
        <v>729</v>
      </c>
      <c r="AG176" s="41">
        <v>2</v>
      </c>
      <c r="AH176" s="41">
        <v>1</v>
      </c>
      <c r="AI176" s="33">
        <f t="shared" si="29"/>
        <v>2</v>
      </c>
      <c r="AJ176" s="33" t="str">
        <f t="shared" si="30"/>
        <v>BAJO</v>
      </c>
      <c r="AK176" s="33">
        <v>60</v>
      </c>
      <c r="AL176" s="33">
        <f t="shared" si="23"/>
        <v>120</v>
      </c>
      <c r="AM176" s="33" t="str">
        <f t="shared" si="28"/>
        <v>RIESGO ACEPTABLE</v>
      </c>
      <c r="AN176" s="33"/>
      <c r="AO176" s="32"/>
      <c r="AP176" s="40"/>
      <c r="AQ176" s="34" t="s">
        <v>751</v>
      </c>
      <c r="AR176" s="34" t="s">
        <v>93</v>
      </c>
      <c r="AS176" s="61" t="s">
        <v>752</v>
      </c>
    </row>
    <row r="177" spans="1:45" s="14" customFormat="1" ht="38.4" x14ac:dyDescent="0.25">
      <c r="A177" s="195"/>
      <c r="B177" s="198"/>
      <c r="C177" s="166"/>
      <c r="D177" s="196"/>
      <c r="E177" s="32" t="s">
        <v>496</v>
      </c>
      <c r="F177" s="152"/>
      <c r="G177" s="47" t="s">
        <v>753</v>
      </c>
      <c r="H177" s="34" t="s">
        <v>191</v>
      </c>
      <c r="I177" s="32" t="s">
        <v>1245</v>
      </c>
      <c r="J177" s="34" t="s">
        <v>754</v>
      </c>
      <c r="K177" s="34" t="s">
        <v>104</v>
      </c>
      <c r="L177" s="68" t="s">
        <v>193</v>
      </c>
      <c r="M177" s="78" t="s">
        <v>332</v>
      </c>
      <c r="N177" s="73" t="s">
        <v>747</v>
      </c>
      <c r="O177" s="78" t="s">
        <v>755</v>
      </c>
      <c r="P177" s="70">
        <v>2</v>
      </c>
      <c r="Q177" s="41">
        <v>1</v>
      </c>
      <c r="R177" s="33">
        <f t="shared" si="22"/>
        <v>2</v>
      </c>
      <c r="S177" s="33" t="str">
        <f t="shared" si="24"/>
        <v>BAJO</v>
      </c>
      <c r="T177" s="33">
        <v>10</v>
      </c>
      <c r="U177" s="75">
        <f t="shared" si="25"/>
        <v>20</v>
      </c>
      <c r="V177" s="33" t="str">
        <f t="shared" si="27"/>
        <v xml:space="preserve">IV </v>
      </c>
      <c r="W177" s="74" t="s">
        <v>87</v>
      </c>
      <c r="X177" s="33">
        <v>8</v>
      </c>
      <c r="Y177" s="31" t="s">
        <v>195</v>
      </c>
      <c r="Z177" s="33" t="s">
        <v>87</v>
      </c>
      <c r="AA177" s="45"/>
      <c r="AB177" s="32"/>
      <c r="AC177" s="42"/>
      <c r="AD177" s="34" t="s">
        <v>750</v>
      </c>
      <c r="AE177" s="42"/>
      <c r="AF177" s="34" t="s">
        <v>729</v>
      </c>
      <c r="AG177" s="41">
        <v>2</v>
      </c>
      <c r="AH177" s="41">
        <v>1</v>
      </c>
      <c r="AI177" s="33">
        <f t="shared" si="29"/>
        <v>2</v>
      </c>
      <c r="AJ177" s="33" t="str">
        <f t="shared" si="30"/>
        <v>BAJO</v>
      </c>
      <c r="AK177" s="33">
        <v>25</v>
      </c>
      <c r="AL177" s="33">
        <f t="shared" si="23"/>
        <v>50</v>
      </c>
      <c r="AM177" s="33" t="str">
        <f t="shared" si="28"/>
        <v>RIESGO ACEPTABLE</v>
      </c>
      <c r="AN177" s="33"/>
      <c r="AO177" s="32"/>
      <c r="AP177" s="42"/>
      <c r="AQ177" s="113" t="s">
        <v>756</v>
      </c>
      <c r="AR177" s="34" t="s">
        <v>93</v>
      </c>
      <c r="AS177" s="61" t="s">
        <v>752</v>
      </c>
    </row>
    <row r="178" spans="1:45" s="14" customFormat="1" ht="57.6" x14ac:dyDescent="0.25">
      <c r="A178" s="195"/>
      <c r="B178" s="198"/>
      <c r="C178" s="166"/>
      <c r="D178" s="196"/>
      <c r="E178" s="32" t="s">
        <v>496</v>
      </c>
      <c r="F178" s="152"/>
      <c r="G178" s="47" t="s">
        <v>742</v>
      </c>
      <c r="H178" s="34" t="s">
        <v>172</v>
      </c>
      <c r="I178" s="32" t="s">
        <v>1245</v>
      </c>
      <c r="J178" s="34" t="s">
        <v>757</v>
      </c>
      <c r="K178" s="34" t="s">
        <v>104</v>
      </c>
      <c r="L178" s="68" t="s">
        <v>175</v>
      </c>
      <c r="M178" s="73" t="s">
        <v>332</v>
      </c>
      <c r="N178" s="73" t="s">
        <v>747</v>
      </c>
      <c r="O178" s="73" t="s">
        <v>177</v>
      </c>
      <c r="P178" s="70">
        <v>6</v>
      </c>
      <c r="Q178" s="41">
        <v>1</v>
      </c>
      <c r="R178" s="33">
        <f t="shared" si="22"/>
        <v>6</v>
      </c>
      <c r="S178" s="33" t="str">
        <f t="shared" si="24"/>
        <v>MEDIO</v>
      </c>
      <c r="T178" s="33">
        <v>10</v>
      </c>
      <c r="U178" s="75">
        <f t="shared" si="25"/>
        <v>60</v>
      </c>
      <c r="V178" s="33" t="str">
        <f t="shared" si="27"/>
        <v>lll</v>
      </c>
      <c r="W178" s="74" t="s">
        <v>87</v>
      </c>
      <c r="X178" s="33">
        <v>8</v>
      </c>
      <c r="Y178" s="31" t="s">
        <v>178</v>
      </c>
      <c r="Z178" s="33" t="s">
        <v>87</v>
      </c>
      <c r="AA178" s="45"/>
      <c r="AB178" s="32"/>
      <c r="AC178" s="42"/>
      <c r="AD178" s="42" t="s">
        <v>758</v>
      </c>
      <c r="AE178" s="42" t="s">
        <v>759</v>
      </c>
      <c r="AF178" s="34" t="s">
        <v>729</v>
      </c>
      <c r="AG178" s="41">
        <v>2</v>
      </c>
      <c r="AH178" s="41">
        <v>1</v>
      </c>
      <c r="AI178" s="33">
        <f t="shared" si="29"/>
        <v>2</v>
      </c>
      <c r="AJ178" s="33" t="str">
        <f t="shared" si="30"/>
        <v>BAJO</v>
      </c>
      <c r="AK178" s="33">
        <v>60</v>
      </c>
      <c r="AL178" s="33">
        <f t="shared" si="23"/>
        <v>120</v>
      </c>
      <c r="AM178" s="33" t="str">
        <f t="shared" si="28"/>
        <v>RIESGO ACEPTABLE</v>
      </c>
      <c r="AN178" s="33"/>
      <c r="AO178" s="32"/>
      <c r="AP178" s="42"/>
      <c r="AQ178" s="42" t="s">
        <v>758</v>
      </c>
      <c r="AR178" s="42" t="s">
        <v>759</v>
      </c>
      <c r="AS178" s="61" t="s">
        <v>752</v>
      </c>
    </row>
    <row r="179" spans="1:45" s="14" customFormat="1" ht="57.6" x14ac:dyDescent="0.25">
      <c r="A179" s="195"/>
      <c r="B179" s="198"/>
      <c r="C179" s="166"/>
      <c r="D179" s="196"/>
      <c r="E179" s="32" t="s">
        <v>496</v>
      </c>
      <c r="F179" s="152"/>
      <c r="G179" s="47" t="s">
        <v>742</v>
      </c>
      <c r="H179" s="34" t="s">
        <v>183</v>
      </c>
      <c r="I179" s="32" t="s">
        <v>1245</v>
      </c>
      <c r="J179" s="34" t="s">
        <v>760</v>
      </c>
      <c r="K179" s="34" t="s">
        <v>104</v>
      </c>
      <c r="L179" s="68" t="s">
        <v>175</v>
      </c>
      <c r="M179" s="73" t="s">
        <v>332</v>
      </c>
      <c r="N179" s="73" t="s">
        <v>747</v>
      </c>
      <c r="O179" s="73" t="s">
        <v>761</v>
      </c>
      <c r="P179" s="70">
        <v>2</v>
      </c>
      <c r="Q179" s="41">
        <v>3</v>
      </c>
      <c r="R179" s="33">
        <f t="shared" si="22"/>
        <v>6</v>
      </c>
      <c r="S179" s="33" t="str">
        <f t="shared" si="24"/>
        <v>MEDIO</v>
      </c>
      <c r="T179" s="33">
        <v>10</v>
      </c>
      <c r="U179" s="75">
        <f t="shared" si="25"/>
        <v>60</v>
      </c>
      <c r="V179" s="33" t="str">
        <f t="shared" si="27"/>
        <v>lll</v>
      </c>
      <c r="W179" s="74" t="s">
        <v>87</v>
      </c>
      <c r="X179" s="33">
        <v>8</v>
      </c>
      <c r="Y179" s="31" t="s">
        <v>178</v>
      </c>
      <c r="Z179" s="33" t="s">
        <v>87</v>
      </c>
      <c r="AA179" s="45"/>
      <c r="AB179" s="32"/>
      <c r="AC179" s="42"/>
      <c r="AD179" s="42" t="s">
        <v>758</v>
      </c>
      <c r="AE179" s="42" t="s">
        <v>759</v>
      </c>
      <c r="AF179" s="34" t="s">
        <v>729</v>
      </c>
      <c r="AG179" s="41">
        <v>2</v>
      </c>
      <c r="AH179" s="41">
        <v>1</v>
      </c>
      <c r="AI179" s="33">
        <f t="shared" si="29"/>
        <v>2</v>
      </c>
      <c r="AJ179" s="33" t="str">
        <f t="shared" si="30"/>
        <v>BAJO</v>
      </c>
      <c r="AK179" s="33">
        <v>60</v>
      </c>
      <c r="AL179" s="33">
        <f t="shared" si="23"/>
        <v>120</v>
      </c>
      <c r="AM179" s="33" t="str">
        <f t="shared" si="28"/>
        <v>RIESGO ACEPTABLE</v>
      </c>
      <c r="AN179" s="33"/>
      <c r="AO179" s="32"/>
      <c r="AP179" s="42"/>
      <c r="AQ179" s="42" t="s">
        <v>758</v>
      </c>
      <c r="AR179" s="42" t="s">
        <v>759</v>
      </c>
      <c r="AS179" s="61" t="s">
        <v>752</v>
      </c>
    </row>
    <row r="180" spans="1:45" s="14" customFormat="1" ht="28.8" x14ac:dyDescent="0.25">
      <c r="A180" s="195"/>
      <c r="B180" s="198"/>
      <c r="C180" s="166"/>
      <c r="D180" s="196"/>
      <c r="E180" s="32" t="s">
        <v>496</v>
      </c>
      <c r="F180" s="152"/>
      <c r="G180" s="47" t="s">
        <v>742</v>
      </c>
      <c r="H180" s="34" t="s">
        <v>114</v>
      </c>
      <c r="I180" s="34" t="s">
        <v>1241</v>
      </c>
      <c r="J180" s="34" t="s">
        <v>762</v>
      </c>
      <c r="K180" s="34" t="s">
        <v>104</v>
      </c>
      <c r="L180" s="68" t="s">
        <v>117</v>
      </c>
      <c r="M180" s="73" t="s">
        <v>332</v>
      </c>
      <c r="N180" s="73" t="s">
        <v>747</v>
      </c>
      <c r="O180" s="73" t="s">
        <v>264</v>
      </c>
      <c r="P180" s="70">
        <v>6</v>
      </c>
      <c r="Q180" s="41">
        <v>1</v>
      </c>
      <c r="R180" s="33">
        <f t="shared" si="22"/>
        <v>6</v>
      </c>
      <c r="S180" s="33" t="str">
        <f t="shared" si="24"/>
        <v>MEDIO</v>
      </c>
      <c r="T180" s="33">
        <v>10</v>
      </c>
      <c r="U180" s="75">
        <f t="shared" si="25"/>
        <v>60</v>
      </c>
      <c r="V180" s="33" t="str">
        <f t="shared" si="27"/>
        <v>lll</v>
      </c>
      <c r="W180" s="74" t="s">
        <v>87</v>
      </c>
      <c r="X180" s="33">
        <v>8</v>
      </c>
      <c r="Y180" s="31" t="s">
        <v>119</v>
      </c>
      <c r="Z180" s="33" t="s">
        <v>87</v>
      </c>
      <c r="AA180" s="45"/>
      <c r="AB180" s="32"/>
      <c r="AC180" s="42"/>
      <c r="AD180" s="42" t="s">
        <v>763</v>
      </c>
      <c r="AE180" s="42"/>
      <c r="AF180" s="34" t="s">
        <v>764</v>
      </c>
      <c r="AG180" s="41">
        <v>2</v>
      </c>
      <c r="AH180" s="41">
        <v>1</v>
      </c>
      <c r="AI180" s="33">
        <f t="shared" si="29"/>
        <v>2</v>
      </c>
      <c r="AJ180" s="33" t="str">
        <f t="shared" si="30"/>
        <v>BAJO</v>
      </c>
      <c r="AK180" s="33">
        <v>25</v>
      </c>
      <c r="AL180" s="33">
        <f t="shared" si="23"/>
        <v>50</v>
      </c>
      <c r="AM180" s="33" t="str">
        <f t="shared" si="28"/>
        <v>RIESGO ACEPTABLE</v>
      </c>
      <c r="AN180" s="33"/>
      <c r="AO180" s="32"/>
      <c r="AP180" s="42"/>
      <c r="AQ180" s="42" t="s">
        <v>765</v>
      </c>
      <c r="AR180" s="42"/>
      <c r="AS180" s="61" t="s">
        <v>764</v>
      </c>
    </row>
    <row r="181" spans="1:45" s="14" customFormat="1" ht="48" x14ac:dyDescent="0.25">
      <c r="A181" s="195"/>
      <c r="B181" s="198"/>
      <c r="C181" s="166"/>
      <c r="D181" s="196"/>
      <c r="E181" s="32" t="s">
        <v>496</v>
      </c>
      <c r="F181" s="152"/>
      <c r="G181" s="47" t="s">
        <v>742</v>
      </c>
      <c r="H181" s="34" t="s">
        <v>409</v>
      </c>
      <c r="I181" s="34" t="s">
        <v>1241</v>
      </c>
      <c r="J181" s="34" t="s">
        <v>766</v>
      </c>
      <c r="K181" s="34" t="s">
        <v>104</v>
      </c>
      <c r="L181" s="68" t="s">
        <v>411</v>
      </c>
      <c r="M181" s="73" t="s">
        <v>332</v>
      </c>
      <c r="N181" s="73" t="s">
        <v>747</v>
      </c>
      <c r="O181" s="73" t="s">
        <v>443</v>
      </c>
      <c r="P181" s="70">
        <v>2</v>
      </c>
      <c r="Q181" s="41">
        <v>1</v>
      </c>
      <c r="R181" s="33">
        <f t="shared" si="22"/>
        <v>2</v>
      </c>
      <c r="S181" s="33" t="str">
        <f t="shared" si="24"/>
        <v>BAJO</v>
      </c>
      <c r="T181" s="33">
        <v>10</v>
      </c>
      <c r="U181" s="75">
        <f t="shared" si="25"/>
        <v>20</v>
      </c>
      <c r="V181" s="33" t="str">
        <f t="shared" si="27"/>
        <v xml:space="preserve">IV </v>
      </c>
      <c r="W181" s="74" t="s">
        <v>87</v>
      </c>
      <c r="X181" s="33">
        <v>8</v>
      </c>
      <c r="Y181" s="31" t="s">
        <v>413</v>
      </c>
      <c r="Z181" s="33" t="s">
        <v>87</v>
      </c>
      <c r="AA181" s="45"/>
      <c r="AB181" s="32"/>
      <c r="AC181" s="42"/>
      <c r="AD181" s="42" t="s">
        <v>768</v>
      </c>
      <c r="AE181" s="42" t="s">
        <v>769</v>
      </c>
      <c r="AF181" s="34" t="s">
        <v>729</v>
      </c>
      <c r="AG181" s="41">
        <v>6</v>
      </c>
      <c r="AH181" s="41">
        <v>1</v>
      </c>
      <c r="AI181" s="33">
        <f t="shared" si="29"/>
        <v>6</v>
      </c>
      <c r="AJ181" s="33" t="str">
        <f t="shared" si="30"/>
        <v>MEDIO</v>
      </c>
      <c r="AK181" s="33">
        <v>10</v>
      </c>
      <c r="AL181" s="33">
        <f t="shared" si="23"/>
        <v>60</v>
      </c>
      <c r="AM181" s="33" t="str">
        <f t="shared" si="28"/>
        <v>RIESGO ACEPTABLE</v>
      </c>
      <c r="AN181" s="33"/>
      <c r="AO181" s="32"/>
      <c r="AP181" s="42" t="s">
        <v>767</v>
      </c>
      <c r="AQ181" s="42" t="s">
        <v>768</v>
      </c>
      <c r="AR181" s="42" t="s">
        <v>769</v>
      </c>
      <c r="AS181" s="61" t="s">
        <v>752</v>
      </c>
    </row>
    <row r="182" spans="1:45" s="14" customFormat="1" ht="28.8" x14ac:dyDescent="0.25">
      <c r="A182" s="195"/>
      <c r="B182" s="198"/>
      <c r="C182" s="166"/>
      <c r="D182" s="196"/>
      <c r="E182" s="32" t="s">
        <v>496</v>
      </c>
      <c r="F182" s="152"/>
      <c r="G182" s="47" t="s">
        <v>742</v>
      </c>
      <c r="H182" s="34" t="s">
        <v>393</v>
      </c>
      <c r="I182" s="34" t="s">
        <v>1241</v>
      </c>
      <c r="J182" s="34" t="s">
        <v>770</v>
      </c>
      <c r="K182" s="34" t="s">
        <v>104</v>
      </c>
      <c r="L182" s="68" t="s">
        <v>395</v>
      </c>
      <c r="M182" s="73" t="s">
        <v>332</v>
      </c>
      <c r="N182" s="73" t="s">
        <v>84</v>
      </c>
      <c r="O182" s="73" t="s">
        <v>396</v>
      </c>
      <c r="P182" s="70">
        <v>2</v>
      </c>
      <c r="Q182" s="41">
        <v>1</v>
      </c>
      <c r="R182" s="33">
        <f t="shared" si="22"/>
        <v>2</v>
      </c>
      <c r="S182" s="33" t="str">
        <f t="shared" si="24"/>
        <v>BAJO</v>
      </c>
      <c r="T182" s="33">
        <v>10</v>
      </c>
      <c r="U182" s="75">
        <f t="shared" si="25"/>
        <v>20</v>
      </c>
      <c r="V182" s="33" t="str">
        <f t="shared" si="27"/>
        <v xml:space="preserve">IV </v>
      </c>
      <c r="W182" s="74" t="s">
        <v>87</v>
      </c>
      <c r="X182" s="33">
        <v>8</v>
      </c>
      <c r="Y182" s="31" t="s">
        <v>397</v>
      </c>
      <c r="Z182" s="33" t="s">
        <v>87</v>
      </c>
      <c r="AA182" s="45"/>
      <c r="AB182" s="32"/>
      <c r="AC182" s="42"/>
      <c r="AD182" s="42" t="s">
        <v>771</v>
      </c>
      <c r="AE182" s="42"/>
      <c r="AF182" s="34" t="s">
        <v>729</v>
      </c>
      <c r="AG182" s="41">
        <v>2</v>
      </c>
      <c r="AH182" s="41">
        <v>1</v>
      </c>
      <c r="AI182" s="33">
        <f t="shared" si="29"/>
        <v>2</v>
      </c>
      <c r="AJ182" s="33" t="str">
        <f t="shared" si="30"/>
        <v>BAJO</v>
      </c>
      <c r="AK182" s="33">
        <v>25</v>
      </c>
      <c r="AL182" s="33">
        <f t="shared" si="23"/>
        <v>50</v>
      </c>
      <c r="AM182" s="33" t="str">
        <f t="shared" si="28"/>
        <v>RIESGO ACEPTABLE</v>
      </c>
      <c r="AN182" s="33"/>
      <c r="AO182" s="32"/>
      <c r="AP182" s="42"/>
      <c r="AQ182" s="42" t="s">
        <v>772</v>
      </c>
      <c r="AR182" s="42"/>
      <c r="AS182" s="61" t="s">
        <v>752</v>
      </c>
    </row>
    <row r="183" spans="1:45" s="14" customFormat="1" ht="67.2" x14ac:dyDescent="0.25">
      <c r="A183" s="195"/>
      <c r="B183" s="198"/>
      <c r="C183" s="166"/>
      <c r="D183" s="196"/>
      <c r="E183" s="32" t="s">
        <v>496</v>
      </c>
      <c r="F183" s="152"/>
      <c r="G183" s="47" t="s">
        <v>742</v>
      </c>
      <c r="H183" s="34" t="s">
        <v>205</v>
      </c>
      <c r="I183" s="34" t="s">
        <v>1242</v>
      </c>
      <c r="J183" s="34" t="s">
        <v>773</v>
      </c>
      <c r="K183" s="34" t="s">
        <v>104</v>
      </c>
      <c r="L183" s="68" t="s">
        <v>207</v>
      </c>
      <c r="M183" s="73" t="s">
        <v>332</v>
      </c>
      <c r="N183" s="73" t="s">
        <v>106</v>
      </c>
      <c r="O183" s="73" t="s">
        <v>522</v>
      </c>
      <c r="P183" s="70">
        <v>2</v>
      </c>
      <c r="Q183" s="41">
        <v>3</v>
      </c>
      <c r="R183" s="33">
        <f t="shared" si="22"/>
        <v>6</v>
      </c>
      <c r="S183" s="33" t="str">
        <f t="shared" si="24"/>
        <v>MEDIO</v>
      </c>
      <c r="T183" s="33">
        <v>10</v>
      </c>
      <c r="U183" s="75">
        <f t="shared" si="25"/>
        <v>60</v>
      </c>
      <c r="V183" s="33" t="str">
        <f t="shared" si="27"/>
        <v>lll</v>
      </c>
      <c r="W183" s="74" t="s">
        <v>87</v>
      </c>
      <c r="X183" s="33">
        <v>8</v>
      </c>
      <c r="Y183" s="31" t="s">
        <v>209</v>
      </c>
      <c r="Z183" s="33" t="s">
        <v>87</v>
      </c>
      <c r="AA183" s="32" t="s">
        <v>774</v>
      </c>
      <c r="AB183" s="32"/>
      <c r="AC183" s="42"/>
      <c r="AD183" s="42" t="s">
        <v>775</v>
      </c>
      <c r="AE183" s="42" t="s">
        <v>776</v>
      </c>
      <c r="AF183" s="34" t="s">
        <v>729</v>
      </c>
      <c r="AG183" s="41">
        <v>2</v>
      </c>
      <c r="AH183" s="41">
        <v>3</v>
      </c>
      <c r="AI183" s="33">
        <f t="shared" si="29"/>
        <v>6</v>
      </c>
      <c r="AJ183" s="33" t="str">
        <f t="shared" si="30"/>
        <v>MEDIO</v>
      </c>
      <c r="AK183" s="33">
        <v>10</v>
      </c>
      <c r="AL183" s="33">
        <f t="shared" si="23"/>
        <v>60</v>
      </c>
      <c r="AM183" s="33" t="str">
        <f t="shared" si="28"/>
        <v>RIESGO ACEPTABLE</v>
      </c>
      <c r="AN183" s="33"/>
      <c r="AO183" s="32"/>
      <c r="AP183" s="42"/>
      <c r="AQ183" s="42" t="s">
        <v>775</v>
      </c>
      <c r="AR183" s="42" t="s">
        <v>776</v>
      </c>
      <c r="AS183" s="61" t="s">
        <v>752</v>
      </c>
    </row>
    <row r="184" spans="1:45" s="14" customFormat="1" ht="67.2" x14ac:dyDescent="0.25">
      <c r="A184" s="195"/>
      <c r="B184" s="198"/>
      <c r="C184" s="166"/>
      <c r="D184" s="196"/>
      <c r="E184" s="32" t="s">
        <v>496</v>
      </c>
      <c r="F184" s="152"/>
      <c r="G184" s="47" t="s">
        <v>742</v>
      </c>
      <c r="H184" s="34" t="s">
        <v>101</v>
      </c>
      <c r="I184" s="34" t="s">
        <v>1242</v>
      </c>
      <c r="J184" s="34" t="s">
        <v>773</v>
      </c>
      <c r="K184" s="34" t="s">
        <v>104</v>
      </c>
      <c r="L184" s="68" t="s">
        <v>105</v>
      </c>
      <c r="M184" s="73" t="s">
        <v>332</v>
      </c>
      <c r="N184" s="73" t="s">
        <v>106</v>
      </c>
      <c r="O184" s="73" t="s">
        <v>522</v>
      </c>
      <c r="P184" s="70">
        <v>2</v>
      </c>
      <c r="Q184" s="41">
        <v>3</v>
      </c>
      <c r="R184" s="33">
        <f t="shared" si="22"/>
        <v>6</v>
      </c>
      <c r="S184" s="33" t="str">
        <f t="shared" si="24"/>
        <v>MEDIO</v>
      </c>
      <c r="T184" s="33">
        <v>10</v>
      </c>
      <c r="U184" s="75">
        <f t="shared" si="25"/>
        <v>60</v>
      </c>
      <c r="V184" s="33" t="str">
        <f t="shared" si="27"/>
        <v>lll</v>
      </c>
      <c r="W184" s="74" t="s">
        <v>87</v>
      </c>
      <c r="X184" s="33">
        <v>8</v>
      </c>
      <c r="Y184" s="31" t="s">
        <v>108</v>
      </c>
      <c r="Z184" s="33" t="s">
        <v>87</v>
      </c>
      <c r="AA184" s="45"/>
      <c r="AB184" s="32"/>
      <c r="AC184" s="42"/>
      <c r="AD184" s="42" t="s">
        <v>1189</v>
      </c>
      <c r="AE184" s="42" t="s">
        <v>776</v>
      </c>
      <c r="AF184" s="34" t="s">
        <v>729</v>
      </c>
      <c r="AG184" s="41">
        <v>2</v>
      </c>
      <c r="AH184" s="41">
        <v>3</v>
      </c>
      <c r="AI184" s="33">
        <f t="shared" si="29"/>
        <v>6</v>
      </c>
      <c r="AJ184" s="33" t="str">
        <f t="shared" si="30"/>
        <v>MEDIO</v>
      </c>
      <c r="AK184" s="33">
        <v>10</v>
      </c>
      <c r="AL184" s="33">
        <f t="shared" si="23"/>
        <v>60</v>
      </c>
      <c r="AM184" s="33" t="str">
        <f t="shared" si="28"/>
        <v>RIESGO ACEPTABLE</v>
      </c>
      <c r="AN184" s="33"/>
      <c r="AO184" s="32"/>
      <c r="AP184" s="34"/>
      <c r="AQ184" s="42" t="s">
        <v>1189</v>
      </c>
      <c r="AR184" s="42" t="s">
        <v>776</v>
      </c>
      <c r="AS184" s="61" t="s">
        <v>752</v>
      </c>
    </row>
    <row r="185" spans="1:45" s="14" customFormat="1" ht="48" x14ac:dyDescent="0.25">
      <c r="A185" s="195"/>
      <c r="B185" s="198"/>
      <c r="C185" s="166"/>
      <c r="D185" s="196"/>
      <c r="E185" s="32" t="s">
        <v>496</v>
      </c>
      <c r="F185" s="152"/>
      <c r="G185" s="47" t="s">
        <v>753</v>
      </c>
      <c r="H185" s="34" t="s">
        <v>778</v>
      </c>
      <c r="I185" s="34" t="s">
        <v>1243</v>
      </c>
      <c r="J185" s="34" t="s">
        <v>779</v>
      </c>
      <c r="K185" s="34" t="s">
        <v>104</v>
      </c>
      <c r="L185" s="68" t="s">
        <v>151</v>
      </c>
      <c r="M185" s="73" t="s">
        <v>332</v>
      </c>
      <c r="N185" s="73" t="s">
        <v>747</v>
      </c>
      <c r="O185" s="73" t="s">
        <v>780</v>
      </c>
      <c r="P185" s="70">
        <v>2</v>
      </c>
      <c r="Q185" s="41">
        <v>3</v>
      </c>
      <c r="R185" s="83">
        <f t="shared" si="22"/>
        <v>6</v>
      </c>
      <c r="S185" s="33" t="str">
        <f t="shared" si="24"/>
        <v>MEDIO</v>
      </c>
      <c r="T185" s="33">
        <v>10</v>
      </c>
      <c r="U185" s="75">
        <f t="shared" si="25"/>
        <v>60</v>
      </c>
      <c r="V185" s="33" t="str">
        <f t="shared" si="27"/>
        <v>lll</v>
      </c>
      <c r="W185" s="74" t="s">
        <v>87</v>
      </c>
      <c r="X185" s="33">
        <v>8</v>
      </c>
      <c r="Y185" s="31" t="s">
        <v>781</v>
      </c>
      <c r="Z185" s="33" t="s">
        <v>87</v>
      </c>
      <c r="AA185" s="45"/>
      <c r="AB185" s="32"/>
      <c r="AC185" s="42"/>
      <c r="AD185" s="42" t="s">
        <v>1290</v>
      </c>
      <c r="AE185" s="34"/>
      <c r="AF185" s="34" t="s">
        <v>729</v>
      </c>
      <c r="AG185" s="41">
        <v>2</v>
      </c>
      <c r="AH185" s="41">
        <v>3</v>
      </c>
      <c r="AI185" s="33">
        <f t="shared" si="29"/>
        <v>6</v>
      </c>
      <c r="AJ185" s="33" t="str">
        <f t="shared" si="30"/>
        <v>MEDIO</v>
      </c>
      <c r="AK185" s="33">
        <v>10</v>
      </c>
      <c r="AL185" s="33">
        <f t="shared" si="23"/>
        <v>60</v>
      </c>
      <c r="AM185" s="33" t="str">
        <f t="shared" si="28"/>
        <v>RIESGO ACEPTABLE</v>
      </c>
      <c r="AN185" s="33"/>
      <c r="AO185" s="32"/>
      <c r="AP185" s="42"/>
      <c r="AQ185" s="42" t="s">
        <v>1290</v>
      </c>
      <c r="AR185" s="34"/>
      <c r="AS185" s="61" t="s">
        <v>752</v>
      </c>
    </row>
    <row r="186" spans="1:45" s="14" customFormat="1" ht="76.8" x14ac:dyDescent="0.25">
      <c r="A186" s="195"/>
      <c r="B186" s="198"/>
      <c r="C186" s="166"/>
      <c r="D186" s="196"/>
      <c r="E186" s="32" t="s">
        <v>496</v>
      </c>
      <c r="F186" s="152"/>
      <c r="G186" s="47" t="s">
        <v>753</v>
      </c>
      <c r="H186" s="34" t="s">
        <v>227</v>
      </c>
      <c r="I186" s="32" t="s">
        <v>1245</v>
      </c>
      <c r="J186" s="32" t="s">
        <v>615</v>
      </c>
      <c r="K186" s="32" t="s">
        <v>104</v>
      </c>
      <c r="L186" s="68" t="s">
        <v>229</v>
      </c>
      <c r="M186" s="73" t="s">
        <v>332</v>
      </c>
      <c r="N186" s="73" t="s">
        <v>747</v>
      </c>
      <c r="O186" s="73" t="s">
        <v>503</v>
      </c>
      <c r="P186" s="70">
        <v>2</v>
      </c>
      <c r="Q186" s="41">
        <v>1</v>
      </c>
      <c r="R186" s="33">
        <f t="shared" si="22"/>
        <v>2</v>
      </c>
      <c r="S186" s="33" t="str">
        <f t="shared" si="24"/>
        <v>BAJO</v>
      </c>
      <c r="T186" s="33">
        <v>10</v>
      </c>
      <c r="U186" s="75">
        <f t="shared" si="25"/>
        <v>20</v>
      </c>
      <c r="V186" s="33" t="str">
        <f t="shared" si="27"/>
        <v xml:space="preserve">IV </v>
      </c>
      <c r="W186" s="74" t="s">
        <v>87</v>
      </c>
      <c r="X186" s="33">
        <v>8</v>
      </c>
      <c r="Y186" s="31" t="s">
        <v>163</v>
      </c>
      <c r="Z186" s="33" t="s">
        <v>87</v>
      </c>
      <c r="AA186" s="45"/>
      <c r="AB186" s="32"/>
      <c r="AC186" s="40"/>
      <c r="AD186" s="34" t="s">
        <v>783</v>
      </c>
      <c r="AE186" s="34"/>
      <c r="AF186" s="34" t="s">
        <v>729</v>
      </c>
      <c r="AG186" s="41">
        <v>2</v>
      </c>
      <c r="AH186" s="41">
        <v>1</v>
      </c>
      <c r="AI186" s="33">
        <f t="shared" si="29"/>
        <v>2</v>
      </c>
      <c r="AJ186" s="33" t="str">
        <f t="shared" si="30"/>
        <v>BAJO</v>
      </c>
      <c r="AK186" s="33">
        <v>25</v>
      </c>
      <c r="AL186" s="33">
        <f t="shared" si="23"/>
        <v>50</v>
      </c>
      <c r="AM186" s="33" t="str">
        <f t="shared" si="28"/>
        <v>RIESGO ACEPTABLE</v>
      </c>
      <c r="AN186" s="33"/>
      <c r="AO186" s="32"/>
      <c r="AP186" s="40"/>
      <c r="AQ186" s="34" t="s">
        <v>783</v>
      </c>
      <c r="AR186" s="34"/>
      <c r="AS186" s="61" t="s">
        <v>752</v>
      </c>
    </row>
    <row r="187" spans="1:45" s="14" customFormat="1" ht="76.8" x14ac:dyDescent="0.25">
      <c r="A187" s="195"/>
      <c r="B187" s="198"/>
      <c r="C187" s="166"/>
      <c r="D187" s="196"/>
      <c r="E187" s="32" t="s">
        <v>496</v>
      </c>
      <c r="F187" s="152"/>
      <c r="G187" s="47" t="s">
        <v>753</v>
      </c>
      <c r="H187" s="34" t="s">
        <v>157</v>
      </c>
      <c r="I187" s="32" t="s">
        <v>1245</v>
      </c>
      <c r="J187" s="34" t="s">
        <v>677</v>
      </c>
      <c r="K187" s="32" t="s">
        <v>104</v>
      </c>
      <c r="L187" s="68" t="s">
        <v>160</v>
      </c>
      <c r="M187" s="73" t="s">
        <v>332</v>
      </c>
      <c r="N187" s="73" t="s">
        <v>747</v>
      </c>
      <c r="O187" s="73" t="s">
        <v>503</v>
      </c>
      <c r="P187" s="70">
        <v>2</v>
      </c>
      <c r="Q187" s="41">
        <v>3</v>
      </c>
      <c r="R187" s="33">
        <f t="shared" si="22"/>
        <v>6</v>
      </c>
      <c r="S187" s="33" t="str">
        <f t="shared" si="24"/>
        <v>MEDIO</v>
      </c>
      <c r="T187" s="33">
        <v>10</v>
      </c>
      <c r="U187" s="75">
        <f t="shared" si="25"/>
        <v>60</v>
      </c>
      <c r="V187" s="33" t="str">
        <f t="shared" si="27"/>
        <v>lll</v>
      </c>
      <c r="W187" s="74" t="s">
        <v>87</v>
      </c>
      <c r="X187" s="33">
        <v>8</v>
      </c>
      <c r="Y187" s="31" t="s">
        <v>163</v>
      </c>
      <c r="Z187" s="33" t="s">
        <v>87</v>
      </c>
      <c r="AA187" s="45"/>
      <c r="AB187" s="32"/>
      <c r="AC187" s="34"/>
      <c r="AD187" s="34" t="s">
        <v>783</v>
      </c>
      <c r="AE187" s="34"/>
      <c r="AF187" s="34" t="s">
        <v>729</v>
      </c>
      <c r="AG187" s="41">
        <v>6</v>
      </c>
      <c r="AH187" s="41">
        <v>1</v>
      </c>
      <c r="AI187" s="33">
        <f t="shared" si="29"/>
        <v>6</v>
      </c>
      <c r="AJ187" s="33" t="str">
        <f t="shared" si="30"/>
        <v>MEDIO</v>
      </c>
      <c r="AK187" s="33">
        <v>25</v>
      </c>
      <c r="AL187" s="33">
        <f t="shared" si="23"/>
        <v>150</v>
      </c>
      <c r="AM187" s="33" t="str">
        <f t="shared" si="28"/>
        <v xml:space="preserve"> RIESGO ACEPTABLE CON CONTROL ESPECIFICO</v>
      </c>
      <c r="AN187" s="33"/>
      <c r="AO187" s="32"/>
      <c r="AP187" s="34"/>
      <c r="AQ187" s="34" t="s">
        <v>783</v>
      </c>
      <c r="AR187" s="34"/>
      <c r="AS187" s="61" t="s">
        <v>752</v>
      </c>
    </row>
    <row r="188" spans="1:45" s="14" customFormat="1" ht="48" x14ac:dyDescent="0.25">
      <c r="A188" s="195"/>
      <c r="B188" s="198"/>
      <c r="C188" s="166"/>
      <c r="D188" s="196"/>
      <c r="E188" s="32" t="s">
        <v>496</v>
      </c>
      <c r="F188" s="152"/>
      <c r="G188" s="47" t="s">
        <v>742</v>
      </c>
      <c r="H188" s="34" t="s">
        <v>290</v>
      </c>
      <c r="I188" s="32" t="s">
        <v>1245</v>
      </c>
      <c r="J188" s="34" t="s">
        <v>784</v>
      </c>
      <c r="K188" s="32" t="s">
        <v>104</v>
      </c>
      <c r="L188" s="68" t="s">
        <v>293</v>
      </c>
      <c r="M188" s="73" t="s">
        <v>332</v>
      </c>
      <c r="N188" s="73" t="s">
        <v>747</v>
      </c>
      <c r="O188" s="73" t="s">
        <v>294</v>
      </c>
      <c r="P188" s="70">
        <v>2</v>
      </c>
      <c r="Q188" s="41">
        <v>1</v>
      </c>
      <c r="R188" s="33">
        <f t="shared" si="22"/>
        <v>2</v>
      </c>
      <c r="S188" s="33" t="str">
        <f t="shared" si="24"/>
        <v>BAJO</v>
      </c>
      <c r="T188" s="33">
        <v>60</v>
      </c>
      <c r="U188" s="75">
        <f t="shared" si="25"/>
        <v>120</v>
      </c>
      <c r="V188" s="33" t="str">
        <f t="shared" si="27"/>
        <v>lll</v>
      </c>
      <c r="W188" s="74" t="s">
        <v>87</v>
      </c>
      <c r="X188" s="33">
        <v>8</v>
      </c>
      <c r="Y188" s="31" t="s">
        <v>295</v>
      </c>
      <c r="Z188" s="33" t="s">
        <v>87</v>
      </c>
      <c r="AA188" s="45"/>
      <c r="AB188" s="32"/>
      <c r="AC188" s="34" t="s">
        <v>785</v>
      </c>
      <c r="AD188" s="42" t="s">
        <v>786</v>
      </c>
      <c r="AE188" s="34"/>
      <c r="AF188" s="34"/>
      <c r="AG188" s="41">
        <v>2</v>
      </c>
      <c r="AH188" s="41">
        <v>1</v>
      </c>
      <c r="AI188" s="33">
        <f t="shared" si="29"/>
        <v>2</v>
      </c>
      <c r="AJ188" s="33" t="str">
        <f t="shared" si="30"/>
        <v>BAJO</v>
      </c>
      <c r="AK188" s="33">
        <v>25</v>
      </c>
      <c r="AL188" s="33">
        <f t="shared" si="23"/>
        <v>50</v>
      </c>
      <c r="AM188" s="33" t="str">
        <f t="shared" si="28"/>
        <v>RIESGO ACEPTABLE</v>
      </c>
      <c r="AN188" s="33"/>
      <c r="AO188" s="32"/>
      <c r="AP188" s="34" t="s">
        <v>785</v>
      </c>
      <c r="AQ188" s="42" t="s">
        <v>1190</v>
      </c>
      <c r="AR188" s="42"/>
      <c r="AS188" s="61" t="s">
        <v>752</v>
      </c>
    </row>
    <row r="189" spans="1:45" s="14" customFormat="1" ht="38.4" x14ac:dyDescent="0.25">
      <c r="A189" s="195"/>
      <c r="B189" s="198"/>
      <c r="C189" s="166" t="s">
        <v>787</v>
      </c>
      <c r="D189" s="188" t="s">
        <v>788</v>
      </c>
      <c r="E189" s="32" t="s">
        <v>496</v>
      </c>
      <c r="F189" s="152" t="s">
        <v>789</v>
      </c>
      <c r="G189" s="47" t="s">
        <v>790</v>
      </c>
      <c r="H189" s="34" t="s">
        <v>227</v>
      </c>
      <c r="I189" s="32" t="s">
        <v>1245</v>
      </c>
      <c r="J189" s="32" t="s">
        <v>615</v>
      </c>
      <c r="K189" s="32" t="s">
        <v>104</v>
      </c>
      <c r="L189" s="68" t="s">
        <v>229</v>
      </c>
      <c r="M189" s="73" t="s">
        <v>332</v>
      </c>
      <c r="N189" s="73" t="s">
        <v>84</v>
      </c>
      <c r="O189" s="73" t="s">
        <v>503</v>
      </c>
      <c r="P189" s="70">
        <v>2</v>
      </c>
      <c r="Q189" s="41">
        <v>2</v>
      </c>
      <c r="R189" s="33">
        <f t="shared" si="22"/>
        <v>4</v>
      </c>
      <c r="S189" s="33" t="str">
        <f t="shared" si="24"/>
        <v>BAJO</v>
      </c>
      <c r="T189" s="33">
        <v>10</v>
      </c>
      <c r="U189" s="75">
        <f t="shared" si="25"/>
        <v>40</v>
      </c>
      <c r="V189" s="33" t="str">
        <f t="shared" si="27"/>
        <v>lll</v>
      </c>
      <c r="W189" s="74" t="s">
        <v>87</v>
      </c>
      <c r="X189" s="33">
        <v>8</v>
      </c>
      <c r="Y189" s="31" t="s">
        <v>163</v>
      </c>
      <c r="Z189" s="33" t="s">
        <v>87</v>
      </c>
      <c r="AA189" s="45"/>
      <c r="AB189" s="32"/>
      <c r="AC189" s="42"/>
      <c r="AD189" s="34" t="s">
        <v>791</v>
      </c>
      <c r="AE189" s="34" t="s">
        <v>792</v>
      </c>
      <c r="AF189" s="34" t="s">
        <v>793</v>
      </c>
      <c r="AG189" s="41">
        <v>2</v>
      </c>
      <c r="AH189" s="41">
        <v>2</v>
      </c>
      <c r="AI189" s="33">
        <f t="shared" si="29"/>
        <v>4</v>
      </c>
      <c r="AJ189" s="33" t="str">
        <f t="shared" si="30"/>
        <v>BAJO</v>
      </c>
      <c r="AK189" s="33">
        <v>25</v>
      </c>
      <c r="AL189" s="33">
        <f t="shared" si="23"/>
        <v>100</v>
      </c>
      <c r="AM189" s="33" t="str">
        <f t="shared" si="28"/>
        <v>RIESGO ACEPTABLE</v>
      </c>
      <c r="AN189" s="33"/>
      <c r="AO189" s="32"/>
      <c r="AP189" s="40" t="s">
        <v>232</v>
      </c>
      <c r="AQ189" s="34" t="s">
        <v>233</v>
      </c>
      <c r="AR189" s="34" t="s">
        <v>234</v>
      </c>
      <c r="AS189" s="61" t="s">
        <v>235</v>
      </c>
    </row>
    <row r="190" spans="1:45" s="14" customFormat="1" ht="48" x14ac:dyDescent="0.25">
      <c r="A190" s="195"/>
      <c r="B190" s="198"/>
      <c r="C190" s="166"/>
      <c r="D190" s="188"/>
      <c r="E190" s="32" t="s">
        <v>496</v>
      </c>
      <c r="F190" s="152"/>
      <c r="G190" s="47" t="s">
        <v>790</v>
      </c>
      <c r="H190" s="34" t="s">
        <v>138</v>
      </c>
      <c r="I190" s="34" t="s">
        <v>1236</v>
      </c>
      <c r="J190" s="34" t="s">
        <v>794</v>
      </c>
      <c r="K190" s="34" t="s">
        <v>104</v>
      </c>
      <c r="L190" s="68" t="s">
        <v>151</v>
      </c>
      <c r="M190" s="73" t="s">
        <v>332</v>
      </c>
      <c r="N190" s="73" t="s">
        <v>84</v>
      </c>
      <c r="O190" s="73" t="s">
        <v>142</v>
      </c>
      <c r="P190" s="70">
        <v>2</v>
      </c>
      <c r="Q190" s="41">
        <v>2</v>
      </c>
      <c r="R190" s="33">
        <f t="shared" si="22"/>
        <v>4</v>
      </c>
      <c r="S190" s="33" t="str">
        <f t="shared" si="24"/>
        <v>BAJO</v>
      </c>
      <c r="T190" s="33">
        <v>10</v>
      </c>
      <c r="U190" s="75">
        <f t="shared" si="25"/>
        <v>40</v>
      </c>
      <c r="V190" s="33" t="str">
        <f t="shared" si="27"/>
        <v>lll</v>
      </c>
      <c r="W190" s="74" t="str">
        <f t="shared" si="26"/>
        <v>SI</v>
      </c>
      <c r="X190" s="33">
        <v>8</v>
      </c>
      <c r="Y190" s="31" t="s">
        <v>143</v>
      </c>
      <c r="Z190" s="33" t="s">
        <v>87</v>
      </c>
      <c r="AA190" s="45"/>
      <c r="AB190" s="32"/>
      <c r="AC190" s="34"/>
      <c r="AD190" s="34" t="s">
        <v>1291</v>
      </c>
      <c r="AE190" s="34" t="s">
        <v>495</v>
      </c>
      <c r="AF190" s="34" t="s">
        <v>146</v>
      </c>
      <c r="AG190" s="41">
        <v>2</v>
      </c>
      <c r="AH190" s="41">
        <v>2</v>
      </c>
      <c r="AI190" s="33">
        <f t="shared" si="29"/>
        <v>4</v>
      </c>
      <c r="AJ190" s="33" t="str">
        <f t="shared" si="30"/>
        <v>BAJO</v>
      </c>
      <c r="AK190" s="33">
        <v>10</v>
      </c>
      <c r="AL190" s="33">
        <f t="shared" si="23"/>
        <v>40</v>
      </c>
      <c r="AM190" s="33" t="str">
        <f t="shared" si="28"/>
        <v>RIESGO ACEPTABLE</v>
      </c>
      <c r="AN190" s="33"/>
      <c r="AO190" s="32"/>
      <c r="AP190" s="34"/>
      <c r="AQ190" s="34" t="s">
        <v>1292</v>
      </c>
      <c r="AR190" s="34"/>
      <c r="AS190" s="61" t="s">
        <v>797</v>
      </c>
    </row>
    <row r="191" spans="1:45" s="14" customFormat="1" ht="38.4" x14ac:dyDescent="0.25">
      <c r="A191" s="195"/>
      <c r="B191" s="198"/>
      <c r="C191" s="166"/>
      <c r="D191" s="188"/>
      <c r="E191" s="32" t="s">
        <v>496</v>
      </c>
      <c r="F191" s="152"/>
      <c r="G191" s="47" t="s">
        <v>790</v>
      </c>
      <c r="H191" s="34" t="s">
        <v>393</v>
      </c>
      <c r="I191" s="32" t="s">
        <v>1234</v>
      </c>
      <c r="J191" s="34" t="s">
        <v>798</v>
      </c>
      <c r="K191" s="34" t="s">
        <v>104</v>
      </c>
      <c r="L191" s="68" t="s">
        <v>395</v>
      </c>
      <c r="M191" s="73" t="s">
        <v>332</v>
      </c>
      <c r="N191" s="73" t="s">
        <v>332</v>
      </c>
      <c r="O191" s="73" t="s">
        <v>396</v>
      </c>
      <c r="P191" s="70">
        <v>2</v>
      </c>
      <c r="Q191" s="41">
        <v>1</v>
      </c>
      <c r="R191" s="33">
        <f t="shared" si="22"/>
        <v>2</v>
      </c>
      <c r="S191" s="33" t="str">
        <f t="shared" si="24"/>
        <v>BAJO</v>
      </c>
      <c r="T191" s="33">
        <v>10</v>
      </c>
      <c r="U191" s="75">
        <f t="shared" si="25"/>
        <v>20</v>
      </c>
      <c r="V191" s="33" t="str">
        <f t="shared" si="27"/>
        <v xml:space="preserve">IV </v>
      </c>
      <c r="W191" s="74" t="s">
        <v>87</v>
      </c>
      <c r="X191" s="33">
        <v>8</v>
      </c>
      <c r="Y191" s="31" t="s">
        <v>397</v>
      </c>
      <c r="Z191" s="33" t="s">
        <v>87</v>
      </c>
      <c r="AA191" s="45"/>
      <c r="AB191" s="32"/>
      <c r="AC191" s="42" t="s">
        <v>799</v>
      </c>
      <c r="AD191" s="34" t="s">
        <v>800</v>
      </c>
      <c r="AE191" s="34"/>
      <c r="AF191" s="34" t="s">
        <v>434</v>
      </c>
      <c r="AG191" s="41">
        <v>2</v>
      </c>
      <c r="AH191" s="41">
        <v>2</v>
      </c>
      <c r="AI191" s="33">
        <f t="shared" si="29"/>
        <v>4</v>
      </c>
      <c r="AJ191" s="33" t="str">
        <f t="shared" si="30"/>
        <v>BAJO</v>
      </c>
      <c r="AK191" s="33">
        <v>25</v>
      </c>
      <c r="AL191" s="33">
        <f t="shared" si="23"/>
        <v>100</v>
      </c>
      <c r="AM191" s="33" t="str">
        <f t="shared" si="28"/>
        <v>RIESGO ACEPTABLE</v>
      </c>
      <c r="AN191" s="33"/>
      <c r="AO191" s="32"/>
      <c r="AP191" s="42" t="s">
        <v>695</v>
      </c>
      <c r="AQ191" s="42" t="s">
        <v>696</v>
      </c>
      <c r="AR191" s="34"/>
      <c r="AS191" s="61" t="s">
        <v>697</v>
      </c>
    </row>
    <row r="192" spans="1:45" s="14" customFormat="1" ht="38.4" x14ac:dyDescent="0.25">
      <c r="A192" s="195"/>
      <c r="B192" s="198"/>
      <c r="C192" s="166"/>
      <c r="D192" s="188"/>
      <c r="E192" s="32" t="s">
        <v>496</v>
      </c>
      <c r="F192" s="152"/>
      <c r="G192" s="47" t="s">
        <v>790</v>
      </c>
      <c r="H192" s="34" t="s">
        <v>409</v>
      </c>
      <c r="I192" s="32" t="s">
        <v>1234</v>
      </c>
      <c r="J192" s="34" t="s">
        <v>801</v>
      </c>
      <c r="K192" s="34" t="s">
        <v>104</v>
      </c>
      <c r="L192" s="68" t="s">
        <v>411</v>
      </c>
      <c r="M192" s="73" t="s">
        <v>332</v>
      </c>
      <c r="N192" s="73" t="s">
        <v>802</v>
      </c>
      <c r="O192" s="73" t="s">
        <v>443</v>
      </c>
      <c r="P192" s="70">
        <v>2</v>
      </c>
      <c r="Q192" s="41">
        <v>2</v>
      </c>
      <c r="R192" s="33">
        <f t="shared" si="22"/>
        <v>4</v>
      </c>
      <c r="S192" s="33" t="str">
        <f t="shared" si="24"/>
        <v>BAJO</v>
      </c>
      <c r="T192" s="33">
        <v>10</v>
      </c>
      <c r="U192" s="75">
        <f t="shared" si="25"/>
        <v>40</v>
      </c>
      <c r="V192" s="33" t="str">
        <f t="shared" si="27"/>
        <v>lll</v>
      </c>
      <c r="W192" s="74" t="str">
        <f t="shared" si="26"/>
        <v>SI</v>
      </c>
      <c r="X192" s="33">
        <v>8</v>
      </c>
      <c r="Y192" s="31" t="s">
        <v>413</v>
      </c>
      <c r="Z192" s="33" t="s">
        <v>87</v>
      </c>
      <c r="AA192" s="45"/>
      <c r="AB192" s="32"/>
      <c r="AC192" s="40" t="s">
        <v>803</v>
      </c>
      <c r="AD192" s="34" t="s">
        <v>804</v>
      </c>
      <c r="AE192" s="34"/>
      <c r="AF192" s="34"/>
      <c r="AG192" s="41">
        <v>2</v>
      </c>
      <c r="AH192" s="41">
        <v>2</v>
      </c>
      <c r="AI192" s="33">
        <f t="shared" si="29"/>
        <v>4</v>
      </c>
      <c r="AJ192" s="33" t="str">
        <f t="shared" si="30"/>
        <v>BAJO</v>
      </c>
      <c r="AK192" s="33">
        <v>10</v>
      </c>
      <c r="AL192" s="33">
        <f t="shared" si="23"/>
        <v>40</v>
      </c>
      <c r="AM192" s="33" t="str">
        <f t="shared" si="28"/>
        <v>RIESGO ACEPTABLE</v>
      </c>
      <c r="AN192" s="33"/>
      <c r="AO192" s="32"/>
      <c r="AP192" s="40" t="s">
        <v>803</v>
      </c>
      <c r="AQ192" s="34" t="s">
        <v>804</v>
      </c>
      <c r="AR192" s="34"/>
      <c r="AS192" s="61"/>
    </row>
    <row r="193" spans="1:152" s="14" customFormat="1" ht="48" x14ac:dyDescent="0.25">
      <c r="A193" s="195"/>
      <c r="B193" s="198"/>
      <c r="C193" s="166"/>
      <c r="D193" s="188"/>
      <c r="E193" s="32" t="s">
        <v>496</v>
      </c>
      <c r="F193" s="152"/>
      <c r="G193" s="47" t="s">
        <v>790</v>
      </c>
      <c r="H193" s="34" t="s">
        <v>290</v>
      </c>
      <c r="I193" s="32" t="s">
        <v>1245</v>
      </c>
      <c r="J193" s="34" t="s">
        <v>784</v>
      </c>
      <c r="K193" s="32" t="s">
        <v>104</v>
      </c>
      <c r="L193" s="68" t="s">
        <v>293</v>
      </c>
      <c r="M193" s="73" t="s">
        <v>332</v>
      </c>
      <c r="N193" s="73" t="s">
        <v>747</v>
      </c>
      <c r="O193" s="73" t="s">
        <v>748</v>
      </c>
      <c r="P193" s="70">
        <v>2</v>
      </c>
      <c r="Q193" s="41">
        <v>2</v>
      </c>
      <c r="R193" s="33">
        <f t="shared" si="22"/>
        <v>4</v>
      </c>
      <c r="S193" s="33" t="str">
        <f t="shared" si="24"/>
        <v>BAJO</v>
      </c>
      <c r="T193" s="33">
        <v>10</v>
      </c>
      <c r="U193" s="75">
        <f t="shared" si="25"/>
        <v>40</v>
      </c>
      <c r="V193" s="33" t="str">
        <f t="shared" si="27"/>
        <v>lll</v>
      </c>
      <c r="W193" s="74" t="str">
        <f t="shared" si="26"/>
        <v>SI</v>
      </c>
      <c r="X193" s="33">
        <v>8</v>
      </c>
      <c r="Y193" s="31" t="s">
        <v>295</v>
      </c>
      <c r="Z193" s="33" t="s">
        <v>87</v>
      </c>
      <c r="AA193" s="45"/>
      <c r="AB193" s="32"/>
      <c r="AC193" s="34" t="s">
        <v>785</v>
      </c>
      <c r="AD193" s="42" t="s">
        <v>786</v>
      </c>
      <c r="AE193" s="34"/>
      <c r="AF193" s="34"/>
      <c r="AG193" s="41">
        <v>2</v>
      </c>
      <c r="AH193" s="41">
        <v>2</v>
      </c>
      <c r="AI193" s="33">
        <f t="shared" si="29"/>
        <v>4</v>
      </c>
      <c r="AJ193" s="33" t="str">
        <f t="shared" si="30"/>
        <v>BAJO</v>
      </c>
      <c r="AK193" s="33">
        <v>10</v>
      </c>
      <c r="AL193" s="33">
        <f t="shared" si="23"/>
        <v>40</v>
      </c>
      <c r="AM193" s="33" t="str">
        <f t="shared" si="28"/>
        <v>RIESGO ACEPTABLE</v>
      </c>
      <c r="AN193" s="33"/>
      <c r="AO193" s="32"/>
      <c r="AP193" s="34" t="s">
        <v>785</v>
      </c>
      <c r="AQ193" s="42" t="s">
        <v>1197</v>
      </c>
      <c r="AR193" s="34"/>
      <c r="AS193" s="61"/>
    </row>
    <row r="194" spans="1:152" s="14" customFormat="1" ht="76.8" x14ac:dyDescent="0.25">
      <c r="A194" s="195"/>
      <c r="B194" s="198"/>
      <c r="C194" s="166"/>
      <c r="D194" s="188"/>
      <c r="E194" s="32" t="s">
        <v>496</v>
      </c>
      <c r="F194" s="152"/>
      <c r="G194" s="47" t="s">
        <v>790</v>
      </c>
      <c r="H194" s="34" t="s">
        <v>79</v>
      </c>
      <c r="I194" s="32" t="s">
        <v>1248</v>
      </c>
      <c r="J194" s="47" t="s">
        <v>447</v>
      </c>
      <c r="K194" s="32" t="s">
        <v>104</v>
      </c>
      <c r="L194" s="68" t="s">
        <v>448</v>
      </c>
      <c r="M194" s="73" t="s">
        <v>332</v>
      </c>
      <c r="N194" s="73" t="s">
        <v>802</v>
      </c>
      <c r="O194" s="7" t="s">
        <v>85</v>
      </c>
      <c r="P194" s="70">
        <v>2</v>
      </c>
      <c r="Q194" s="41">
        <v>2</v>
      </c>
      <c r="R194" s="33">
        <f t="shared" si="22"/>
        <v>4</v>
      </c>
      <c r="S194" s="33" t="str">
        <f t="shared" si="24"/>
        <v>BAJO</v>
      </c>
      <c r="T194" s="33">
        <v>10</v>
      </c>
      <c r="U194" s="75">
        <f t="shared" si="25"/>
        <v>40</v>
      </c>
      <c r="V194" s="33" t="str">
        <f t="shared" si="27"/>
        <v>lll</v>
      </c>
      <c r="W194" s="74" t="str">
        <f t="shared" si="26"/>
        <v>SI</v>
      </c>
      <c r="X194" s="33">
        <v>8</v>
      </c>
      <c r="Y194" s="31" t="s">
        <v>86</v>
      </c>
      <c r="Z194" s="33" t="s">
        <v>87</v>
      </c>
      <c r="AA194" s="46"/>
      <c r="AB194" s="34"/>
      <c r="AC194" s="34"/>
      <c r="AD194" s="34" t="s">
        <v>805</v>
      </c>
      <c r="AE194" s="34" t="s">
        <v>93</v>
      </c>
      <c r="AF194" s="34" t="s">
        <v>451</v>
      </c>
      <c r="AG194" s="41">
        <v>2</v>
      </c>
      <c r="AH194" s="41">
        <v>2</v>
      </c>
      <c r="AI194" s="33">
        <f t="shared" si="29"/>
        <v>4</v>
      </c>
      <c r="AJ194" s="33" t="str">
        <f t="shared" si="30"/>
        <v>BAJO</v>
      </c>
      <c r="AK194" s="33">
        <v>10</v>
      </c>
      <c r="AL194" s="33">
        <f t="shared" si="23"/>
        <v>40</v>
      </c>
      <c r="AM194" s="33" t="str">
        <f t="shared" si="28"/>
        <v>RIESGO ACEPTABLE</v>
      </c>
      <c r="AN194" s="33"/>
      <c r="AO194" s="34"/>
      <c r="AP194" s="34"/>
      <c r="AQ194" s="34" t="s">
        <v>806</v>
      </c>
      <c r="AR194" s="34"/>
      <c r="AS194" s="61" t="s">
        <v>453</v>
      </c>
    </row>
    <row r="195" spans="1:152" s="14" customFormat="1" ht="38.4" x14ac:dyDescent="0.25">
      <c r="A195" s="195"/>
      <c r="B195" s="198"/>
      <c r="C195" s="166"/>
      <c r="D195" s="196" t="s">
        <v>807</v>
      </c>
      <c r="E195" s="32" t="s">
        <v>496</v>
      </c>
      <c r="F195" s="152" t="s">
        <v>1352</v>
      </c>
      <c r="G195" s="47" t="s">
        <v>790</v>
      </c>
      <c r="H195" s="34" t="s">
        <v>227</v>
      </c>
      <c r="I195" s="32" t="s">
        <v>1245</v>
      </c>
      <c r="J195" s="32" t="s">
        <v>615</v>
      </c>
      <c r="K195" s="32" t="s">
        <v>104</v>
      </c>
      <c r="L195" s="68" t="s">
        <v>229</v>
      </c>
      <c r="M195" s="73" t="s">
        <v>332</v>
      </c>
      <c r="N195" s="73" t="s">
        <v>84</v>
      </c>
      <c r="O195" s="73" t="s">
        <v>503</v>
      </c>
      <c r="P195" s="70">
        <v>2</v>
      </c>
      <c r="Q195" s="41">
        <v>2</v>
      </c>
      <c r="R195" s="33">
        <f t="shared" si="22"/>
        <v>4</v>
      </c>
      <c r="S195" s="33" t="str">
        <f t="shared" si="24"/>
        <v>BAJO</v>
      </c>
      <c r="T195" s="33">
        <v>10</v>
      </c>
      <c r="U195" s="75">
        <f t="shared" si="25"/>
        <v>40</v>
      </c>
      <c r="V195" s="33" t="str">
        <f t="shared" si="27"/>
        <v>lll</v>
      </c>
      <c r="W195" s="74" t="str">
        <f t="shared" si="26"/>
        <v>SI</v>
      </c>
      <c r="X195" s="33">
        <v>8</v>
      </c>
      <c r="Y195" s="31" t="s">
        <v>163</v>
      </c>
      <c r="Z195" s="33" t="s">
        <v>87</v>
      </c>
      <c r="AA195" s="45"/>
      <c r="AB195" s="32"/>
      <c r="AC195" s="40"/>
      <c r="AD195" s="34" t="s">
        <v>791</v>
      </c>
      <c r="AE195" s="34" t="s">
        <v>792</v>
      </c>
      <c r="AF195" s="34" t="s">
        <v>793</v>
      </c>
      <c r="AG195" s="41">
        <v>2</v>
      </c>
      <c r="AH195" s="41">
        <v>2</v>
      </c>
      <c r="AI195" s="33">
        <f t="shared" si="29"/>
        <v>4</v>
      </c>
      <c r="AJ195" s="33" t="str">
        <f t="shared" si="30"/>
        <v>BAJO</v>
      </c>
      <c r="AK195" s="33">
        <v>10</v>
      </c>
      <c r="AL195" s="33">
        <f t="shared" si="23"/>
        <v>40</v>
      </c>
      <c r="AM195" s="33" t="str">
        <f t="shared" si="28"/>
        <v>RIESGO ACEPTABLE</v>
      </c>
      <c r="AN195" s="33"/>
      <c r="AO195" s="32"/>
      <c r="AP195" s="40" t="s">
        <v>232</v>
      </c>
      <c r="AQ195" s="34" t="s">
        <v>233</v>
      </c>
      <c r="AR195" s="34" t="s">
        <v>234</v>
      </c>
      <c r="AS195" s="61" t="s">
        <v>235</v>
      </c>
    </row>
    <row r="196" spans="1:152" s="14" customFormat="1" ht="48" x14ac:dyDescent="0.25">
      <c r="A196" s="195"/>
      <c r="B196" s="198"/>
      <c r="C196" s="166"/>
      <c r="D196" s="196"/>
      <c r="E196" s="32" t="s">
        <v>496</v>
      </c>
      <c r="F196" s="152"/>
      <c r="G196" s="47" t="s">
        <v>790</v>
      </c>
      <c r="H196" s="34" t="s">
        <v>138</v>
      </c>
      <c r="I196" s="34" t="s">
        <v>1236</v>
      </c>
      <c r="J196" s="34" t="s">
        <v>794</v>
      </c>
      <c r="K196" s="34" t="s">
        <v>104</v>
      </c>
      <c r="L196" s="68" t="s">
        <v>151</v>
      </c>
      <c r="M196" s="73" t="s">
        <v>332</v>
      </c>
      <c r="N196" s="73" t="s">
        <v>84</v>
      </c>
      <c r="O196" s="73" t="s">
        <v>142</v>
      </c>
      <c r="P196" s="70">
        <v>2</v>
      </c>
      <c r="Q196" s="41">
        <v>2</v>
      </c>
      <c r="R196" s="33">
        <f t="shared" si="22"/>
        <v>4</v>
      </c>
      <c r="S196" s="33" t="str">
        <f t="shared" si="24"/>
        <v>BAJO</v>
      </c>
      <c r="T196" s="33">
        <v>10</v>
      </c>
      <c r="U196" s="75">
        <f t="shared" si="25"/>
        <v>40</v>
      </c>
      <c r="V196" s="33" t="str">
        <f t="shared" si="27"/>
        <v>lll</v>
      </c>
      <c r="W196" s="74" t="str">
        <f t="shared" si="26"/>
        <v>SI</v>
      </c>
      <c r="X196" s="33">
        <v>8</v>
      </c>
      <c r="Y196" s="31" t="s">
        <v>143</v>
      </c>
      <c r="Z196" s="33" t="s">
        <v>87</v>
      </c>
      <c r="AA196" s="45"/>
      <c r="AB196" s="32"/>
      <c r="AC196" s="34"/>
      <c r="AD196" s="34" t="s">
        <v>1291</v>
      </c>
      <c r="AE196" s="34" t="s">
        <v>495</v>
      </c>
      <c r="AF196" s="34" t="s">
        <v>146</v>
      </c>
      <c r="AG196" s="41">
        <v>2</v>
      </c>
      <c r="AH196" s="41">
        <v>2</v>
      </c>
      <c r="AI196" s="33">
        <f t="shared" si="29"/>
        <v>4</v>
      </c>
      <c r="AJ196" s="33" t="str">
        <f t="shared" si="30"/>
        <v>BAJO</v>
      </c>
      <c r="AK196" s="33">
        <v>10</v>
      </c>
      <c r="AL196" s="33">
        <f t="shared" si="23"/>
        <v>40</v>
      </c>
      <c r="AM196" s="33" t="str">
        <f t="shared" si="28"/>
        <v>RIESGO ACEPTABLE</v>
      </c>
      <c r="AN196" s="33"/>
      <c r="AO196" s="32"/>
      <c r="AP196" s="34"/>
      <c r="AQ196" s="34" t="s">
        <v>1292</v>
      </c>
      <c r="AR196" s="34"/>
      <c r="AS196" s="61" t="s">
        <v>797</v>
      </c>
    </row>
    <row r="197" spans="1:152" s="14" customFormat="1" ht="38.4" x14ac:dyDescent="0.25">
      <c r="A197" s="195"/>
      <c r="B197" s="198"/>
      <c r="C197" s="166"/>
      <c r="D197" s="196" t="s">
        <v>808</v>
      </c>
      <c r="E197" s="32" t="s">
        <v>496</v>
      </c>
      <c r="F197" s="152" t="s">
        <v>809</v>
      </c>
      <c r="G197" s="47" t="s">
        <v>790</v>
      </c>
      <c r="H197" s="34" t="s">
        <v>227</v>
      </c>
      <c r="I197" s="32" t="s">
        <v>1245</v>
      </c>
      <c r="J197" s="32" t="s">
        <v>615</v>
      </c>
      <c r="K197" s="32" t="s">
        <v>104</v>
      </c>
      <c r="L197" s="68" t="s">
        <v>229</v>
      </c>
      <c r="M197" s="73" t="s">
        <v>332</v>
      </c>
      <c r="N197" s="73" t="s">
        <v>84</v>
      </c>
      <c r="O197" s="73" t="s">
        <v>503</v>
      </c>
      <c r="P197" s="70">
        <v>2</v>
      </c>
      <c r="Q197" s="41">
        <v>2</v>
      </c>
      <c r="R197" s="33">
        <f t="shared" si="22"/>
        <v>4</v>
      </c>
      <c r="S197" s="33" t="str">
        <f t="shared" si="24"/>
        <v>BAJO</v>
      </c>
      <c r="T197" s="33">
        <v>10</v>
      </c>
      <c r="U197" s="75">
        <f t="shared" si="25"/>
        <v>40</v>
      </c>
      <c r="V197" s="33" t="str">
        <f t="shared" si="27"/>
        <v>lll</v>
      </c>
      <c r="W197" s="74" t="str">
        <f t="shared" si="26"/>
        <v>SI</v>
      </c>
      <c r="X197" s="33">
        <v>8</v>
      </c>
      <c r="Y197" s="31" t="s">
        <v>163</v>
      </c>
      <c r="Z197" s="33" t="s">
        <v>87</v>
      </c>
      <c r="AA197" s="45"/>
      <c r="AB197" s="32"/>
      <c r="AC197" s="40"/>
      <c r="AD197" s="34" t="s">
        <v>791</v>
      </c>
      <c r="AE197" s="34" t="s">
        <v>792</v>
      </c>
      <c r="AF197" s="34" t="s">
        <v>793</v>
      </c>
      <c r="AG197" s="41">
        <v>2</v>
      </c>
      <c r="AH197" s="41">
        <v>2</v>
      </c>
      <c r="AI197" s="33">
        <f t="shared" si="29"/>
        <v>4</v>
      </c>
      <c r="AJ197" s="33" t="str">
        <f t="shared" si="30"/>
        <v>BAJO</v>
      </c>
      <c r="AK197" s="33">
        <v>10</v>
      </c>
      <c r="AL197" s="33">
        <f t="shared" si="23"/>
        <v>40</v>
      </c>
      <c r="AM197" s="33" t="str">
        <f t="shared" si="28"/>
        <v>RIESGO ACEPTABLE</v>
      </c>
      <c r="AN197" s="33"/>
      <c r="AO197" s="32"/>
      <c r="AP197" s="40" t="s">
        <v>232</v>
      </c>
      <c r="AQ197" s="34" t="s">
        <v>233</v>
      </c>
      <c r="AR197" s="34" t="s">
        <v>234</v>
      </c>
      <c r="AS197" s="61" t="s">
        <v>235</v>
      </c>
    </row>
    <row r="198" spans="1:152" s="14" customFormat="1" ht="76.8" x14ac:dyDescent="0.25">
      <c r="A198" s="195"/>
      <c r="B198" s="198"/>
      <c r="C198" s="166"/>
      <c r="D198" s="196"/>
      <c r="E198" s="32" t="s">
        <v>496</v>
      </c>
      <c r="F198" s="152"/>
      <c r="G198" s="48" t="s">
        <v>810</v>
      </c>
      <c r="H198" s="34" t="s">
        <v>183</v>
      </c>
      <c r="I198" s="32" t="s">
        <v>1245</v>
      </c>
      <c r="J198" s="47" t="s">
        <v>811</v>
      </c>
      <c r="K198" s="32" t="s">
        <v>104</v>
      </c>
      <c r="L198" s="68" t="s">
        <v>185</v>
      </c>
      <c r="M198" s="73" t="s">
        <v>332</v>
      </c>
      <c r="N198" s="73" t="s">
        <v>84</v>
      </c>
      <c r="O198" s="73" t="s">
        <v>491</v>
      </c>
      <c r="P198" s="70">
        <v>2</v>
      </c>
      <c r="Q198" s="41">
        <v>3</v>
      </c>
      <c r="R198" s="33">
        <f t="shared" si="22"/>
        <v>6</v>
      </c>
      <c r="S198" s="33" t="str">
        <f t="shared" si="24"/>
        <v>MEDIO</v>
      </c>
      <c r="T198" s="33">
        <v>10</v>
      </c>
      <c r="U198" s="75">
        <f t="shared" si="25"/>
        <v>60</v>
      </c>
      <c r="V198" s="33" t="str">
        <f t="shared" si="27"/>
        <v>lll</v>
      </c>
      <c r="W198" s="74" t="str">
        <f t="shared" si="26"/>
        <v>SI</v>
      </c>
      <c r="X198" s="33">
        <v>8</v>
      </c>
      <c r="Y198" s="31" t="s">
        <v>178</v>
      </c>
      <c r="Z198" s="33" t="s">
        <v>87</v>
      </c>
      <c r="AA198" s="46"/>
      <c r="AB198" s="33"/>
      <c r="AC198" s="34" t="s">
        <v>812</v>
      </c>
      <c r="AD198" s="34" t="s">
        <v>813</v>
      </c>
      <c r="AE198" s="34" t="s">
        <v>814</v>
      </c>
      <c r="AF198" s="34" t="s">
        <v>815</v>
      </c>
      <c r="AG198" s="41">
        <v>2</v>
      </c>
      <c r="AH198" s="41">
        <v>2</v>
      </c>
      <c r="AI198" s="33">
        <f t="shared" si="29"/>
        <v>4</v>
      </c>
      <c r="AJ198" s="33" t="str">
        <f t="shared" si="30"/>
        <v>BAJO</v>
      </c>
      <c r="AK198" s="33">
        <v>25</v>
      </c>
      <c r="AL198" s="33">
        <f t="shared" si="23"/>
        <v>100</v>
      </c>
      <c r="AM198" s="33" t="str">
        <f t="shared" si="28"/>
        <v>RIESGO ACEPTABLE</v>
      </c>
      <c r="AN198" s="34"/>
      <c r="AO198" s="34"/>
      <c r="AP198" s="34" t="s">
        <v>812</v>
      </c>
      <c r="AQ198" s="42" t="s">
        <v>816</v>
      </c>
      <c r="AR198" s="34" t="s">
        <v>817</v>
      </c>
      <c r="AS198" s="61" t="s">
        <v>818</v>
      </c>
    </row>
    <row r="199" spans="1:152" s="14" customFormat="1" ht="48" x14ac:dyDescent="0.25">
      <c r="A199" s="195"/>
      <c r="B199" s="198"/>
      <c r="C199" s="166"/>
      <c r="D199" s="188" t="s">
        <v>819</v>
      </c>
      <c r="E199" s="32" t="s">
        <v>496</v>
      </c>
      <c r="F199" s="152" t="s">
        <v>1352</v>
      </c>
      <c r="G199" s="47" t="s">
        <v>790</v>
      </c>
      <c r="H199" s="34" t="s">
        <v>172</v>
      </c>
      <c r="I199" s="32" t="s">
        <v>1245</v>
      </c>
      <c r="J199" s="47" t="s">
        <v>820</v>
      </c>
      <c r="K199" s="32" t="s">
        <v>104</v>
      </c>
      <c r="L199" s="68" t="s">
        <v>175</v>
      </c>
      <c r="M199" s="73" t="s">
        <v>332</v>
      </c>
      <c r="N199" s="73" t="s">
        <v>333</v>
      </c>
      <c r="O199" s="73" t="s">
        <v>177</v>
      </c>
      <c r="P199" s="70">
        <v>2</v>
      </c>
      <c r="Q199" s="41">
        <v>2</v>
      </c>
      <c r="R199" s="33">
        <f t="shared" si="22"/>
        <v>4</v>
      </c>
      <c r="S199" s="33" t="str">
        <f t="shared" si="24"/>
        <v>BAJO</v>
      </c>
      <c r="T199" s="33">
        <v>10</v>
      </c>
      <c r="U199" s="75">
        <f t="shared" si="25"/>
        <v>40</v>
      </c>
      <c r="V199" s="33" t="str">
        <f t="shared" si="27"/>
        <v>lll</v>
      </c>
      <c r="W199" s="74" t="str">
        <f t="shared" si="26"/>
        <v>SI</v>
      </c>
      <c r="X199" s="33">
        <v>8</v>
      </c>
      <c r="Y199" s="31" t="s">
        <v>178</v>
      </c>
      <c r="Z199" s="33" t="s">
        <v>87</v>
      </c>
      <c r="AA199" s="45"/>
      <c r="AB199" s="33"/>
      <c r="AC199" s="34" t="s">
        <v>821</v>
      </c>
      <c r="AD199" s="34" t="s">
        <v>822</v>
      </c>
      <c r="AE199" s="34" t="s">
        <v>823</v>
      </c>
      <c r="AF199" s="34"/>
      <c r="AG199" s="41">
        <v>2</v>
      </c>
      <c r="AH199" s="41">
        <v>2</v>
      </c>
      <c r="AI199" s="33">
        <f t="shared" si="29"/>
        <v>4</v>
      </c>
      <c r="AJ199" s="33" t="str">
        <f t="shared" si="30"/>
        <v>BAJO</v>
      </c>
      <c r="AK199" s="33">
        <v>25</v>
      </c>
      <c r="AL199" s="33">
        <f t="shared" si="23"/>
        <v>100</v>
      </c>
      <c r="AM199" s="33" t="str">
        <f t="shared" si="28"/>
        <v>RIESGO ACEPTABLE</v>
      </c>
      <c r="AN199" s="34"/>
      <c r="AO199" s="34"/>
      <c r="AP199" s="34" t="s">
        <v>821</v>
      </c>
      <c r="AQ199" s="34" t="s">
        <v>822</v>
      </c>
      <c r="AR199" s="34" t="s">
        <v>823</v>
      </c>
      <c r="AS199" s="61" t="s">
        <v>824</v>
      </c>
    </row>
    <row r="200" spans="1:152" s="14" customFormat="1" ht="28.8" x14ac:dyDescent="0.25">
      <c r="A200" s="195"/>
      <c r="B200" s="198"/>
      <c r="C200" s="166"/>
      <c r="D200" s="188"/>
      <c r="E200" s="32" t="s">
        <v>496</v>
      </c>
      <c r="F200" s="152"/>
      <c r="G200" s="47" t="s">
        <v>790</v>
      </c>
      <c r="H200" s="34" t="s">
        <v>393</v>
      </c>
      <c r="I200" s="32" t="s">
        <v>1234</v>
      </c>
      <c r="J200" s="32" t="s">
        <v>798</v>
      </c>
      <c r="K200" s="40" t="s">
        <v>104</v>
      </c>
      <c r="L200" s="68" t="s">
        <v>395</v>
      </c>
      <c r="M200" s="73" t="s">
        <v>332</v>
      </c>
      <c r="N200" s="73" t="s">
        <v>333</v>
      </c>
      <c r="O200" s="73" t="s">
        <v>396</v>
      </c>
      <c r="P200" s="70">
        <v>2</v>
      </c>
      <c r="Q200" s="41">
        <v>1</v>
      </c>
      <c r="R200" s="33">
        <f t="shared" si="22"/>
        <v>2</v>
      </c>
      <c r="S200" s="33" t="str">
        <f t="shared" si="24"/>
        <v>BAJO</v>
      </c>
      <c r="T200" s="33">
        <v>10</v>
      </c>
      <c r="U200" s="75">
        <f t="shared" si="25"/>
        <v>20</v>
      </c>
      <c r="V200" s="33" t="str">
        <f t="shared" si="27"/>
        <v xml:space="preserve">IV </v>
      </c>
      <c r="W200" s="74" t="s">
        <v>87</v>
      </c>
      <c r="X200" s="33">
        <v>8</v>
      </c>
      <c r="Y200" s="31" t="s">
        <v>397</v>
      </c>
      <c r="Z200" s="33" t="s">
        <v>87</v>
      </c>
      <c r="AA200" s="34"/>
      <c r="AB200" s="34"/>
      <c r="AC200" s="42" t="s">
        <v>799</v>
      </c>
      <c r="AD200" s="34" t="s">
        <v>800</v>
      </c>
      <c r="AE200" s="34"/>
      <c r="AF200" s="34" t="s">
        <v>434</v>
      </c>
      <c r="AG200" s="41">
        <v>2</v>
      </c>
      <c r="AH200" s="41">
        <v>2</v>
      </c>
      <c r="AI200" s="33">
        <f t="shared" si="29"/>
        <v>4</v>
      </c>
      <c r="AJ200" s="33" t="str">
        <f t="shared" si="30"/>
        <v>BAJO</v>
      </c>
      <c r="AK200" s="33">
        <v>10</v>
      </c>
      <c r="AL200" s="33">
        <f t="shared" si="23"/>
        <v>40</v>
      </c>
      <c r="AM200" s="33" t="str">
        <f t="shared" si="28"/>
        <v>RIESGO ACEPTABLE</v>
      </c>
      <c r="AN200" s="34"/>
      <c r="AO200" s="34"/>
      <c r="AP200" s="42" t="s">
        <v>695</v>
      </c>
      <c r="AQ200" s="42" t="s">
        <v>825</v>
      </c>
      <c r="AR200" s="34"/>
      <c r="AS200" s="61"/>
    </row>
    <row r="201" spans="1:152" s="14" customFormat="1" ht="63" customHeight="1" x14ac:dyDescent="0.25">
      <c r="A201" s="195"/>
      <c r="B201" s="198"/>
      <c r="C201" s="166"/>
      <c r="D201" s="112" t="s">
        <v>826</v>
      </c>
      <c r="E201" s="47" t="s">
        <v>496</v>
      </c>
      <c r="F201" s="87" t="s">
        <v>827</v>
      </c>
      <c r="G201" s="47" t="s">
        <v>790</v>
      </c>
      <c r="H201" s="34" t="s">
        <v>354</v>
      </c>
      <c r="I201" s="32" t="s">
        <v>1245</v>
      </c>
      <c r="J201" s="47" t="s">
        <v>828</v>
      </c>
      <c r="K201" s="32" t="s">
        <v>248</v>
      </c>
      <c r="L201" s="68" t="s">
        <v>633</v>
      </c>
      <c r="M201" s="73" t="s">
        <v>332</v>
      </c>
      <c r="N201" s="73" t="s">
        <v>829</v>
      </c>
      <c r="O201" s="73" t="s">
        <v>357</v>
      </c>
      <c r="P201" s="70">
        <v>2</v>
      </c>
      <c r="Q201" s="41">
        <v>2</v>
      </c>
      <c r="R201" s="33">
        <f t="shared" ref="R201:R285" si="31">P201*Q201</f>
        <v>4</v>
      </c>
      <c r="S201" s="33" t="str">
        <f t="shared" si="24"/>
        <v>BAJO</v>
      </c>
      <c r="T201" s="33">
        <v>10</v>
      </c>
      <c r="U201" s="75">
        <f t="shared" si="25"/>
        <v>40</v>
      </c>
      <c r="V201" s="33" t="str">
        <f t="shared" si="27"/>
        <v>lll</v>
      </c>
      <c r="W201" s="74" t="str">
        <f t="shared" si="26"/>
        <v>SI</v>
      </c>
      <c r="X201" s="33">
        <v>8</v>
      </c>
      <c r="Y201" s="31" t="s">
        <v>358</v>
      </c>
      <c r="Z201" s="33" t="s">
        <v>87</v>
      </c>
      <c r="AA201" s="46"/>
      <c r="AB201" s="33"/>
      <c r="AC201" s="34" t="s">
        <v>830</v>
      </c>
      <c r="AD201" s="34" t="s">
        <v>831</v>
      </c>
      <c r="AE201" s="34" t="s">
        <v>832</v>
      </c>
      <c r="AF201" s="34" t="s">
        <v>833</v>
      </c>
      <c r="AG201" s="41">
        <v>2</v>
      </c>
      <c r="AH201" s="41">
        <v>3</v>
      </c>
      <c r="AI201" s="33">
        <f t="shared" si="29"/>
        <v>6</v>
      </c>
      <c r="AJ201" s="33" t="str">
        <f t="shared" si="30"/>
        <v>MEDIO</v>
      </c>
      <c r="AK201" s="33">
        <v>10</v>
      </c>
      <c r="AL201" s="33">
        <f t="shared" si="23"/>
        <v>60</v>
      </c>
      <c r="AM201" s="33" t="str">
        <f t="shared" si="28"/>
        <v>RIESGO ACEPTABLE</v>
      </c>
      <c r="AN201" s="33"/>
      <c r="AO201" s="32"/>
      <c r="AP201" s="34" t="s">
        <v>830</v>
      </c>
      <c r="AQ201" s="34" t="s">
        <v>831</v>
      </c>
      <c r="AR201" s="34" t="s">
        <v>832</v>
      </c>
      <c r="AS201" s="61" t="s">
        <v>833</v>
      </c>
    </row>
    <row r="202" spans="1:152" s="8" customFormat="1" ht="55.8" customHeight="1" x14ac:dyDescent="0.25">
      <c r="A202" s="212" t="s">
        <v>834</v>
      </c>
      <c r="B202" s="197" t="s">
        <v>1261</v>
      </c>
      <c r="C202" s="166" t="s">
        <v>836</v>
      </c>
      <c r="D202" s="204" t="s">
        <v>836</v>
      </c>
      <c r="E202" s="32" t="s">
        <v>87</v>
      </c>
      <c r="F202" s="152" t="s">
        <v>1352</v>
      </c>
      <c r="G202" s="32" t="s">
        <v>837</v>
      </c>
      <c r="H202" s="34" t="s">
        <v>253</v>
      </c>
      <c r="I202" s="32" t="s">
        <v>1234</v>
      </c>
      <c r="J202" s="32" t="s">
        <v>838</v>
      </c>
      <c r="K202" s="34" t="s">
        <v>104</v>
      </c>
      <c r="L202" s="68" t="s">
        <v>255</v>
      </c>
      <c r="M202" s="73" t="s">
        <v>332</v>
      </c>
      <c r="N202" s="73" t="s">
        <v>490</v>
      </c>
      <c r="O202" s="73" t="s">
        <v>256</v>
      </c>
      <c r="P202" s="70">
        <v>6</v>
      </c>
      <c r="Q202" s="41">
        <v>2</v>
      </c>
      <c r="R202" s="33">
        <f t="shared" si="31"/>
        <v>12</v>
      </c>
      <c r="S202" s="33" t="str">
        <f t="shared" si="24"/>
        <v>ALTO</v>
      </c>
      <c r="T202" s="33">
        <v>10</v>
      </c>
      <c r="U202" s="75">
        <f t="shared" si="25"/>
        <v>120</v>
      </c>
      <c r="V202" s="33" t="str">
        <f t="shared" si="27"/>
        <v>lll</v>
      </c>
      <c r="W202" s="74" t="str">
        <f t="shared" si="26"/>
        <v>SI</v>
      </c>
      <c r="X202" s="33">
        <v>45</v>
      </c>
      <c r="Y202" s="31" t="s">
        <v>257</v>
      </c>
      <c r="Z202" s="33" t="s">
        <v>87</v>
      </c>
      <c r="AA202" s="34"/>
      <c r="AB202" s="40"/>
      <c r="AC202" s="40" t="s">
        <v>839</v>
      </c>
      <c r="AD202" s="34" t="s">
        <v>840</v>
      </c>
      <c r="AE202" s="34" t="s">
        <v>190</v>
      </c>
      <c r="AF202" s="34"/>
      <c r="AG202" s="41">
        <v>2</v>
      </c>
      <c r="AH202" s="41">
        <v>3</v>
      </c>
      <c r="AI202" s="33">
        <f t="shared" si="29"/>
        <v>6</v>
      </c>
      <c r="AJ202" s="33" t="str">
        <f t="shared" si="30"/>
        <v>MEDIO</v>
      </c>
      <c r="AK202" s="33">
        <v>10</v>
      </c>
      <c r="AL202" s="33">
        <f t="shared" si="23"/>
        <v>60</v>
      </c>
      <c r="AM202" s="33" t="str">
        <f t="shared" si="28"/>
        <v>RIESGO ACEPTABLE</v>
      </c>
      <c r="AN202" s="34"/>
      <c r="AO202" s="40"/>
      <c r="AP202" s="40"/>
      <c r="AQ202" s="34" t="s">
        <v>841</v>
      </c>
      <c r="AR202" s="34" t="s">
        <v>93</v>
      </c>
      <c r="AS202" s="61" t="s">
        <v>842</v>
      </c>
      <c r="EQ202" s="15"/>
      <c r="ER202" s="15"/>
      <c r="ES202" s="15"/>
      <c r="ET202" s="15"/>
      <c r="EU202" s="15"/>
      <c r="EV202" s="15"/>
    </row>
    <row r="203" spans="1:152" s="8" customFormat="1" ht="66" customHeight="1" x14ac:dyDescent="0.25">
      <c r="A203" s="213"/>
      <c r="B203" s="197"/>
      <c r="C203" s="166"/>
      <c r="D203" s="204"/>
      <c r="E203" s="32" t="s">
        <v>87</v>
      </c>
      <c r="F203" s="152"/>
      <c r="G203" s="32" t="s">
        <v>837</v>
      </c>
      <c r="H203" s="34" t="s">
        <v>114</v>
      </c>
      <c r="I203" s="32" t="s">
        <v>1241</v>
      </c>
      <c r="J203" s="47" t="s">
        <v>843</v>
      </c>
      <c r="K203" s="32" t="s">
        <v>104</v>
      </c>
      <c r="L203" s="68" t="s">
        <v>117</v>
      </c>
      <c r="M203" s="73" t="s">
        <v>332</v>
      </c>
      <c r="N203" s="73" t="s">
        <v>490</v>
      </c>
      <c r="O203" s="73" t="s">
        <v>264</v>
      </c>
      <c r="P203" s="70">
        <v>2</v>
      </c>
      <c r="Q203" s="41">
        <v>3</v>
      </c>
      <c r="R203" s="33">
        <f t="shared" si="31"/>
        <v>6</v>
      </c>
      <c r="S203" s="33" t="str">
        <f t="shared" si="24"/>
        <v>MEDIO</v>
      </c>
      <c r="T203" s="33">
        <v>10</v>
      </c>
      <c r="U203" s="75">
        <f t="shared" si="25"/>
        <v>60</v>
      </c>
      <c r="V203" s="33" t="str">
        <f t="shared" si="27"/>
        <v>lll</v>
      </c>
      <c r="W203" s="74" t="str">
        <f t="shared" si="26"/>
        <v>SI</v>
      </c>
      <c r="X203" s="33">
        <v>45</v>
      </c>
      <c r="Y203" s="31" t="s">
        <v>119</v>
      </c>
      <c r="Z203" s="33" t="s">
        <v>87</v>
      </c>
      <c r="AA203" s="34"/>
      <c r="AB203" s="40"/>
      <c r="AC203" s="40" t="s">
        <v>120</v>
      </c>
      <c r="AD203" s="34" t="s">
        <v>121</v>
      </c>
      <c r="AE203" s="34" t="s">
        <v>844</v>
      </c>
      <c r="AF203" s="34" t="s">
        <v>1293</v>
      </c>
      <c r="AG203" s="41">
        <v>2</v>
      </c>
      <c r="AH203" s="41">
        <v>3</v>
      </c>
      <c r="AI203" s="33">
        <f t="shared" si="29"/>
        <v>6</v>
      </c>
      <c r="AJ203" s="33" t="str">
        <f t="shared" si="30"/>
        <v>MEDIO</v>
      </c>
      <c r="AK203" s="33">
        <v>10</v>
      </c>
      <c r="AL203" s="33">
        <f t="shared" si="23"/>
        <v>60</v>
      </c>
      <c r="AM203" s="33" t="str">
        <f t="shared" si="28"/>
        <v>RIESGO ACEPTABLE</v>
      </c>
      <c r="AN203" s="34"/>
      <c r="AO203" s="40"/>
      <c r="AP203" s="40"/>
      <c r="AQ203" s="34" t="s">
        <v>846</v>
      </c>
      <c r="AR203" s="34" t="s">
        <v>847</v>
      </c>
      <c r="AS203" s="61" t="s">
        <v>1293</v>
      </c>
      <c r="EQ203" s="15"/>
      <c r="ER203" s="15"/>
      <c r="ES203" s="15"/>
      <c r="ET203" s="15"/>
      <c r="EU203" s="15"/>
      <c r="EV203" s="15"/>
    </row>
    <row r="204" spans="1:152" s="8" customFormat="1" ht="67.2" x14ac:dyDescent="0.25">
      <c r="A204" s="213"/>
      <c r="B204" s="197"/>
      <c r="C204" s="166"/>
      <c r="D204" s="204"/>
      <c r="E204" s="32" t="s">
        <v>87</v>
      </c>
      <c r="F204" s="152"/>
      <c r="G204" s="32" t="s">
        <v>837</v>
      </c>
      <c r="H204" s="34" t="s">
        <v>101</v>
      </c>
      <c r="I204" s="32" t="s">
        <v>1242</v>
      </c>
      <c r="J204" s="32" t="s">
        <v>848</v>
      </c>
      <c r="K204" s="32" t="s">
        <v>104</v>
      </c>
      <c r="L204" s="68" t="s">
        <v>105</v>
      </c>
      <c r="M204" s="73" t="s">
        <v>332</v>
      </c>
      <c r="N204" s="73" t="s">
        <v>106</v>
      </c>
      <c r="O204" s="73" t="s">
        <v>107</v>
      </c>
      <c r="P204" s="70">
        <v>2</v>
      </c>
      <c r="Q204" s="41">
        <v>3</v>
      </c>
      <c r="R204" s="33">
        <f t="shared" si="31"/>
        <v>6</v>
      </c>
      <c r="S204" s="33" t="str">
        <f t="shared" si="24"/>
        <v>MEDIO</v>
      </c>
      <c r="T204" s="33">
        <v>10</v>
      </c>
      <c r="U204" s="75">
        <f t="shared" si="25"/>
        <v>60</v>
      </c>
      <c r="V204" s="33" t="str">
        <f t="shared" si="27"/>
        <v>lll</v>
      </c>
      <c r="W204" s="74" t="str">
        <f t="shared" si="26"/>
        <v>SI</v>
      </c>
      <c r="X204" s="33">
        <v>45</v>
      </c>
      <c r="Y204" s="31" t="s">
        <v>108</v>
      </c>
      <c r="Z204" s="33" t="s">
        <v>87</v>
      </c>
      <c r="AA204" s="34"/>
      <c r="AB204" s="40"/>
      <c r="AC204" s="40" t="s">
        <v>849</v>
      </c>
      <c r="AD204" s="34" t="s">
        <v>850</v>
      </c>
      <c r="AE204" s="34" t="s">
        <v>274</v>
      </c>
      <c r="AF204" s="34" t="s">
        <v>110</v>
      </c>
      <c r="AG204" s="41">
        <v>2</v>
      </c>
      <c r="AH204" s="41">
        <v>3</v>
      </c>
      <c r="AI204" s="33">
        <f t="shared" si="29"/>
        <v>6</v>
      </c>
      <c r="AJ204" s="33" t="str">
        <f t="shared" si="30"/>
        <v>MEDIO</v>
      </c>
      <c r="AK204" s="33">
        <v>10</v>
      </c>
      <c r="AL204" s="33">
        <f t="shared" si="23"/>
        <v>60</v>
      </c>
      <c r="AM204" s="33" t="str">
        <f t="shared" si="28"/>
        <v>RIESGO ACEPTABLE</v>
      </c>
      <c r="AN204" s="34"/>
      <c r="AO204" s="40"/>
      <c r="AP204" s="40"/>
      <c r="AQ204" s="34" t="s">
        <v>851</v>
      </c>
      <c r="AR204" s="34" t="s">
        <v>274</v>
      </c>
      <c r="AS204" s="61" t="s">
        <v>110</v>
      </c>
      <c r="EQ204" s="15"/>
      <c r="ER204" s="15"/>
      <c r="ES204" s="15"/>
      <c r="ET204" s="15"/>
      <c r="EU204" s="15"/>
      <c r="EV204" s="15"/>
    </row>
    <row r="205" spans="1:152" s="8" customFormat="1" ht="38.4" x14ac:dyDescent="0.25">
      <c r="A205" s="213"/>
      <c r="B205" s="197"/>
      <c r="C205" s="166"/>
      <c r="D205" s="204"/>
      <c r="E205" s="32" t="s">
        <v>87</v>
      </c>
      <c r="F205" s="152"/>
      <c r="G205" s="32" t="s">
        <v>852</v>
      </c>
      <c r="H205" s="34" t="s">
        <v>246</v>
      </c>
      <c r="I205" s="32" t="s">
        <v>1241</v>
      </c>
      <c r="J205" s="32" t="s">
        <v>435</v>
      </c>
      <c r="K205" s="32" t="s">
        <v>248</v>
      </c>
      <c r="L205" s="68" t="s">
        <v>249</v>
      </c>
      <c r="M205" s="73" t="s">
        <v>332</v>
      </c>
      <c r="N205" s="73" t="s">
        <v>490</v>
      </c>
      <c r="O205" s="73" t="s">
        <v>250</v>
      </c>
      <c r="P205" s="70">
        <v>2</v>
      </c>
      <c r="Q205" s="41">
        <v>2</v>
      </c>
      <c r="R205" s="33">
        <f t="shared" si="31"/>
        <v>4</v>
      </c>
      <c r="S205" s="33" t="str">
        <f t="shared" si="24"/>
        <v>BAJO</v>
      </c>
      <c r="T205" s="33">
        <v>10</v>
      </c>
      <c r="U205" s="75">
        <f t="shared" si="25"/>
        <v>40</v>
      </c>
      <c r="V205" s="33" t="str">
        <f t="shared" si="27"/>
        <v>lll</v>
      </c>
      <c r="W205" s="74" t="str">
        <f t="shared" si="26"/>
        <v>SI</v>
      </c>
      <c r="X205" s="33">
        <v>45</v>
      </c>
      <c r="Y205" s="31" t="s">
        <v>251</v>
      </c>
      <c r="Z205" s="33" t="s">
        <v>87</v>
      </c>
      <c r="AA205" s="34"/>
      <c r="AB205" s="40"/>
      <c r="AC205" s="40"/>
      <c r="AD205" s="34" t="s">
        <v>853</v>
      </c>
      <c r="AE205" s="34" t="s">
        <v>854</v>
      </c>
      <c r="AF205" s="34" t="s">
        <v>855</v>
      </c>
      <c r="AG205" s="41">
        <v>2</v>
      </c>
      <c r="AH205" s="41">
        <v>2</v>
      </c>
      <c r="AI205" s="33">
        <f t="shared" si="29"/>
        <v>4</v>
      </c>
      <c r="AJ205" s="33" t="str">
        <f t="shared" si="30"/>
        <v>BAJO</v>
      </c>
      <c r="AK205" s="33">
        <v>10</v>
      </c>
      <c r="AL205" s="33">
        <f t="shared" ref="AL205:AL289" si="32">AI205*AK205</f>
        <v>40</v>
      </c>
      <c r="AM205" s="33" t="str">
        <f t="shared" si="28"/>
        <v>RIESGO ACEPTABLE</v>
      </c>
      <c r="AN205" s="34"/>
      <c r="AO205" s="40"/>
      <c r="AP205" s="40"/>
      <c r="AQ205" s="34" t="s">
        <v>856</v>
      </c>
      <c r="AR205" s="34" t="s">
        <v>854</v>
      </c>
      <c r="AS205" s="61" t="s">
        <v>1294</v>
      </c>
      <c r="EQ205" s="15"/>
      <c r="ER205" s="15"/>
      <c r="ES205" s="15"/>
      <c r="ET205" s="15"/>
      <c r="EU205" s="15"/>
      <c r="EV205" s="15"/>
    </row>
    <row r="206" spans="1:152" s="8" customFormat="1" ht="38.4" x14ac:dyDescent="0.25">
      <c r="A206" s="213"/>
      <c r="B206" s="197"/>
      <c r="C206" s="166"/>
      <c r="D206" s="204"/>
      <c r="E206" s="32" t="s">
        <v>87</v>
      </c>
      <c r="F206" s="152"/>
      <c r="G206" s="32" t="s">
        <v>852</v>
      </c>
      <c r="H206" s="34" t="s">
        <v>138</v>
      </c>
      <c r="I206" s="32" t="s">
        <v>1243</v>
      </c>
      <c r="J206" s="32" t="s">
        <v>858</v>
      </c>
      <c r="K206" s="32" t="s">
        <v>104</v>
      </c>
      <c r="L206" s="68" t="s">
        <v>475</v>
      </c>
      <c r="M206" s="73" t="s">
        <v>332</v>
      </c>
      <c r="N206" s="73" t="s">
        <v>490</v>
      </c>
      <c r="O206" s="73" t="s">
        <v>556</v>
      </c>
      <c r="P206" s="70">
        <v>2</v>
      </c>
      <c r="Q206" s="41">
        <v>2</v>
      </c>
      <c r="R206" s="33">
        <f t="shared" si="31"/>
        <v>4</v>
      </c>
      <c r="S206" s="33" t="str">
        <f t="shared" si="24"/>
        <v>BAJO</v>
      </c>
      <c r="T206" s="33">
        <v>10</v>
      </c>
      <c r="U206" s="75">
        <f t="shared" si="25"/>
        <v>40</v>
      </c>
      <c r="V206" s="33" t="str">
        <f t="shared" si="27"/>
        <v>lll</v>
      </c>
      <c r="W206" s="74" t="str">
        <f t="shared" si="26"/>
        <v>SI</v>
      </c>
      <c r="X206" s="33">
        <v>45</v>
      </c>
      <c r="Y206" s="31" t="s">
        <v>143</v>
      </c>
      <c r="Z206" s="33" t="s">
        <v>87</v>
      </c>
      <c r="AA206" s="34"/>
      <c r="AB206" s="40"/>
      <c r="AC206" s="40" t="s">
        <v>144</v>
      </c>
      <c r="AD206" s="34" t="s">
        <v>859</v>
      </c>
      <c r="AE206" s="34"/>
      <c r="AF206" s="34" t="s">
        <v>860</v>
      </c>
      <c r="AG206" s="41">
        <v>2</v>
      </c>
      <c r="AH206" s="41">
        <v>3</v>
      </c>
      <c r="AI206" s="33">
        <f t="shared" si="29"/>
        <v>6</v>
      </c>
      <c r="AJ206" s="33" t="str">
        <f t="shared" si="30"/>
        <v>MEDIO</v>
      </c>
      <c r="AK206" s="33">
        <v>10</v>
      </c>
      <c r="AL206" s="33">
        <f t="shared" si="32"/>
        <v>60</v>
      </c>
      <c r="AM206" s="33" t="str">
        <f t="shared" si="28"/>
        <v>RIESGO ACEPTABLE</v>
      </c>
      <c r="AN206" s="34"/>
      <c r="AO206" s="40"/>
      <c r="AP206" s="40" t="s">
        <v>861</v>
      </c>
      <c r="AQ206" s="34" t="s">
        <v>862</v>
      </c>
      <c r="AR206" s="34"/>
      <c r="AS206" s="61" t="s">
        <v>860</v>
      </c>
      <c r="EQ206" s="15"/>
      <c r="ER206" s="15"/>
      <c r="ES206" s="15"/>
      <c r="ET206" s="15"/>
      <c r="EU206" s="15"/>
      <c r="EV206" s="15"/>
    </row>
    <row r="207" spans="1:152" s="8" customFormat="1" ht="38.4" x14ac:dyDescent="0.25">
      <c r="A207" s="213"/>
      <c r="B207" s="197"/>
      <c r="C207" s="166"/>
      <c r="D207" s="204"/>
      <c r="E207" s="32" t="s">
        <v>87</v>
      </c>
      <c r="F207" s="152"/>
      <c r="G207" s="32" t="s">
        <v>852</v>
      </c>
      <c r="H207" s="34" t="s">
        <v>863</v>
      </c>
      <c r="I207" s="32" t="s">
        <v>1243</v>
      </c>
      <c r="J207" s="47" t="s">
        <v>864</v>
      </c>
      <c r="K207" s="32" t="s">
        <v>104</v>
      </c>
      <c r="L207" s="68" t="s">
        <v>141</v>
      </c>
      <c r="M207" s="73" t="s">
        <v>332</v>
      </c>
      <c r="N207" s="73" t="s">
        <v>490</v>
      </c>
      <c r="O207" s="73" t="s">
        <v>556</v>
      </c>
      <c r="P207" s="70">
        <v>2</v>
      </c>
      <c r="Q207" s="41">
        <v>3</v>
      </c>
      <c r="R207" s="33">
        <f t="shared" si="31"/>
        <v>6</v>
      </c>
      <c r="S207" s="33" t="str">
        <f t="shared" ref="S207:S274" si="33">IF(AND(R207&gt;=0,R207&lt;=4),"BAJO",IF(AND(R207&gt;=6,R207&lt;=8),"MEDIO",IF(AND(R207&gt;=10,R207&lt;=20),"ALTO",IF(AND(R207&gt;=24,R207&lt;=40),"MUY ALTO"))))</f>
        <v>MEDIO</v>
      </c>
      <c r="T207" s="33">
        <v>10</v>
      </c>
      <c r="U207" s="75">
        <f t="shared" si="25"/>
        <v>60</v>
      </c>
      <c r="V207" s="33" t="str">
        <f t="shared" si="27"/>
        <v>lll</v>
      </c>
      <c r="W207" s="74" t="str">
        <f t="shared" si="26"/>
        <v>SI</v>
      </c>
      <c r="X207" s="33">
        <v>45</v>
      </c>
      <c r="Y207" s="31" t="s">
        <v>218</v>
      </c>
      <c r="Z207" s="33" t="s">
        <v>87</v>
      </c>
      <c r="AA207" s="34"/>
      <c r="AB207" s="40"/>
      <c r="AC207" s="40"/>
      <c r="AD207" s="34" t="s">
        <v>859</v>
      </c>
      <c r="AE207" s="34"/>
      <c r="AF207" s="34" t="s">
        <v>860</v>
      </c>
      <c r="AG207" s="41">
        <v>2</v>
      </c>
      <c r="AH207" s="41">
        <v>3</v>
      </c>
      <c r="AI207" s="33">
        <f t="shared" si="29"/>
        <v>6</v>
      </c>
      <c r="AJ207" s="33" t="str">
        <f t="shared" si="30"/>
        <v>MEDIO</v>
      </c>
      <c r="AK207" s="33">
        <v>10</v>
      </c>
      <c r="AL207" s="33">
        <f t="shared" si="32"/>
        <v>60</v>
      </c>
      <c r="AM207" s="33" t="str">
        <f t="shared" si="28"/>
        <v>RIESGO ACEPTABLE</v>
      </c>
      <c r="AN207" s="34"/>
      <c r="AO207" s="40"/>
      <c r="AP207" s="40"/>
      <c r="AQ207" s="34" t="s">
        <v>862</v>
      </c>
      <c r="AR207" s="34"/>
      <c r="AS207" s="61" t="s">
        <v>860</v>
      </c>
      <c r="EQ207" s="15"/>
      <c r="ER207" s="15"/>
      <c r="ES207" s="15"/>
      <c r="ET207" s="15"/>
      <c r="EU207" s="15"/>
      <c r="EV207" s="15"/>
    </row>
    <row r="208" spans="1:152" s="8" customFormat="1" ht="28.8" x14ac:dyDescent="0.25">
      <c r="A208" s="213"/>
      <c r="B208" s="197"/>
      <c r="C208" s="166"/>
      <c r="D208" s="204"/>
      <c r="E208" s="32" t="s">
        <v>87</v>
      </c>
      <c r="F208" s="152"/>
      <c r="G208" s="32" t="s">
        <v>852</v>
      </c>
      <c r="H208" s="34" t="s">
        <v>157</v>
      </c>
      <c r="I208" s="32" t="s">
        <v>1245</v>
      </c>
      <c r="J208" s="47" t="s">
        <v>865</v>
      </c>
      <c r="K208" s="32" t="s">
        <v>104</v>
      </c>
      <c r="L208" s="68" t="s">
        <v>160</v>
      </c>
      <c r="M208" s="73" t="s">
        <v>332</v>
      </c>
      <c r="N208" s="73" t="s">
        <v>490</v>
      </c>
      <c r="O208" s="73" t="s">
        <v>665</v>
      </c>
      <c r="P208" s="70">
        <v>2</v>
      </c>
      <c r="Q208" s="41">
        <v>3</v>
      </c>
      <c r="R208" s="33">
        <f t="shared" si="31"/>
        <v>6</v>
      </c>
      <c r="S208" s="33" t="str">
        <f t="shared" si="33"/>
        <v>MEDIO</v>
      </c>
      <c r="T208" s="33">
        <v>10</v>
      </c>
      <c r="U208" s="75">
        <f t="shared" ref="U208:U275" si="34">R208*T208</f>
        <v>60</v>
      </c>
      <c r="V208" s="33" t="str">
        <f t="shared" si="27"/>
        <v>lll</v>
      </c>
      <c r="W208" s="74" t="str">
        <f t="shared" ref="W208:W275" si="35">IF(AND(V208="lV"),"SI",IF(AND(V208="lll"),"SI",IF(AND(V208="ll"),"NO",IF(AND(V208="l"),"NO"))))</f>
        <v>SI</v>
      </c>
      <c r="X208" s="33">
        <v>45</v>
      </c>
      <c r="Y208" s="31" t="s">
        <v>163</v>
      </c>
      <c r="Z208" s="33" t="s">
        <v>87</v>
      </c>
      <c r="AA208" s="34"/>
      <c r="AB208" s="40"/>
      <c r="AC208" s="40"/>
      <c r="AD208" s="34" t="s">
        <v>866</v>
      </c>
      <c r="AE208" s="34" t="s">
        <v>867</v>
      </c>
      <c r="AF208" s="34" t="s">
        <v>868</v>
      </c>
      <c r="AG208" s="41">
        <v>2</v>
      </c>
      <c r="AH208" s="41">
        <v>3</v>
      </c>
      <c r="AI208" s="33">
        <f t="shared" si="29"/>
        <v>6</v>
      </c>
      <c r="AJ208" s="33" t="str">
        <f t="shared" si="30"/>
        <v>MEDIO</v>
      </c>
      <c r="AK208" s="33">
        <v>10</v>
      </c>
      <c r="AL208" s="33">
        <f t="shared" si="32"/>
        <v>60</v>
      </c>
      <c r="AM208" s="33" t="str">
        <f t="shared" si="28"/>
        <v>RIESGO ACEPTABLE</v>
      </c>
      <c r="AN208" s="34"/>
      <c r="AO208" s="40"/>
      <c r="AP208" s="40"/>
      <c r="AQ208" s="34" t="s">
        <v>869</v>
      </c>
      <c r="AR208" s="34"/>
      <c r="AS208" s="61" t="s">
        <v>235</v>
      </c>
      <c r="EQ208" s="15"/>
      <c r="ER208" s="15"/>
      <c r="ES208" s="15"/>
      <c r="ET208" s="15"/>
      <c r="EU208" s="15"/>
      <c r="EV208" s="15"/>
    </row>
    <row r="209" spans="1:152" s="8" customFormat="1" ht="28.8" x14ac:dyDescent="0.25">
      <c r="A209" s="213"/>
      <c r="B209" s="197"/>
      <c r="C209" s="166"/>
      <c r="D209" s="204"/>
      <c r="E209" s="32" t="s">
        <v>87</v>
      </c>
      <c r="F209" s="152"/>
      <c r="G209" s="32" t="s">
        <v>852</v>
      </c>
      <c r="H209" s="34" t="s">
        <v>227</v>
      </c>
      <c r="I209" s="32" t="s">
        <v>1245</v>
      </c>
      <c r="J209" s="47" t="s">
        <v>870</v>
      </c>
      <c r="K209" s="32" t="s">
        <v>104</v>
      </c>
      <c r="L209" s="68" t="s">
        <v>229</v>
      </c>
      <c r="M209" s="73" t="s">
        <v>332</v>
      </c>
      <c r="N209" s="73" t="s">
        <v>490</v>
      </c>
      <c r="O209" s="73" t="s">
        <v>665</v>
      </c>
      <c r="P209" s="70">
        <v>2</v>
      </c>
      <c r="Q209" s="41">
        <v>3</v>
      </c>
      <c r="R209" s="33">
        <f t="shared" si="31"/>
        <v>6</v>
      </c>
      <c r="S209" s="33" t="str">
        <f t="shared" si="33"/>
        <v>MEDIO</v>
      </c>
      <c r="T209" s="33">
        <v>10</v>
      </c>
      <c r="U209" s="75">
        <f t="shared" si="34"/>
        <v>60</v>
      </c>
      <c r="V209" s="33" t="str">
        <f t="shared" si="27"/>
        <v>lll</v>
      </c>
      <c r="W209" s="74" t="str">
        <f t="shared" si="35"/>
        <v>SI</v>
      </c>
      <c r="X209" s="33">
        <v>45</v>
      </c>
      <c r="Y209" s="31" t="s">
        <v>163</v>
      </c>
      <c r="Z209" s="33" t="s">
        <v>87</v>
      </c>
      <c r="AA209" s="34"/>
      <c r="AB209" s="40"/>
      <c r="AC209" s="40"/>
      <c r="AD209" s="34" t="s">
        <v>871</v>
      </c>
      <c r="AE209" s="34" t="s">
        <v>867</v>
      </c>
      <c r="AF209" s="34" t="s">
        <v>868</v>
      </c>
      <c r="AG209" s="41">
        <v>2</v>
      </c>
      <c r="AH209" s="41">
        <v>3</v>
      </c>
      <c r="AI209" s="33">
        <f t="shared" si="29"/>
        <v>6</v>
      </c>
      <c r="AJ209" s="33" t="str">
        <f t="shared" si="30"/>
        <v>MEDIO</v>
      </c>
      <c r="AK209" s="33">
        <v>10</v>
      </c>
      <c r="AL209" s="33">
        <f t="shared" si="32"/>
        <v>60</v>
      </c>
      <c r="AM209" s="33" t="str">
        <f t="shared" si="28"/>
        <v>RIESGO ACEPTABLE</v>
      </c>
      <c r="AN209" s="34"/>
      <c r="AO209" s="40"/>
      <c r="AP209" s="40"/>
      <c r="AQ209" s="34" t="s">
        <v>872</v>
      </c>
      <c r="AR209" s="34" t="s">
        <v>873</v>
      </c>
      <c r="AS209" s="61" t="s">
        <v>235</v>
      </c>
      <c r="EQ209" s="15"/>
      <c r="ER209" s="15"/>
      <c r="ES209" s="15"/>
      <c r="ET209" s="15"/>
      <c r="EU209" s="15"/>
      <c r="EV209" s="15"/>
    </row>
    <row r="210" spans="1:152" s="8" customFormat="1" ht="38.4" x14ac:dyDescent="0.25">
      <c r="A210" s="213"/>
      <c r="B210" s="197"/>
      <c r="C210" s="166"/>
      <c r="D210" s="204"/>
      <c r="E210" s="32" t="s">
        <v>87</v>
      </c>
      <c r="F210" s="152"/>
      <c r="G210" s="32" t="s">
        <v>852</v>
      </c>
      <c r="H210" s="34" t="s">
        <v>246</v>
      </c>
      <c r="I210" s="32" t="s">
        <v>1241</v>
      </c>
      <c r="J210" s="32" t="s">
        <v>247</v>
      </c>
      <c r="K210" s="32" t="s">
        <v>248</v>
      </c>
      <c r="L210" s="68" t="s">
        <v>249</v>
      </c>
      <c r="M210" s="73" t="s">
        <v>332</v>
      </c>
      <c r="N210" s="73" t="s">
        <v>490</v>
      </c>
      <c r="O210" s="73" t="s">
        <v>250</v>
      </c>
      <c r="P210" s="70">
        <v>2</v>
      </c>
      <c r="Q210" s="41">
        <v>2</v>
      </c>
      <c r="R210" s="33">
        <f t="shared" si="31"/>
        <v>4</v>
      </c>
      <c r="S210" s="33" t="str">
        <f t="shared" si="33"/>
        <v>BAJO</v>
      </c>
      <c r="T210" s="33">
        <v>10</v>
      </c>
      <c r="U210" s="75">
        <f t="shared" si="34"/>
        <v>40</v>
      </c>
      <c r="V210" s="33" t="str">
        <f t="shared" si="27"/>
        <v>lll</v>
      </c>
      <c r="W210" s="74" t="str">
        <f t="shared" si="35"/>
        <v>SI</v>
      </c>
      <c r="X210" s="33">
        <v>45</v>
      </c>
      <c r="Y210" s="31" t="s">
        <v>251</v>
      </c>
      <c r="Z210" s="33" t="s">
        <v>87</v>
      </c>
      <c r="AA210" s="34"/>
      <c r="AB210" s="40"/>
      <c r="AC210" s="40"/>
      <c r="AD210" s="34" t="s">
        <v>252</v>
      </c>
      <c r="AE210" s="34"/>
      <c r="AF210" s="34"/>
      <c r="AG210" s="41">
        <v>2</v>
      </c>
      <c r="AH210" s="41">
        <v>2</v>
      </c>
      <c r="AI210" s="33">
        <f t="shared" si="29"/>
        <v>4</v>
      </c>
      <c r="AJ210" s="33" t="str">
        <f t="shared" si="30"/>
        <v>BAJO</v>
      </c>
      <c r="AK210" s="33">
        <v>10</v>
      </c>
      <c r="AL210" s="33">
        <f t="shared" si="32"/>
        <v>40</v>
      </c>
      <c r="AM210" s="33" t="str">
        <f t="shared" si="28"/>
        <v>RIESGO ACEPTABLE</v>
      </c>
      <c r="AN210" s="34"/>
      <c r="AO210" s="40"/>
      <c r="AP210" s="40"/>
      <c r="AQ210" s="34" t="s">
        <v>252</v>
      </c>
      <c r="AR210" s="34"/>
      <c r="AS210" s="61"/>
      <c r="EQ210" s="15"/>
      <c r="ER210" s="15"/>
      <c r="ES210" s="15"/>
      <c r="ET210" s="15"/>
      <c r="EU210" s="15"/>
      <c r="EV210" s="15"/>
    </row>
    <row r="211" spans="1:152" s="8" customFormat="1" ht="67.2" x14ac:dyDescent="0.25">
      <c r="A211" s="213"/>
      <c r="B211" s="197"/>
      <c r="C211" s="166"/>
      <c r="D211" s="204"/>
      <c r="E211" s="32" t="s">
        <v>87</v>
      </c>
      <c r="F211" s="152"/>
      <c r="G211" s="32" t="s">
        <v>852</v>
      </c>
      <c r="H211" s="34" t="s">
        <v>393</v>
      </c>
      <c r="I211" s="32" t="s">
        <v>1241</v>
      </c>
      <c r="J211" s="32" t="s">
        <v>874</v>
      </c>
      <c r="K211" s="40" t="s">
        <v>104</v>
      </c>
      <c r="L211" s="68" t="s">
        <v>395</v>
      </c>
      <c r="M211" s="73" t="s">
        <v>332</v>
      </c>
      <c r="N211" s="73" t="s">
        <v>875</v>
      </c>
      <c r="O211" s="73" t="s">
        <v>396</v>
      </c>
      <c r="P211" s="70">
        <v>2</v>
      </c>
      <c r="Q211" s="41">
        <v>1</v>
      </c>
      <c r="R211" s="33">
        <f t="shared" si="31"/>
        <v>2</v>
      </c>
      <c r="S211" s="33" t="str">
        <f t="shared" si="33"/>
        <v>BAJO</v>
      </c>
      <c r="T211" s="33">
        <v>10</v>
      </c>
      <c r="U211" s="75">
        <f t="shared" si="34"/>
        <v>20</v>
      </c>
      <c r="V211" s="33" t="str">
        <f t="shared" si="27"/>
        <v xml:space="preserve">IV </v>
      </c>
      <c r="W211" s="74" t="s">
        <v>87</v>
      </c>
      <c r="X211" s="33">
        <v>45</v>
      </c>
      <c r="Y211" s="31" t="s">
        <v>397</v>
      </c>
      <c r="Z211" s="33" t="s">
        <v>87</v>
      </c>
      <c r="AA211" s="34"/>
      <c r="AB211" s="40"/>
      <c r="AC211" s="40" t="s">
        <v>876</v>
      </c>
      <c r="AD211" s="34" t="s">
        <v>877</v>
      </c>
      <c r="AE211" s="34"/>
      <c r="AF211" s="34" t="s">
        <v>878</v>
      </c>
      <c r="AG211" s="41">
        <v>2</v>
      </c>
      <c r="AH211" s="41">
        <v>3</v>
      </c>
      <c r="AI211" s="33">
        <f t="shared" si="29"/>
        <v>6</v>
      </c>
      <c r="AJ211" s="33" t="str">
        <f t="shared" si="30"/>
        <v>MEDIO</v>
      </c>
      <c r="AK211" s="33">
        <v>10</v>
      </c>
      <c r="AL211" s="33">
        <f t="shared" si="32"/>
        <v>60</v>
      </c>
      <c r="AM211" s="33" t="str">
        <f t="shared" si="28"/>
        <v>RIESGO ACEPTABLE</v>
      </c>
      <c r="AN211" s="34"/>
      <c r="AO211" s="40"/>
      <c r="AP211" s="40"/>
      <c r="AQ211" s="34" t="s">
        <v>879</v>
      </c>
      <c r="AR211" s="34"/>
      <c r="AS211" s="61" t="s">
        <v>878</v>
      </c>
      <c r="EQ211" s="15"/>
      <c r="ER211" s="15"/>
      <c r="ES211" s="15"/>
      <c r="ET211" s="15"/>
      <c r="EU211" s="15"/>
      <c r="EV211" s="15"/>
    </row>
    <row r="212" spans="1:152" s="8" customFormat="1" ht="38.4" x14ac:dyDescent="0.25">
      <c r="A212" s="213"/>
      <c r="B212" s="197"/>
      <c r="C212" s="166"/>
      <c r="D212" s="204"/>
      <c r="E212" s="32" t="s">
        <v>87</v>
      </c>
      <c r="F212" s="152"/>
      <c r="G212" s="32" t="s">
        <v>852</v>
      </c>
      <c r="H212" s="34" t="s">
        <v>128</v>
      </c>
      <c r="I212" s="32" t="s">
        <v>1235</v>
      </c>
      <c r="J212" s="32" t="s">
        <v>454</v>
      </c>
      <c r="K212" s="32" t="s">
        <v>104</v>
      </c>
      <c r="L212" s="68" t="s">
        <v>131</v>
      </c>
      <c r="M212" s="73" t="s">
        <v>84</v>
      </c>
      <c r="N212" s="73" t="s">
        <v>490</v>
      </c>
      <c r="O212" s="73" t="s">
        <v>132</v>
      </c>
      <c r="P212" s="70">
        <v>2</v>
      </c>
      <c r="Q212" s="41">
        <v>3</v>
      </c>
      <c r="R212" s="33">
        <f t="shared" si="31"/>
        <v>6</v>
      </c>
      <c r="S212" s="33" t="str">
        <f t="shared" si="33"/>
        <v>MEDIO</v>
      </c>
      <c r="T212" s="33">
        <v>10</v>
      </c>
      <c r="U212" s="75">
        <f t="shared" si="34"/>
        <v>60</v>
      </c>
      <c r="V212" s="33" t="str">
        <f t="shared" ref="V212:V279" si="36">IF(AND(U212&gt;=0,U212&lt;=20),"IV ",IF(AND(U212&gt;=40,U212&lt;=120),"lll",IF(AND(U212&gt;=150,U212&lt;=500),"ll",IF(AND(U212&gt;=600,U212&lt;=4000),"l"))))</f>
        <v>lll</v>
      </c>
      <c r="W212" s="74" t="str">
        <f t="shared" si="35"/>
        <v>SI</v>
      </c>
      <c r="X212" s="33">
        <v>45</v>
      </c>
      <c r="Y212" s="31" t="s">
        <v>133</v>
      </c>
      <c r="Z212" s="33" t="s">
        <v>87</v>
      </c>
      <c r="AA212" s="34"/>
      <c r="AB212" s="40"/>
      <c r="AC212" s="40"/>
      <c r="AD212" s="34" t="s">
        <v>689</v>
      </c>
      <c r="AE212" s="34"/>
      <c r="AF212" s="34" t="s">
        <v>880</v>
      </c>
      <c r="AG212" s="41">
        <v>2</v>
      </c>
      <c r="AH212" s="41">
        <v>3</v>
      </c>
      <c r="AI212" s="33">
        <f t="shared" si="29"/>
        <v>6</v>
      </c>
      <c r="AJ212" s="33" t="str">
        <f t="shared" si="30"/>
        <v>MEDIO</v>
      </c>
      <c r="AK212" s="33">
        <v>10</v>
      </c>
      <c r="AL212" s="33">
        <f t="shared" si="32"/>
        <v>60</v>
      </c>
      <c r="AM212" s="33" t="str">
        <f t="shared" ref="AM212:AM279" si="37">IF(AND(AL212&gt;=0,AL212&lt;=120),"RIESGO ACEPTABLE",IF(AND(AL212&gt;=150,AL212&lt;=500)," RIESGO ACEPTABLE CON CONTROL ESPECIFICO",IF(AND(AL212&gt;=600,AL212&lt;=4000),"RIESGO NO ACEPTABLE")))</f>
        <v>RIESGO ACEPTABLE</v>
      </c>
      <c r="AN212" s="34"/>
      <c r="AO212" s="40"/>
      <c r="AP212" s="40"/>
      <c r="AQ212" s="34" t="s">
        <v>136</v>
      </c>
      <c r="AR212" s="34"/>
      <c r="AS212" s="61" t="s">
        <v>880</v>
      </c>
      <c r="EQ212" s="15"/>
      <c r="ER212" s="15"/>
      <c r="ES212" s="15"/>
      <c r="ET212" s="15"/>
      <c r="EU212" s="15"/>
      <c r="EV212" s="15"/>
    </row>
    <row r="213" spans="1:152" s="8" customFormat="1" ht="76.8" x14ac:dyDescent="0.25">
      <c r="A213" s="213"/>
      <c r="B213" s="197"/>
      <c r="C213" s="166"/>
      <c r="D213" s="204"/>
      <c r="E213" s="32" t="s">
        <v>87</v>
      </c>
      <c r="F213" s="152"/>
      <c r="G213" s="32" t="s">
        <v>852</v>
      </c>
      <c r="H213" s="34" t="s">
        <v>79</v>
      </c>
      <c r="I213" s="32" t="s">
        <v>1248</v>
      </c>
      <c r="J213" s="47" t="s">
        <v>447</v>
      </c>
      <c r="K213" s="32" t="s">
        <v>104</v>
      </c>
      <c r="L213" s="68" t="s">
        <v>448</v>
      </c>
      <c r="M213" s="73" t="s">
        <v>332</v>
      </c>
      <c r="N213" s="73" t="s">
        <v>490</v>
      </c>
      <c r="O213" s="7" t="s">
        <v>85</v>
      </c>
      <c r="P213" s="70">
        <v>2</v>
      </c>
      <c r="Q213" s="41">
        <v>3</v>
      </c>
      <c r="R213" s="33">
        <f t="shared" si="31"/>
        <v>6</v>
      </c>
      <c r="S213" s="33" t="str">
        <f t="shared" si="33"/>
        <v>MEDIO</v>
      </c>
      <c r="T213" s="33">
        <v>10</v>
      </c>
      <c r="U213" s="75">
        <f t="shared" si="34"/>
        <v>60</v>
      </c>
      <c r="V213" s="33" t="str">
        <f t="shared" si="36"/>
        <v>lll</v>
      </c>
      <c r="W213" s="74" t="str">
        <f t="shared" si="35"/>
        <v>SI</v>
      </c>
      <c r="X213" s="33">
        <v>45</v>
      </c>
      <c r="Y213" s="31" t="s">
        <v>86</v>
      </c>
      <c r="Z213" s="33" t="s">
        <v>87</v>
      </c>
      <c r="AA213" s="34"/>
      <c r="AB213" s="40"/>
      <c r="AC213" s="40"/>
      <c r="AD213" s="34" t="s">
        <v>881</v>
      </c>
      <c r="AE213" s="34" t="s">
        <v>882</v>
      </c>
      <c r="AF213" s="34" t="s">
        <v>883</v>
      </c>
      <c r="AG213" s="41">
        <v>2</v>
      </c>
      <c r="AH213" s="41">
        <v>3</v>
      </c>
      <c r="AI213" s="33">
        <f t="shared" si="29"/>
        <v>6</v>
      </c>
      <c r="AJ213" s="33" t="str">
        <f t="shared" si="30"/>
        <v>MEDIO</v>
      </c>
      <c r="AK213" s="33">
        <v>10</v>
      </c>
      <c r="AL213" s="33">
        <f t="shared" si="32"/>
        <v>60</v>
      </c>
      <c r="AM213" s="33" t="str">
        <f t="shared" si="37"/>
        <v>RIESGO ACEPTABLE</v>
      </c>
      <c r="AN213" s="34"/>
      <c r="AO213" s="40"/>
      <c r="AP213" s="40"/>
      <c r="AQ213" s="34" t="s">
        <v>884</v>
      </c>
      <c r="AR213" s="34"/>
      <c r="AS213" s="61" t="s">
        <v>883</v>
      </c>
      <c r="EQ213" s="15"/>
      <c r="ER213" s="15"/>
      <c r="ES213" s="15"/>
      <c r="ET213" s="15"/>
      <c r="EU213" s="15"/>
      <c r="EV213" s="15"/>
    </row>
    <row r="214" spans="1:152" s="8" customFormat="1" ht="67.2" x14ac:dyDescent="0.25">
      <c r="A214" s="213"/>
      <c r="B214" s="197"/>
      <c r="C214" s="166" t="s">
        <v>885</v>
      </c>
      <c r="D214" s="204" t="s">
        <v>886</v>
      </c>
      <c r="E214" s="32" t="s">
        <v>87</v>
      </c>
      <c r="F214" s="152" t="s">
        <v>887</v>
      </c>
      <c r="G214" s="32" t="s">
        <v>888</v>
      </c>
      <c r="H214" s="34" t="s">
        <v>114</v>
      </c>
      <c r="I214" s="32" t="s">
        <v>1241</v>
      </c>
      <c r="J214" s="47" t="s">
        <v>889</v>
      </c>
      <c r="K214" s="32" t="s">
        <v>104</v>
      </c>
      <c r="L214" s="68" t="s">
        <v>117</v>
      </c>
      <c r="M214" s="73" t="s">
        <v>332</v>
      </c>
      <c r="N214" s="73" t="s">
        <v>875</v>
      </c>
      <c r="O214" s="73" t="s">
        <v>264</v>
      </c>
      <c r="P214" s="70">
        <v>2</v>
      </c>
      <c r="Q214" s="41">
        <v>4</v>
      </c>
      <c r="R214" s="33">
        <f t="shared" si="31"/>
        <v>8</v>
      </c>
      <c r="S214" s="33" t="str">
        <f t="shared" si="33"/>
        <v>MEDIO</v>
      </c>
      <c r="T214" s="33">
        <v>10</v>
      </c>
      <c r="U214" s="75">
        <f t="shared" si="34"/>
        <v>80</v>
      </c>
      <c r="V214" s="33" t="str">
        <f t="shared" si="36"/>
        <v>lll</v>
      </c>
      <c r="W214" s="74" t="str">
        <f t="shared" si="35"/>
        <v>SI</v>
      </c>
      <c r="X214" s="33">
        <v>45</v>
      </c>
      <c r="Y214" s="31" t="s">
        <v>119</v>
      </c>
      <c r="Z214" s="33" t="s">
        <v>87</v>
      </c>
      <c r="AA214" s="34"/>
      <c r="AB214" s="40"/>
      <c r="AC214" s="40" t="s">
        <v>120</v>
      </c>
      <c r="AD214" s="34" t="s">
        <v>121</v>
      </c>
      <c r="AE214" s="34" t="s">
        <v>844</v>
      </c>
      <c r="AF214" s="34" t="s">
        <v>1293</v>
      </c>
      <c r="AG214" s="41">
        <v>2</v>
      </c>
      <c r="AH214" s="41">
        <v>4</v>
      </c>
      <c r="AI214" s="33">
        <f t="shared" si="29"/>
        <v>8</v>
      </c>
      <c r="AJ214" s="33" t="str">
        <f t="shared" si="30"/>
        <v>MEDIO</v>
      </c>
      <c r="AK214" s="33">
        <v>10</v>
      </c>
      <c r="AL214" s="33">
        <f t="shared" si="32"/>
        <v>80</v>
      </c>
      <c r="AM214" s="33" t="str">
        <f t="shared" si="37"/>
        <v>RIESGO ACEPTABLE</v>
      </c>
      <c r="AN214" s="34"/>
      <c r="AO214" s="40"/>
      <c r="AP214" s="40" t="s">
        <v>890</v>
      </c>
      <c r="AQ214" s="34" t="s">
        <v>846</v>
      </c>
      <c r="AR214" s="34" t="s">
        <v>847</v>
      </c>
      <c r="AS214" s="61" t="s">
        <v>1293</v>
      </c>
      <c r="EQ214" s="15"/>
      <c r="ER214" s="15"/>
      <c r="ES214" s="15"/>
      <c r="ET214" s="15"/>
      <c r="EU214" s="15"/>
      <c r="EV214" s="15"/>
    </row>
    <row r="215" spans="1:152" s="8" customFormat="1" ht="67.2" x14ac:dyDescent="0.25">
      <c r="A215" s="213"/>
      <c r="B215" s="197"/>
      <c r="C215" s="166"/>
      <c r="D215" s="204"/>
      <c r="E215" s="32" t="s">
        <v>87</v>
      </c>
      <c r="F215" s="152"/>
      <c r="G215" s="32" t="s">
        <v>888</v>
      </c>
      <c r="H215" s="34" t="s">
        <v>101</v>
      </c>
      <c r="I215" s="32" t="s">
        <v>1242</v>
      </c>
      <c r="J215" s="32" t="s">
        <v>891</v>
      </c>
      <c r="K215" s="32" t="s">
        <v>104</v>
      </c>
      <c r="L215" s="68" t="s">
        <v>105</v>
      </c>
      <c r="M215" s="73" t="s">
        <v>332</v>
      </c>
      <c r="N215" s="73" t="s">
        <v>106</v>
      </c>
      <c r="O215" s="73" t="s">
        <v>522</v>
      </c>
      <c r="P215" s="70">
        <v>2</v>
      </c>
      <c r="Q215" s="41">
        <v>3</v>
      </c>
      <c r="R215" s="33">
        <f t="shared" si="31"/>
        <v>6</v>
      </c>
      <c r="S215" s="33" t="str">
        <f t="shared" si="33"/>
        <v>MEDIO</v>
      </c>
      <c r="T215" s="33">
        <v>10</v>
      </c>
      <c r="U215" s="75">
        <f t="shared" si="34"/>
        <v>60</v>
      </c>
      <c r="V215" s="33" t="str">
        <f t="shared" si="36"/>
        <v>lll</v>
      </c>
      <c r="W215" s="74" t="str">
        <f t="shared" si="35"/>
        <v>SI</v>
      </c>
      <c r="X215" s="33">
        <v>45</v>
      </c>
      <c r="Y215" s="31" t="s">
        <v>108</v>
      </c>
      <c r="Z215" s="33" t="s">
        <v>87</v>
      </c>
      <c r="AA215" s="34"/>
      <c r="AB215" s="40"/>
      <c r="AC215" s="40" t="s">
        <v>849</v>
      </c>
      <c r="AD215" s="34" t="s">
        <v>850</v>
      </c>
      <c r="AE215" s="34" t="s">
        <v>274</v>
      </c>
      <c r="AF215" s="34" t="s">
        <v>110</v>
      </c>
      <c r="AG215" s="41">
        <v>2</v>
      </c>
      <c r="AH215" s="41">
        <v>3</v>
      </c>
      <c r="AI215" s="33">
        <f t="shared" si="29"/>
        <v>6</v>
      </c>
      <c r="AJ215" s="33" t="str">
        <f t="shared" si="30"/>
        <v>MEDIO</v>
      </c>
      <c r="AK215" s="33">
        <v>10</v>
      </c>
      <c r="AL215" s="33">
        <f t="shared" si="32"/>
        <v>60</v>
      </c>
      <c r="AM215" s="33" t="str">
        <f t="shared" si="37"/>
        <v>RIESGO ACEPTABLE</v>
      </c>
      <c r="AN215" s="34"/>
      <c r="AO215" s="40" t="s">
        <v>892</v>
      </c>
      <c r="AP215" s="40" t="s">
        <v>893</v>
      </c>
      <c r="AQ215" s="34" t="s">
        <v>894</v>
      </c>
      <c r="AR215" s="34" t="s">
        <v>274</v>
      </c>
      <c r="AS215" s="61" t="s">
        <v>110</v>
      </c>
      <c r="EQ215" s="15"/>
      <c r="ER215" s="15"/>
      <c r="ES215" s="15"/>
      <c r="ET215" s="15"/>
      <c r="EU215" s="15"/>
      <c r="EV215" s="15"/>
    </row>
    <row r="216" spans="1:152" s="8" customFormat="1" ht="67.2" x14ac:dyDescent="0.25">
      <c r="A216" s="213"/>
      <c r="B216" s="197"/>
      <c r="C216" s="166"/>
      <c r="D216" s="204"/>
      <c r="E216" s="32" t="s">
        <v>87</v>
      </c>
      <c r="F216" s="152"/>
      <c r="G216" s="32" t="s">
        <v>888</v>
      </c>
      <c r="H216" s="34" t="s">
        <v>863</v>
      </c>
      <c r="I216" s="32" t="s">
        <v>1243</v>
      </c>
      <c r="J216" s="47" t="s">
        <v>864</v>
      </c>
      <c r="K216" s="32" t="s">
        <v>104</v>
      </c>
      <c r="L216" s="68" t="s">
        <v>141</v>
      </c>
      <c r="M216" s="73" t="s">
        <v>332</v>
      </c>
      <c r="N216" s="73" t="s">
        <v>875</v>
      </c>
      <c r="O216" s="73" t="s">
        <v>152</v>
      </c>
      <c r="P216" s="70">
        <v>2</v>
      </c>
      <c r="Q216" s="41">
        <v>3</v>
      </c>
      <c r="R216" s="33">
        <f t="shared" si="31"/>
        <v>6</v>
      </c>
      <c r="S216" s="33" t="str">
        <f t="shared" si="33"/>
        <v>MEDIO</v>
      </c>
      <c r="T216" s="33">
        <v>10</v>
      </c>
      <c r="U216" s="75">
        <f t="shared" si="34"/>
        <v>60</v>
      </c>
      <c r="V216" s="33" t="str">
        <f t="shared" si="36"/>
        <v>lll</v>
      </c>
      <c r="W216" s="74" t="str">
        <f t="shared" si="35"/>
        <v>SI</v>
      </c>
      <c r="X216" s="33">
        <v>45</v>
      </c>
      <c r="Y216" s="31" t="s">
        <v>218</v>
      </c>
      <c r="Z216" s="33" t="s">
        <v>87</v>
      </c>
      <c r="AA216" s="34"/>
      <c r="AB216" s="40"/>
      <c r="AC216" s="34" t="s">
        <v>144</v>
      </c>
      <c r="AD216" s="34" t="s">
        <v>859</v>
      </c>
      <c r="AE216" s="34"/>
      <c r="AF216" s="34" t="s">
        <v>860</v>
      </c>
      <c r="AG216" s="41">
        <v>2</v>
      </c>
      <c r="AH216" s="41">
        <v>3</v>
      </c>
      <c r="AI216" s="33">
        <f t="shared" si="29"/>
        <v>6</v>
      </c>
      <c r="AJ216" s="33" t="str">
        <f t="shared" si="30"/>
        <v>MEDIO</v>
      </c>
      <c r="AK216" s="33">
        <v>10</v>
      </c>
      <c r="AL216" s="33">
        <f t="shared" si="32"/>
        <v>60</v>
      </c>
      <c r="AM216" s="33" t="str">
        <f t="shared" si="37"/>
        <v>RIESGO ACEPTABLE</v>
      </c>
      <c r="AN216" s="34"/>
      <c r="AO216" s="40"/>
      <c r="AP216" s="34" t="s">
        <v>895</v>
      </c>
      <c r="AQ216" s="34" t="s">
        <v>896</v>
      </c>
      <c r="AR216" s="34"/>
      <c r="AS216" s="61" t="s">
        <v>860</v>
      </c>
      <c r="EQ216" s="15"/>
      <c r="ER216" s="15"/>
      <c r="ES216" s="15"/>
      <c r="ET216" s="15"/>
      <c r="EU216" s="15"/>
      <c r="EV216" s="15"/>
    </row>
    <row r="217" spans="1:152" s="8" customFormat="1" ht="67.2" x14ac:dyDescent="0.25">
      <c r="A217" s="213"/>
      <c r="B217" s="197"/>
      <c r="C217" s="166"/>
      <c r="D217" s="204"/>
      <c r="E217" s="32" t="s">
        <v>87</v>
      </c>
      <c r="F217" s="152"/>
      <c r="G217" s="32" t="s">
        <v>888</v>
      </c>
      <c r="H217" s="34" t="s">
        <v>138</v>
      </c>
      <c r="I217" s="32" t="s">
        <v>1243</v>
      </c>
      <c r="J217" s="32" t="s">
        <v>858</v>
      </c>
      <c r="K217" s="32" t="s">
        <v>104</v>
      </c>
      <c r="L217" s="68" t="s">
        <v>475</v>
      </c>
      <c r="M217" s="73" t="s">
        <v>332</v>
      </c>
      <c r="N217" s="73" t="s">
        <v>875</v>
      </c>
      <c r="O217" s="73" t="s">
        <v>142</v>
      </c>
      <c r="P217" s="70">
        <v>2</v>
      </c>
      <c r="Q217" s="41">
        <v>2</v>
      </c>
      <c r="R217" s="33">
        <f t="shared" si="31"/>
        <v>4</v>
      </c>
      <c r="S217" s="33" t="str">
        <f t="shared" si="33"/>
        <v>BAJO</v>
      </c>
      <c r="T217" s="33">
        <v>10</v>
      </c>
      <c r="U217" s="75">
        <f t="shared" si="34"/>
        <v>40</v>
      </c>
      <c r="V217" s="33" t="str">
        <f t="shared" si="36"/>
        <v>lll</v>
      </c>
      <c r="W217" s="74" t="str">
        <f t="shared" si="35"/>
        <v>SI</v>
      </c>
      <c r="X217" s="33">
        <v>45</v>
      </c>
      <c r="Y217" s="31" t="s">
        <v>143</v>
      </c>
      <c r="Z217" s="33" t="s">
        <v>87</v>
      </c>
      <c r="AA217" s="34"/>
      <c r="AB217" s="40"/>
      <c r="AC217" s="40" t="s">
        <v>144</v>
      </c>
      <c r="AD217" s="34" t="s">
        <v>859</v>
      </c>
      <c r="AE217" s="34"/>
      <c r="AF217" s="34" t="s">
        <v>860</v>
      </c>
      <c r="AG217" s="41">
        <v>2</v>
      </c>
      <c r="AH217" s="41">
        <v>3</v>
      </c>
      <c r="AI217" s="33">
        <f t="shared" si="29"/>
        <v>6</v>
      </c>
      <c r="AJ217" s="33" t="str">
        <f t="shared" si="30"/>
        <v>MEDIO</v>
      </c>
      <c r="AK217" s="33">
        <v>10</v>
      </c>
      <c r="AL217" s="33">
        <f t="shared" si="32"/>
        <v>60</v>
      </c>
      <c r="AM217" s="33" t="str">
        <f t="shared" si="37"/>
        <v>RIESGO ACEPTABLE</v>
      </c>
      <c r="AN217" s="34"/>
      <c r="AO217" s="40"/>
      <c r="AP217" s="40" t="s">
        <v>861</v>
      </c>
      <c r="AQ217" s="34" t="s">
        <v>862</v>
      </c>
      <c r="AR217" s="34"/>
      <c r="AS217" s="61" t="s">
        <v>860</v>
      </c>
      <c r="EQ217" s="15"/>
      <c r="ER217" s="15"/>
      <c r="ES217" s="15"/>
      <c r="ET217" s="15"/>
      <c r="EU217" s="15"/>
      <c r="EV217" s="15"/>
    </row>
    <row r="218" spans="1:152" s="8" customFormat="1" ht="67.2" x14ac:dyDescent="0.25">
      <c r="A218" s="213"/>
      <c r="B218" s="197"/>
      <c r="C218" s="166"/>
      <c r="D218" s="204"/>
      <c r="E218" s="32" t="s">
        <v>87</v>
      </c>
      <c r="F218" s="152"/>
      <c r="G218" s="32" t="s">
        <v>888</v>
      </c>
      <c r="H218" s="34" t="s">
        <v>183</v>
      </c>
      <c r="I218" s="34" t="s">
        <v>170</v>
      </c>
      <c r="J218" s="34" t="s">
        <v>897</v>
      </c>
      <c r="K218" s="34" t="s">
        <v>104</v>
      </c>
      <c r="L218" s="68" t="s">
        <v>185</v>
      </c>
      <c r="M218" s="73" t="s">
        <v>332</v>
      </c>
      <c r="N218" s="73" t="s">
        <v>875</v>
      </c>
      <c r="O218" s="73" t="s">
        <v>491</v>
      </c>
      <c r="P218" s="70">
        <v>2</v>
      </c>
      <c r="Q218" s="41">
        <v>3</v>
      </c>
      <c r="R218" s="33">
        <f t="shared" si="31"/>
        <v>6</v>
      </c>
      <c r="S218" s="33" t="str">
        <f t="shared" si="33"/>
        <v>MEDIO</v>
      </c>
      <c r="T218" s="33">
        <v>10</v>
      </c>
      <c r="U218" s="75">
        <f t="shared" si="34"/>
        <v>60</v>
      </c>
      <c r="V218" s="33" t="str">
        <f t="shared" si="36"/>
        <v>lll</v>
      </c>
      <c r="W218" s="74" t="str">
        <f t="shared" si="35"/>
        <v>SI</v>
      </c>
      <c r="X218" s="33">
        <v>45</v>
      </c>
      <c r="Y218" s="31" t="s">
        <v>178</v>
      </c>
      <c r="Z218" s="33" t="s">
        <v>87</v>
      </c>
      <c r="AA218" s="34"/>
      <c r="AB218" s="40"/>
      <c r="AC218" s="40" t="s">
        <v>898</v>
      </c>
      <c r="AD218" s="34" t="s">
        <v>899</v>
      </c>
      <c r="AE218" s="34" t="s">
        <v>900</v>
      </c>
      <c r="AF218" s="34" t="s">
        <v>901</v>
      </c>
      <c r="AG218" s="41">
        <v>2</v>
      </c>
      <c r="AH218" s="41">
        <v>3</v>
      </c>
      <c r="AI218" s="33">
        <f t="shared" si="29"/>
        <v>6</v>
      </c>
      <c r="AJ218" s="33" t="str">
        <f t="shared" si="30"/>
        <v>MEDIO</v>
      </c>
      <c r="AK218" s="33">
        <v>60</v>
      </c>
      <c r="AL218" s="33">
        <f t="shared" si="32"/>
        <v>360</v>
      </c>
      <c r="AM218" s="33" t="str">
        <f t="shared" si="37"/>
        <v xml:space="preserve"> RIESGO ACEPTABLE CON CONTROL ESPECIFICO</v>
      </c>
      <c r="AN218" s="34"/>
      <c r="AO218" s="40"/>
      <c r="AP218" s="40" t="s">
        <v>902</v>
      </c>
      <c r="AQ218" s="34" t="s">
        <v>903</v>
      </c>
      <c r="AR218" s="34" t="s">
        <v>900</v>
      </c>
      <c r="AS218" s="61" t="s">
        <v>901</v>
      </c>
      <c r="EQ218" s="15"/>
      <c r="ER218" s="15"/>
      <c r="ES218" s="15"/>
      <c r="ET218" s="15"/>
      <c r="EU218" s="15"/>
      <c r="EV218" s="15"/>
    </row>
    <row r="219" spans="1:152" s="8" customFormat="1" ht="67.2" x14ac:dyDescent="0.25">
      <c r="A219" s="213"/>
      <c r="B219" s="197"/>
      <c r="C219" s="166"/>
      <c r="D219" s="204"/>
      <c r="E219" s="32" t="s">
        <v>87</v>
      </c>
      <c r="F219" s="152"/>
      <c r="G219" s="32" t="s">
        <v>888</v>
      </c>
      <c r="H219" s="34" t="s">
        <v>227</v>
      </c>
      <c r="I219" s="32" t="s">
        <v>1245</v>
      </c>
      <c r="J219" s="47" t="s">
        <v>904</v>
      </c>
      <c r="K219" s="32" t="s">
        <v>104</v>
      </c>
      <c r="L219" s="68" t="s">
        <v>229</v>
      </c>
      <c r="M219" s="73" t="s">
        <v>332</v>
      </c>
      <c r="N219" s="73" t="s">
        <v>875</v>
      </c>
      <c r="O219" s="73" t="s">
        <v>503</v>
      </c>
      <c r="P219" s="70">
        <v>2</v>
      </c>
      <c r="Q219" s="41">
        <v>3</v>
      </c>
      <c r="R219" s="33">
        <f t="shared" si="31"/>
        <v>6</v>
      </c>
      <c r="S219" s="33" t="str">
        <f t="shared" si="33"/>
        <v>MEDIO</v>
      </c>
      <c r="T219" s="33">
        <v>10</v>
      </c>
      <c r="U219" s="75">
        <f t="shared" si="34"/>
        <v>60</v>
      </c>
      <c r="V219" s="33" t="str">
        <f t="shared" si="36"/>
        <v>lll</v>
      </c>
      <c r="W219" s="74" t="str">
        <f t="shared" si="35"/>
        <v>SI</v>
      </c>
      <c r="X219" s="33">
        <v>45</v>
      </c>
      <c r="Y219" s="31" t="s">
        <v>163</v>
      </c>
      <c r="Z219" s="33" t="s">
        <v>87</v>
      </c>
      <c r="AA219" s="34"/>
      <c r="AB219" s="40"/>
      <c r="AC219" s="40"/>
      <c r="AD219" s="34" t="s">
        <v>905</v>
      </c>
      <c r="AE219" s="34" t="s">
        <v>867</v>
      </c>
      <c r="AF219" s="34" t="s">
        <v>868</v>
      </c>
      <c r="AG219" s="41">
        <v>2</v>
      </c>
      <c r="AH219" s="41">
        <v>3</v>
      </c>
      <c r="AI219" s="33">
        <f t="shared" si="29"/>
        <v>6</v>
      </c>
      <c r="AJ219" s="33" t="str">
        <f t="shared" si="30"/>
        <v>MEDIO</v>
      </c>
      <c r="AK219" s="33">
        <v>10</v>
      </c>
      <c r="AL219" s="33">
        <f t="shared" si="32"/>
        <v>60</v>
      </c>
      <c r="AM219" s="33" t="str">
        <f t="shared" si="37"/>
        <v>RIESGO ACEPTABLE</v>
      </c>
      <c r="AN219" s="34"/>
      <c r="AO219" s="40"/>
      <c r="AP219" s="40"/>
      <c r="AQ219" s="34" t="s">
        <v>906</v>
      </c>
      <c r="AR219" s="34" t="s">
        <v>867</v>
      </c>
      <c r="AS219" s="61" t="s">
        <v>235</v>
      </c>
      <c r="EQ219" s="15"/>
      <c r="ER219" s="15"/>
      <c r="ES219" s="15"/>
      <c r="ET219" s="15"/>
      <c r="EU219" s="15"/>
      <c r="EV219" s="15"/>
    </row>
    <row r="220" spans="1:152" s="8" customFormat="1" ht="67.2" x14ac:dyDescent="0.25">
      <c r="A220" s="213"/>
      <c r="B220" s="197"/>
      <c r="C220" s="166"/>
      <c r="D220" s="204"/>
      <c r="E220" s="32" t="s">
        <v>87</v>
      </c>
      <c r="F220" s="152"/>
      <c r="G220" s="32" t="s">
        <v>888</v>
      </c>
      <c r="H220" s="34" t="s">
        <v>246</v>
      </c>
      <c r="I220" s="32" t="s">
        <v>1234</v>
      </c>
      <c r="J220" s="32" t="s">
        <v>435</v>
      </c>
      <c r="K220" s="32" t="s">
        <v>248</v>
      </c>
      <c r="L220" s="68" t="s">
        <v>249</v>
      </c>
      <c r="M220" s="73" t="s">
        <v>332</v>
      </c>
      <c r="N220" s="73" t="s">
        <v>875</v>
      </c>
      <c r="O220" s="73" t="s">
        <v>250</v>
      </c>
      <c r="P220" s="70">
        <v>2</v>
      </c>
      <c r="Q220" s="41">
        <v>2</v>
      </c>
      <c r="R220" s="33">
        <f t="shared" si="31"/>
        <v>4</v>
      </c>
      <c r="S220" s="33" t="str">
        <f t="shared" si="33"/>
        <v>BAJO</v>
      </c>
      <c r="T220" s="33">
        <v>10</v>
      </c>
      <c r="U220" s="75">
        <f t="shared" si="34"/>
        <v>40</v>
      </c>
      <c r="V220" s="33" t="str">
        <f t="shared" si="36"/>
        <v>lll</v>
      </c>
      <c r="W220" s="74" t="str">
        <f t="shared" si="35"/>
        <v>SI</v>
      </c>
      <c r="X220" s="33">
        <v>45</v>
      </c>
      <c r="Y220" s="31" t="s">
        <v>251</v>
      </c>
      <c r="Z220" s="33" t="s">
        <v>87</v>
      </c>
      <c r="AA220" s="34"/>
      <c r="AB220" s="40"/>
      <c r="AC220" s="40"/>
      <c r="AD220" s="34" t="s">
        <v>853</v>
      </c>
      <c r="AE220" s="34" t="s">
        <v>854</v>
      </c>
      <c r="AF220" s="34" t="s">
        <v>855</v>
      </c>
      <c r="AG220" s="41">
        <v>2</v>
      </c>
      <c r="AH220" s="41">
        <v>2</v>
      </c>
      <c r="AI220" s="33">
        <f t="shared" si="29"/>
        <v>4</v>
      </c>
      <c r="AJ220" s="33" t="str">
        <f t="shared" si="30"/>
        <v>BAJO</v>
      </c>
      <c r="AK220" s="33">
        <v>10</v>
      </c>
      <c r="AL220" s="33">
        <f t="shared" si="32"/>
        <v>40</v>
      </c>
      <c r="AM220" s="33" t="str">
        <f t="shared" si="37"/>
        <v>RIESGO ACEPTABLE</v>
      </c>
      <c r="AN220" s="34"/>
      <c r="AO220" s="40"/>
      <c r="AP220" s="40"/>
      <c r="AQ220" s="34" t="s">
        <v>907</v>
      </c>
      <c r="AR220" s="34" t="s">
        <v>854</v>
      </c>
      <c r="AS220" s="61" t="s">
        <v>1295</v>
      </c>
      <c r="EQ220" s="15"/>
      <c r="ER220" s="15"/>
      <c r="ES220" s="15"/>
      <c r="ET220" s="15"/>
      <c r="EU220" s="15"/>
      <c r="EV220" s="15"/>
    </row>
    <row r="221" spans="1:152" s="8" customFormat="1" ht="67.2" x14ac:dyDescent="0.25">
      <c r="A221" s="213"/>
      <c r="B221" s="197"/>
      <c r="C221" s="166"/>
      <c r="D221" s="204"/>
      <c r="E221" s="32" t="s">
        <v>87</v>
      </c>
      <c r="F221" s="152"/>
      <c r="G221" s="32" t="s">
        <v>888</v>
      </c>
      <c r="H221" s="34" t="s">
        <v>246</v>
      </c>
      <c r="I221" s="32" t="s">
        <v>1234</v>
      </c>
      <c r="J221" s="32" t="s">
        <v>247</v>
      </c>
      <c r="K221" s="32" t="s">
        <v>248</v>
      </c>
      <c r="L221" s="68" t="s">
        <v>249</v>
      </c>
      <c r="M221" s="73" t="s">
        <v>332</v>
      </c>
      <c r="N221" s="73" t="s">
        <v>875</v>
      </c>
      <c r="O221" s="73" t="s">
        <v>250</v>
      </c>
      <c r="P221" s="70">
        <v>2</v>
      </c>
      <c r="Q221" s="41">
        <v>2</v>
      </c>
      <c r="R221" s="33">
        <f t="shared" si="31"/>
        <v>4</v>
      </c>
      <c r="S221" s="33" t="str">
        <f t="shared" si="33"/>
        <v>BAJO</v>
      </c>
      <c r="T221" s="33">
        <v>10</v>
      </c>
      <c r="U221" s="75">
        <f t="shared" si="34"/>
        <v>40</v>
      </c>
      <c r="V221" s="33" t="str">
        <f t="shared" si="36"/>
        <v>lll</v>
      </c>
      <c r="W221" s="74" t="str">
        <f t="shared" si="35"/>
        <v>SI</v>
      </c>
      <c r="X221" s="33">
        <v>45</v>
      </c>
      <c r="Y221" s="31" t="s">
        <v>251</v>
      </c>
      <c r="Z221" s="33" t="s">
        <v>87</v>
      </c>
      <c r="AA221" s="34"/>
      <c r="AB221" s="40"/>
      <c r="AC221" s="40"/>
      <c r="AD221" s="34" t="s">
        <v>252</v>
      </c>
      <c r="AE221" s="34"/>
      <c r="AF221" s="34"/>
      <c r="AG221" s="41">
        <v>2</v>
      </c>
      <c r="AH221" s="41">
        <v>2</v>
      </c>
      <c r="AI221" s="33">
        <f t="shared" si="29"/>
        <v>4</v>
      </c>
      <c r="AJ221" s="33" t="str">
        <f t="shared" si="30"/>
        <v>BAJO</v>
      </c>
      <c r="AK221" s="33">
        <v>10</v>
      </c>
      <c r="AL221" s="33">
        <f t="shared" si="32"/>
        <v>40</v>
      </c>
      <c r="AM221" s="33" t="str">
        <f t="shared" si="37"/>
        <v>RIESGO ACEPTABLE</v>
      </c>
      <c r="AN221" s="34"/>
      <c r="AO221" s="40"/>
      <c r="AP221" s="40"/>
      <c r="AQ221" s="34" t="s">
        <v>252</v>
      </c>
      <c r="AR221" s="34"/>
      <c r="AS221" s="61"/>
      <c r="EQ221" s="15"/>
      <c r="ER221" s="15"/>
      <c r="ES221" s="15"/>
      <c r="ET221" s="15"/>
      <c r="EU221" s="15"/>
      <c r="EV221" s="15"/>
    </row>
    <row r="222" spans="1:152" s="8" customFormat="1" ht="67.2" x14ac:dyDescent="0.25">
      <c r="A222" s="213"/>
      <c r="B222" s="197"/>
      <c r="C222" s="166"/>
      <c r="D222" s="204"/>
      <c r="E222" s="32" t="s">
        <v>87</v>
      </c>
      <c r="F222" s="152"/>
      <c r="G222" s="32" t="s">
        <v>888</v>
      </c>
      <c r="H222" s="34" t="s">
        <v>157</v>
      </c>
      <c r="I222" s="32" t="s">
        <v>1245</v>
      </c>
      <c r="J222" s="47" t="s">
        <v>865</v>
      </c>
      <c r="K222" s="32" t="s">
        <v>104</v>
      </c>
      <c r="L222" s="68" t="s">
        <v>160</v>
      </c>
      <c r="M222" s="73" t="s">
        <v>332</v>
      </c>
      <c r="N222" s="73" t="s">
        <v>875</v>
      </c>
      <c r="O222" s="73" t="s">
        <v>503</v>
      </c>
      <c r="P222" s="70">
        <v>2</v>
      </c>
      <c r="Q222" s="41">
        <v>3</v>
      </c>
      <c r="R222" s="33">
        <f t="shared" si="31"/>
        <v>6</v>
      </c>
      <c r="S222" s="33" t="str">
        <f t="shared" si="33"/>
        <v>MEDIO</v>
      </c>
      <c r="T222" s="33">
        <v>10</v>
      </c>
      <c r="U222" s="75">
        <f t="shared" si="34"/>
        <v>60</v>
      </c>
      <c r="V222" s="33" t="str">
        <f t="shared" si="36"/>
        <v>lll</v>
      </c>
      <c r="W222" s="74" t="str">
        <f t="shared" si="35"/>
        <v>SI</v>
      </c>
      <c r="X222" s="33">
        <v>45</v>
      </c>
      <c r="Y222" s="31" t="s">
        <v>163</v>
      </c>
      <c r="Z222" s="33" t="s">
        <v>87</v>
      </c>
      <c r="AA222" s="34"/>
      <c r="AB222" s="40"/>
      <c r="AC222" s="40"/>
      <c r="AD222" s="34" t="s">
        <v>866</v>
      </c>
      <c r="AE222" s="34" t="s">
        <v>867</v>
      </c>
      <c r="AF222" s="34" t="s">
        <v>868</v>
      </c>
      <c r="AG222" s="41">
        <v>2</v>
      </c>
      <c r="AH222" s="41">
        <v>3</v>
      </c>
      <c r="AI222" s="33">
        <f t="shared" si="29"/>
        <v>6</v>
      </c>
      <c r="AJ222" s="33" t="str">
        <f t="shared" si="30"/>
        <v>MEDIO</v>
      </c>
      <c r="AK222" s="33">
        <v>10</v>
      </c>
      <c r="AL222" s="33">
        <f t="shared" si="32"/>
        <v>60</v>
      </c>
      <c r="AM222" s="33" t="str">
        <f t="shared" si="37"/>
        <v>RIESGO ACEPTABLE</v>
      </c>
      <c r="AN222" s="34"/>
      <c r="AO222" s="40"/>
      <c r="AP222" s="40"/>
      <c r="AQ222" s="34" t="s">
        <v>906</v>
      </c>
      <c r="AR222" s="34" t="s">
        <v>867</v>
      </c>
      <c r="AS222" s="61" t="s">
        <v>235</v>
      </c>
      <c r="EQ222" s="15"/>
      <c r="ER222" s="15"/>
      <c r="ES222" s="15"/>
      <c r="ET222" s="15"/>
      <c r="EU222" s="15"/>
      <c r="EV222" s="15"/>
    </row>
    <row r="223" spans="1:152" s="8" customFormat="1" ht="67.2" x14ac:dyDescent="0.25">
      <c r="A223" s="213"/>
      <c r="B223" s="197"/>
      <c r="C223" s="166"/>
      <c r="D223" s="204"/>
      <c r="E223" s="32" t="s">
        <v>87</v>
      </c>
      <c r="F223" s="152"/>
      <c r="G223" s="32" t="s">
        <v>888</v>
      </c>
      <c r="H223" s="34" t="s">
        <v>341</v>
      </c>
      <c r="I223" s="32" t="s">
        <v>1245</v>
      </c>
      <c r="J223" s="47" t="s">
        <v>909</v>
      </c>
      <c r="K223" s="40" t="s">
        <v>104</v>
      </c>
      <c r="L223" s="68" t="s">
        <v>336</v>
      </c>
      <c r="M223" s="73" t="s">
        <v>332</v>
      </c>
      <c r="N223" s="73" t="s">
        <v>875</v>
      </c>
      <c r="O223" s="73" t="s">
        <v>343</v>
      </c>
      <c r="P223" s="70">
        <v>2</v>
      </c>
      <c r="Q223" s="41">
        <v>3</v>
      </c>
      <c r="R223" s="33">
        <f t="shared" si="31"/>
        <v>6</v>
      </c>
      <c r="S223" s="33" t="str">
        <f t="shared" si="33"/>
        <v>MEDIO</v>
      </c>
      <c r="T223" s="33">
        <v>10</v>
      </c>
      <c r="U223" s="75">
        <f t="shared" si="34"/>
        <v>60</v>
      </c>
      <c r="V223" s="33" t="str">
        <f t="shared" si="36"/>
        <v>lll</v>
      </c>
      <c r="W223" s="74" t="str">
        <f t="shared" si="35"/>
        <v>SI</v>
      </c>
      <c r="X223" s="33">
        <v>45</v>
      </c>
      <c r="Y223" s="31" t="s">
        <v>178</v>
      </c>
      <c r="Z223" s="33" t="s">
        <v>87</v>
      </c>
      <c r="AA223" s="34"/>
      <c r="AB223" s="40"/>
      <c r="AC223" s="40"/>
      <c r="AD223" s="34" t="s">
        <v>866</v>
      </c>
      <c r="AE223" s="34" t="s">
        <v>867</v>
      </c>
      <c r="AF223" s="34" t="s">
        <v>868</v>
      </c>
      <c r="AG223" s="41">
        <v>2</v>
      </c>
      <c r="AH223" s="41">
        <v>3</v>
      </c>
      <c r="AI223" s="33">
        <f t="shared" si="29"/>
        <v>6</v>
      </c>
      <c r="AJ223" s="33" t="str">
        <f t="shared" si="30"/>
        <v>MEDIO</v>
      </c>
      <c r="AK223" s="33">
        <v>10</v>
      </c>
      <c r="AL223" s="33">
        <f t="shared" si="32"/>
        <v>60</v>
      </c>
      <c r="AM223" s="33" t="str">
        <f t="shared" si="37"/>
        <v>RIESGO ACEPTABLE</v>
      </c>
      <c r="AN223" s="34"/>
      <c r="AO223" s="40"/>
      <c r="AP223" s="40"/>
      <c r="AQ223" s="34" t="s">
        <v>906</v>
      </c>
      <c r="AR223" s="34" t="s">
        <v>867</v>
      </c>
      <c r="AS223" s="61" t="s">
        <v>235</v>
      </c>
      <c r="EQ223" s="15"/>
      <c r="ER223" s="15"/>
      <c r="ES223" s="15"/>
      <c r="ET223" s="15"/>
      <c r="EU223" s="15"/>
      <c r="EV223" s="15"/>
    </row>
    <row r="224" spans="1:152" s="8" customFormat="1" ht="67.2" x14ac:dyDescent="0.25">
      <c r="A224" s="213"/>
      <c r="B224" s="197"/>
      <c r="C224" s="166"/>
      <c r="D224" s="204"/>
      <c r="E224" s="32" t="s">
        <v>87</v>
      </c>
      <c r="F224" s="152"/>
      <c r="G224" s="32" t="s">
        <v>888</v>
      </c>
      <c r="H224" s="34" t="s">
        <v>128</v>
      </c>
      <c r="I224" s="32" t="s">
        <v>1235</v>
      </c>
      <c r="J224" s="32" t="s">
        <v>910</v>
      </c>
      <c r="K224" s="32" t="s">
        <v>248</v>
      </c>
      <c r="L224" s="68" t="s">
        <v>131</v>
      </c>
      <c r="M224" s="73" t="s">
        <v>332</v>
      </c>
      <c r="N224" s="73" t="s">
        <v>875</v>
      </c>
      <c r="O224" s="73" t="s">
        <v>132</v>
      </c>
      <c r="P224" s="70">
        <v>2</v>
      </c>
      <c r="Q224" s="41">
        <v>3</v>
      </c>
      <c r="R224" s="33">
        <f t="shared" si="31"/>
        <v>6</v>
      </c>
      <c r="S224" s="33" t="str">
        <f t="shared" si="33"/>
        <v>MEDIO</v>
      </c>
      <c r="T224" s="33">
        <v>10</v>
      </c>
      <c r="U224" s="75">
        <f t="shared" si="34"/>
        <v>60</v>
      </c>
      <c r="V224" s="33" t="str">
        <f t="shared" si="36"/>
        <v>lll</v>
      </c>
      <c r="W224" s="74" t="str">
        <f t="shared" si="35"/>
        <v>SI</v>
      </c>
      <c r="X224" s="33">
        <v>45</v>
      </c>
      <c r="Y224" s="31" t="s">
        <v>133</v>
      </c>
      <c r="Z224" s="33" t="s">
        <v>87</v>
      </c>
      <c r="AA224" s="34"/>
      <c r="AB224" s="40"/>
      <c r="AC224" s="40"/>
      <c r="AD224" s="34" t="s">
        <v>911</v>
      </c>
      <c r="AE224" s="34"/>
      <c r="AF224" s="34" t="s">
        <v>912</v>
      </c>
      <c r="AG224" s="41">
        <v>2</v>
      </c>
      <c r="AH224" s="41">
        <v>3</v>
      </c>
      <c r="AI224" s="33">
        <f t="shared" si="29"/>
        <v>6</v>
      </c>
      <c r="AJ224" s="33" t="str">
        <f t="shared" si="30"/>
        <v>MEDIO</v>
      </c>
      <c r="AK224" s="33">
        <v>10</v>
      </c>
      <c r="AL224" s="33">
        <f t="shared" si="32"/>
        <v>60</v>
      </c>
      <c r="AM224" s="33" t="str">
        <f t="shared" si="37"/>
        <v>RIESGO ACEPTABLE</v>
      </c>
      <c r="AN224" s="34"/>
      <c r="AO224" s="40"/>
      <c r="AP224" s="40"/>
      <c r="AQ224" s="34" t="s">
        <v>136</v>
      </c>
      <c r="AR224" s="34" t="s">
        <v>913</v>
      </c>
      <c r="AS224" s="61" t="s">
        <v>880</v>
      </c>
      <c r="EQ224" s="15"/>
      <c r="ER224" s="15"/>
      <c r="ES224" s="15"/>
      <c r="ET224" s="15"/>
      <c r="EU224" s="15"/>
      <c r="EV224" s="15"/>
    </row>
    <row r="225" spans="1:152" s="8" customFormat="1" ht="67.2" x14ac:dyDescent="0.25">
      <c r="A225" s="213"/>
      <c r="B225" s="197"/>
      <c r="C225" s="166"/>
      <c r="D225" s="204"/>
      <c r="E225" s="32" t="s">
        <v>87</v>
      </c>
      <c r="F225" s="152"/>
      <c r="G225" s="32" t="s">
        <v>888</v>
      </c>
      <c r="H225" s="34" t="s">
        <v>191</v>
      </c>
      <c r="I225" s="32" t="s">
        <v>170</v>
      </c>
      <c r="J225" s="32" t="s">
        <v>914</v>
      </c>
      <c r="K225" s="32" t="s">
        <v>248</v>
      </c>
      <c r="L225" s="68" t="s">
        <v>193</v>
      </c>
      <c r="M225" s="73" t="s">
        <v>332</v>
      </c>
      <c r="N225" s="73" t="s">
        <v>875</v>
      </c>
      <c r="O225" s="73" t="s">
        <v>491</v>
      </c>
      <c r="P225" s="70">
        <v>2</v>
      </c>
      <c r="Q225" s="41">
        <v>3</v>
      </c>
      <c r="R225" s="33">
        <f t="shared" si="31"/>
        <v>6</v>
      </c>
      <c r="S225" s="33" t="str">
        <f t="shared" si="33"/>
        <v>MEDIO</v>
      </c>
      <c r="T225" s="33">
        <v>10</v>
      </c>
      <c r="U225" s="75">
        <f t="shared" si="34"/>
        <v>60</v>
      </c>
      <c r="V225" s="33" t="str">
        <f t="shared" si="36"/>
        <v>lll</v>
      </c>
      <c r="W225" s="74" t="str">
        <f t="shared" si="35"/>
        <v>SI</v>
      </c>
      <c r="X225" s="33">
        <v>45</v>
      </c>
      <c r="Y225" s="31" t="s">
        <v>195</v>
      </c>
      <c r="Z225" s="33" t="s">
        <v>87</v>
      </c>
      <c r="AA225" s="34"/>
      <c r="AB225" s="40"/>
      <c r="AC225" s="40" t="s">
        <v>898</v>
      </c>
      <c r="AD225" s="34" t="s">
        <v>899</v>
      </c>
      <c r="AE225" s="34" t="s">
        <v>900</v>
      </c>
      <c r="AF225" s="34" t="s">
        <v>901</v>
      </c>
      <c r="AG225" s="41">
        <v>2</v>
      </c>
      <c r="AH225" s="41">
        <v>3</v>
      </c>
      <c r="AI225" s="33">
        <f t="shared" ref="AI225:AI292" si="38">AG225*AH225</f>
        <v>6</v>
      </c>
      <c r="AJ225" s="33" t="str">
        <f t="shared" ref="AJ225:AJ292" si="39">IF(AND(AI225&gt;=0,AI225&lt;=4),"BAJO",IF(AND(AI225&gt;=6,AI225&lt;=8),"MEDIO",IF(AND(AI225&gt;=10,AI225&lt;=20),"ALTO",IF(AND(AI225&gt;=24,AI225&lt;=40),"MUY ALTO"))))</f>
        <v>MEDIO</v>
      </c>
      <c r="AK225" s="33">
        <v>10</v>
      </c>
      <c r="AL225" s="33">
        <f t="shared" si="32"/>
        <v>60</v>
      </c>
      <c r="AM225" s="33" t="str">
        <f t="shared" si="37"/>
        <v>RIESGO ACEPTABLE</v>
      </c>
      <c r="AN225" s="34"/>
      <c r="AO225" s="40"/>
      <c r="AP225" s="40" t="s">
        <v>902</v>
      </c>
      <c r="AQ225" s="34" t="s">
        <v>903</v>
      </c>
      <c r="AR225" s="34" t="s">
        <v>900</v>
      </c>
      <c r="AS225" s="61" t="s">
        <v>901</v>
      </c>
      <c r="EQ225" s="15"/>
      <c r="ER225" s="15"/>
      <c r="ES225" s="15"/>
      <c r="ET225" s="15"/>
      <c r="EU225" s="15"/>
      <c r="EV225" s="15"/>
    </row>
    <row r="226" spans="1:152" s="8" customFormat="1" ht="67.2" x14ac:dyDescent="0.25">
      <c r="A226" s="213"/>
      <c r="B226" s="197"/>
      <c r="C226" s="166"/>
      <c r="D226" s="204"/>
      <c r="E226" s="32" t="s">
        <v>87</v>
      </c>
      <c r="F226" s="152"/>
      <c r="G226" s="32" t="s">
        <v>888</v>
      </c>
      <c r="H226" s="34" t="s">
        <v>393</v>
      </c>
      <c r="I226" s="32" t="s">
        <v>1241</v>
      </c>
      <c r="J226" s="32" t="s">
        <v>874</v>
      </c>
      <c r="K226" s="40" t="s">
        <v>104</v>
      </c>
      <c r="L226" s="68" t="s">
        <v>395</v>
      </c>
      <c r="M226" s="73" t="s">
        <v>332</v>
      </c>
      <c r="N226" s="73" t="s">
        <v>875</v>
      </c>
      <c r="O226" s="73" t="s">
        <v>396</v>
      </c>
      <c r="P226" s="70">
        <v>2</v>
      </c>
      <c r="Q226" s="41">
        <v>1</v>
      </c>
      <c r="R226" s="33">
        <f t="shared" si="31"/>
        <v>2</v>
      </c>
      <c r="S226" s="33" t="str">
        <f t="shared" si="33"/>
        <v>BAJO</v>
      </c>
      <c r="T226" s="33">
        <v>10</v>
      </c>
      <c r="U226" s="75">
        <f t="shared" si="34"/>
        <v>20</v>
      </c>
      <c r="V226" s="33" t="str">
        <f t="shared" si="36"/>
        <v xml:space="preserve">IV </v>
      </c>
      <c r="W226" s="74" t="s">
        <v>87</v>
      </c>
      <c r="X226" s="33">
        <v>45</v>
      </c>
      <c r="Y226" s="31" t="s">
        <v>397</v>
      </c>
      <c r="Z226" s="33" t="s">
        <v>87</v>
      </c>
      <c r="AA226" s="34"/>
      <c r="AB226" s="40"/>
      <c r="AC226" s="40" t="s">
        <v>876</v>
      </c>
      <c r="AD226" s="34" t="s">
        <v>877</v>
      </c>
      <c r="AE226" s="34"/>
      <c r="AF226" s="34" t="s">
        <v>878</v>
      </c>
      <c r="AG226" s="41">
        <v>2</v>
      </c>
      <c r="AH226" s="41">
        <v>4</v>
      </c>
      <c r="AI226" s="33">
        <f t="shared" si="38"/>
        <v>8</v>
      </c>
      <c r="AJ226" s="33" t="str">
        <f t="shared" si="39"/>
        <v>MEDIO</v>
      </c>
      <c r="AK226" s="33">
        <v>10</v>
      </c>
      <c r="AL226" s="33">
        <f t="shared" si="32"/>
        <v>80</v>
      </c>
      <c r="AM226" s="33" t="str">
        <f t="shared" si="37"/>
        <v>RIESGO ACEPTABLE</v>
      </c>
      <c r="AN226" s="34"/>
      <c r="AO226" s="40"/>
      <c r="AP226" s="40" t="s">
        <v>915</v>
      </c>
      <c r="AQ226" s="34" t="s">
        <v>916</v>
      </c>
      <c r="AR226" s="34"/>
      <c r="AS226" s="61" t="s">
        <v>878</v>
      </c>
      <c r="EQ226" s="15"/>
      <c r="ER226" s="15"/>
      <c r="ES226" s="15"/>
      <c r="ET226" s="15"/>
      <c r="EU226" s="15"/>
      <c r="EV226" s="15"/>
    </row>
    <row r="227" spans="1:152" s="8" customFormat="1" ht="76.8" x14ac:dyDescent="0.25">
      <c r="A227" s="213"/>
      <c r="B227" s="197"/>
      <c r="C227" s="166"/>
      <c r="D227" s="204"/>
      <c r="E227" s="32" t="s">
        <v>87</v>
      </c>
      <c r="F227" s="152"/>
      <c r="G227" s="32" t="s">
        <v>888</v>
      </c>
      <c r="H227" s="34" t="s">
        <v>79</v>
      </c>
      <c r="I227" s="32" t="s">
        <v>1250</v>
      </c>
      <c r="J227" s="47" t="s">
        <v>447</v>
      </c>
      <c r="K227" s="32" t="s">
        <v>104</v>
      </c>
      <c r="L227" s="68" t="s">
        <v>448</v>
      </c>
      <c r="M227" s="73" t="s">
        <v>332</v>
      </c>
      <c r="N227" s="73" t="s">
        <v>875</v>
      </c>
      <c r="O227" s="7" t="s">
        <v>85</v>
      </c>
      <c r="P227" s="70">
        <v>2</v>
      </c>
      <c r="Q227" s="41">
        <v>3</v>
      </c>
      <c r="R227" s="33">
        <f t="shared" si="31"/>
        <v>6</v>
      </c>
      <c r="S227" s="33" t="str">
        <f t="shared" si="33"/>
        <v>MEDIO</v>
      </c>
      <c r="T227" s="33">
        <v>25</v>
      </c>
      <c r="U227" s="75">
        <f t="shared" si="34"/>
        <v>150</v>
      </c>
      <c r="V227" s="33" t="str">
        <f t="shared" si="36"/>
        <v>ll</v>
      </c>
      <c r="W227" s="74" t="str">
        <f t="shared" si="35"/>
        <v>NO</v>
      </c>
      <c r="X227" s="33">
        <v>45</v>
      </c>
      <c r="Y227" s="31" t="s">
        <v>86</v>
      </c>
      <c r="Z227" s="33" t="s">
        <v>87</v>
      </c>
      <c r="AA227" s="34"/>
      <c r="AB227" s="40"/>
      <c r="AC227" s="40"/>
      <c r="AD227" s="34" t="s">
        <v>881</v>
      </c>
      <c r="AE227" s="34" t="s">
        <v>882</v>
      </c>
      <c r="AF227" s="34" t="s">
        <v>883</v>
      </c>
      <c r="AG227" s="41">
        <v>2</v>
      </c>
      <c r="AH227" s="41">
        <v>3</v>
      </c>
      <c r="AI227" s="33">
        <f t="shared" si="38"/>
        <v>6</v>
      </c>
      <c r="AJ227" s="33" t="str">
        <f t="shared" si="39"/>
        <v>MEDIO</v>
      </c>
      <c r="AK227" s="33">
        <v>10</v>
      </c>
      <c r="AL227" s="33">
        <f t="shared" si="32"/>
        <v>60</v>
      </c>
      <c r="AM227" s="33" t="str">
        <f t="shared" si="37"/>
        <v>RIESGO ACEPTABLE</v>
      </c>
      <c r="AN227" s="34"/>
      <c r="AO227" s="40"/>
      <c r="AP227" s="34"/>
      <c r="AQ227" s="34" t="s">
        <v>884</v>
      </c>
      <c r="AR227" s="34" t="s">
        <v>882</v>
      </c>
      <c r="AS227" s="61" t="s">
        <v>883</v>
      </c>
      <c r="EQ227" s="15"/>
      <c r="ER227" s="15"/>
      <c r="ES227" s="15"/>
      <c r="ET227" s="15"/>
      <c r="EU227" s="15"/>
      <c r="EV227" s="15"/>
    </row>
    <row r="228" spans="1:152" s="8" customFormat="1" ht="57.6" x14ac:dyDescent="0.25">
      <c r="A228" s="213"/>
      <c r="B228" s="197"/>
      <c r="C228" s="166"/>
      <c r="D228" s="204"/>
      <c r="E228" s="32" t="s">
        <v>87</v>
      </c>
      <c r="F228" s="152"/>
      <c r="G228" s="32" t="s">
        <v>888</v>
      </c>
      <c r="H228" s="34" t="s">
        <v>253</v>
      </c>
      <c r="I228" s="32" t="s">
        <v>1241</v>
      </c>
      <c r="J228" s="32" t="s">
        <v>917</v>
      </c>
      <c r="K228" s="34" t="s">
        <v>104</v>
      </c>
      <c r="L228" s="68" t="s">
        <v>255</v>
      </c>
      <c r="M228" s="73" t="s">
        <v>332</v>
      </c>
      <c r="N228" s="73" t="s">
        <v>161</v>
      </c>
      <c r="O228" s="73" t="s">
        <v>256</v>
      </c>
      <c r="P228" s="70">
        <v>6</v>
      </c>
      <c r="Q228" s="41">
        <v>2</v>
      </c>
      <c r="R228" s="33">
        <f t="shared" si="31"/>
        <v>12</v>
      </c>
      <c r="S228" s="33" t="str">
        <f t="shared" si="33"/>
        <v>ALTO</v>
      </c>
      <c r="T228" s="33">
        <v>60</v>
      </c>
      <c r="U228" s="75">
        <f t="shared" si="34"/>
        <v>720</v>
      </c>
      <c r="V228" s="33" t="str">
        <f t="shared" si="36"/>
        <v>l</v>
      </c>
      <c r="W228" s="74" t="str">
        <f t="shared" si="35"/>
        <v>NO</v>
      </c>
      <c r="X228" s="33">
        <v>45</v>
      </c>
      <c r="Y228" s="31" t="s">
        <v>257</v>
      </c>
      <c r="Z228" s="33" t="s">
        <v>87</v>
      </c>
      <c r="AA228" s="34"/>
      <c r="AB228" s="40"/>
      <c r="AC228" s="34" t="s">
        <v>918</v>
      </c>
      <c r="AD228" s="34" t="s">
        <v>919</v>
      </c>
      <c r="AE228" s="34" t="s">
        <v>190</v>
      </c>
      <c r="AF228" s="34"/>
      <c r="AG228" s="41">
        <v>2</v>
      </c>
      <c r="AH228" s="41">
        <v>3</v>
      </c>
      <c r="AI228" s="33">
        <f t="shared" si="38"/>
        <v>6</v>
      </c>
      <c r="AJ228" s="33" t="str">
        <f t="shared" si="39"/>
        <v>MEDIO</v>
      </c>
      <c r="AK228" s="33">
        <v>10</v>
      </c>
      <c r="AL228" s="33">
        <f t="shared" si="32"/>
        <v>60</v>
      </c>
      <c r="AM228" s="33" t="str">
        <f t="shared" si="37"/>
        <v>RIESGO ACEPTABLE</v>
      </c>
      <c r="AN228" s="34"/>
      <c r="AO228" s="40"/>
      <c r="AP228" s="40" t="s">
        <v>920</v>
      </c>
      <c r="AQ228" s="34" t="s">
        <v>921</v>
      </c>
      <c r="AR228" s="34" t="s">
        <v>93</v>
      </c>
      <c r="AS228" s="61" t="s">
        <v>842</v>
      </c>
      <c r="EQ228" s="15"/>
      <c r="ER228" s="15"/>
      <c r="ES228" s="15"/>
      <c r="ET228" s="15"/>
      <c r="EU228" s="15"/>
      <c r="EV228" s="15"/>
    </row>
    <row r="229" spans="1:152" s="8" customFormat="1" ht="67.2" x14ac:dyDescent="0.25">
      <c r="A229" s="213"/>
      <c r="B229" s="197"/>
      <c r="C229" s="166"/>
      <c r="D229" s="204"/>
      <c r="E229" s="32" t="s">
        <v>87</v>
      </c>
      <c r="F229" s="152"/>
      <c r="G229" s="32" t="s">
        <v>888</v>
      </c>
      <c r="H229" s="34" t="s">
        <v>631</v>
      </c>
      <c r="I229" s="32" t="s">
        <v>1245</v>
      </c>
      <c r="J229" s="32" t="s">
        <v>922</v>
      </c>
      <c r="K229" s="34" t="s">
        <v>104</v>
      </c>
      <c r="L229" s="68" t="s">
        <v>633</v>
      </c>
      <c r="M229" s="73" t="s">
        <v>332</v>
      </c>
      <c r="N229" s="73" t="s">
        <v>106</v>
      </c>
      <c r="O229" s="73" t="s">
        <v>294</v>
      </c>
      <c r="P229" s="70">
        <v>2</v>
      </c>
      <c r="Q229" s="41">
        <v>3</v>
      </c>
      <c r="R229" s="33">
        <f t="shared" si="31"/>
        <v>6</v>
      </c>
      <c r="S229" s="33" t="str">
        <f t="shared" si="33"/>
        <v>MEDIO</v>
      </c>
      <c r="T229" s="33">
        <v>60</v>
      </c>
      <c r="U229" s="75">
        <f t="shared" si="34"/>
        <v>360</v>
      </c>
      <c r="V229" s="33" t="str">
        <f t="shared" si="36"/>
        <v>ll</v>
      </c>
      <c r="W229" s="74" t="str">
        <f t="shared" si="35"/>
        <v>NO</v>
      </c>
      <c r="X229" s="33">
        <v>45</v>
      </c>
      <c r="Y229" s="31" t="s">
        <v>634</v>
      </c>
      <c r="Z229" s="33" t="s">
        <v>87</v>
      </c>
      <c r="AA229" s="34"/>
      <c r="AB229" s="40"/>
      <c r="AC229" s="34" t="s">
        <v>923</v>
      </c>
      <c r="AD229" s="34" t="s">
        <v>924</v>
      </c>
      <c r="AE229" s="34"/>
      <c r="AF229" s="34"/>
      <c r="AG229" s="41">
        <v>2</v>
      </c>
      <c r="AH229" s="41">
        <v>3</v>
      </c>
      <c r="AI229" s="33">
        <f t="shared" si="38"/>
        <v>6</v>
      </c>
      <c r="AJ229" s="33" t="str">
        <f t="shared" si="39"/>
        <v>MEDIO</v>
      </c>
      <c r="AK229" s="33">
        <v>10</v>
      </c>
      <c r="AL229" s="33">
        <f t="shared" si="32"/>
        <v>60</v>
      </c>
      <c r="AM229" s="33" t="str">
        <f t="shared" si="37"/>
        <v>RIESGO ACEPTABLE</v>
      </c>
      <c r="AN229" s="34"/>
      <c r="AO229" s="40"/>
      <c r="AP229" s="34" t="s">
        <v>923</v>
      </c>
      <c r="AQ229" s="34" t="s">
        <v>925</v>
      </c>
      <c r="AR229" s="34"/>
      <c r="AS229" s="61" t="s">
        <v>729</v>
      </c>
      <c r="EQ229" s="15"/>
      <c r="ER229" s="15"/>
      <c r="ES229" s="15"/>
      <c r="ET229" s="15"/>
      <c r="EU229" s="15"/>
      <c r="EV229" s="15"/>
    </row>
    <row r="230" spans="1:152" s="8" customFormat="1" ht="67.2" x14ac:dyDescent="0.25">
      <c r="A230" s="213"/>
      <c r="B230" s="197"/>
      <c r="C230" s="166"/>
      <c r="D230" s="204"/>
      <c r="E230" s="32" t="s">
        <v>87</v>
      </c>
      <c r="F230" s="152"/>
      <c r="G230" s="32" t="s">
        <v>888</v>
      </c>
      <c r="H230" s="34" t="s">
        <v>198</v>
      </c>
      <c r="I230" s="32" t="s">
        <v>1241</v>
      </c>
      <c r="J230" s="32" t="s">
        <v>926</v>
      </c>
      <c r="K230" s="34" t="s">
        <v>104</v>
      </c>
      <c r="L230" s="68" t="s">
        <v>200</v>
      </c>
      <c r="M230" s="73" t="s">
        <v>332</v>
      </c>
      <c r="N230" s="73" t="s">
        <v>875</v>
      </c>
      <c r="O230" s="73" t="s">
        <v>201</v>
      </c>
      <c r="P230" s="70">
        <v>2</v>
      </c>
      <c r="Q230" s="41">
        <v>3</v>
      </c>
      <c r="R230" s="33">
        <f t="shared" si="31"/>
        <v>6</v>
      </c>
      <c r="S230" s="33" t="str">
        <f t="shared" si="33"/>
        <v>MEDIO</v>
      </c>
      <c r="T230" s="33">
        <v>10</v>
      </c>
      <c r="U230" s="75">
        <f t="shared" si="34"/>
        <v>60</v>
      </c>
      <c r="V230" s="33" t="str">
        <f t="shared" si="36"/>
        <v>lll</v>
      </c>
      <c r="W230" s="74" t="str">
        <f t="shared" si="35"/>
        <v>SI</v>
      </c>
      <c r="X230" s="33">
        <v>45</v>
      </c>
      <c r="Y230" s="31" t="s">
        <v>202</v>
      </c>
      <c r="Z230" s="33" t="s">
        <v>87</v>
      </c>
      <c r="AA230" s="34"/>
      <c r="AB230" s="40"/>
      <c r="AC230" s="34" t="s">
        <v>927</v>
      </c>
      <c r="AD230" s="34" t="s">
        <v>928</v>
      </c>
      <c r="AE230" s="34"/>
      <c r="AF230" s="34" t="s">
        <v>707</v>
      </c>
      <c r="AG230" s="41">
        <v>2</v>
      </c>
      <c r="AH230" s="41">
        <v>3</v>
      </c>
      <c r="AI230" s="33">
        <f t="shared" si="38"/>
        <v>6</v>
      </c>
      <c r="AJ230" s="33" t="str">
        <f t="shared" si="39"/>
        <v>MEDIO</v>
      </c>
      <c r="AK230" s="33">
        <v>10</v>
      </c>
      <c r="AL230" s="33">
        <f t="shared" si="32"/>
        <v>60</v>
      </c>
      <c r="AM230" s="33" t="str">
        <f t="shared" si="37"/>
        <v>RIESGO ACEPTABLE</v>
      </c>
      <c r="AN230" s="34"/>
      <c r="AO230" s="40"/>
      <c r="AP230" s="34" t="s">
        <v>929</v>
      </c>
      <c r="AQ230" s="34" t="s">
        <v>930</v>
      </c>
      <c r="AR230" s="34"/>
      <c r="AS230" s="61" t="s">
        <v>707</v>
      </c>
      <c r="EQ230" s="15"/>
      <c r="ER230" s="15"/>
      <c r="ES230" s="15"/>
      <c r="ET230" s="15"/>
      <c r="EU230" s="15"/>
      <c r="EV230" s="15"/>
    </row>
    <row r="231" spans="1:152" s="8" customFormat="1" ht="67.2" x14ac:dyDescent="0.25">
      <c r="A231" s="213"/>
      <c r="B231" s="197"/>
      <c r="C231" s="217" t="s">
        <v>931</v>
      </c>
      <c r="D231" s="204" t="s">
        <v>932</v>
      </c>
      <c r="E231" s="32" t="s">
        <v>87</v>
      </c>
      <c r="F231" s="152" t="s">
        <v>933</v>
      </c>
      <c r="G231" s="32" t="s">
        <v>934</v>
      </c>
      <c r="H231" s="34" t="s">
        <v>114</v>
      </c>
      <c r="I231" s="32" t="s">
        <v>1241</v>
      </c>
      <c r="J231" s="47" t="s">
        <v>935</v>
      </c>
      <c r="K231" s="32" t="s">
        <v>104</v>
      </c>
      <c r="L231" s="68" t="s">
        <v>117</v>
      </c>
      <c r="M231" s="73" t="s">
        <v>332</v>
      </c>
      <c r="N231" s="73" t="s">
        <v>875</v>
      </c>
      <c r="O231" s="73" t="s">
        <v>936</v>
      </c>
      <c r="P231" s="70">
        <v>2</v>
      </c>
      <c r="Q231" s="41">
        <v>4</v>
      </c>
      <c r="R231" s="33">
        <f t="shared" si="31"/>
        <v>8</v>
      </c>
      <c r="S231" s="33" t="str">
        <f t="shared" si="33"/>
        <v>MEDIO</v>
      </c>
      <c r="T231" s="33">
        <v>10</v>
      </c>
      <c r="U231" s="75">
        <f t="shared" si="34"/>
        <v>80</v>
      </c>
      <c r="V231" s="33" t="str">
        <f t="shared" si="36"/>
        <v>lll</v>
      </c>
      <c r="W231" s="74" t="str">
        <f t="shared" si="35"/>
        <v>SI</v>
      </c>
      <c r="X231" s="33">
        <v>45</v>
      </c>
      <c r="Y231" s="31" t="s">
        <v>119</v>
      </c>
      <c r="Z231" s="33" t="s">
        <v>87</v>
      </c>
      <c r="AA231" s="34"/>
      <c r="AB231" s="40"/>
      <c r="AC231" s="40" t="s">
        <v>937</v>
      </c>
      <c r="AD231" s="34" t="s">
        <v>938</v>
      </c>
      <c r="AE231" s="34" t="s">
        <v>844</v>
      </c>
      <c r="AF231" s="34" t="s">
        <v>1296</v>
      </c>
      <c r="AG231" s="41">
        <v>2</v>
      </c>
      <c r="AH231" s="41">
        <v>4</v>
      </c>
      <c r="AI231" s="33">
        <f t="shared" si="38"/>
        <v>8</v>
      </c>
      <c r="AJ231" s="33" t="str">
        <f t="shared" si="39"/>
        <v>MEDIO</v>
      </c>
      <c r="AK231" s="33">
        <v>10</v>
      </c>
      <c r="AL231" s="33">
        <f t="shared" si="32"/>
        <v>80</v>
      </c>
      <c r="AM231" s="33" t="str">
        <f t="shared" si="37"/>
        <v>RIESGO ACEPTABLE</v>
      </c>
      <c r="AN231" s="34"/>
      <c r="AO231" s="40"/>
      <c r="AP231" s="40" t="s">
        <v>890</v>
      </c>
      <c r="AQ231" s="34" t="s">
        <v>846</v>
      </c>
      <c r="AR231" s="34" t="s">
        <v>847</v>
      </c>
      <c r="AS231" s="61" t="s">
        <v>1296</v>
      </c>
      <c r="EQ231" s="15"/>
      <c r="ER231" s="15"/>
      <c r="ES231" s="15"/>
      <c r="ET231" s="15"/>
      <c r="EU231" s="15"/>
      <c r="EV231" s="15"/>
    </row>
    <row r="232" spans="1:152" s="8" customFormat="1" ht="67.2" x14ac:dyDescent="0.25">
      <c r="A232" s="213"/>
      <c r="B232" s="197"/>
      <c r="C232" s="218"/>
      <c r="D232" s="204"/>
      <c r="E232" s="32" t="s">
        <v>87</v>
      </c>
      <c r="F232" s="152"/>
      <c r="G232" s="32" t="s">
        <v>934</v>
      </c>
      <c r="H232" s="34" t="s">
        <v>101</v>
      </c>
      <c r="I232" s="32" t="s">
        <v>1242</v>
      </c>
      <c r="J232" s="32" t="s">
        <v>891</v>
      </c>
      <c r="K232" s="32" t="s">
        <v>104</v>
      </c>
      <c r="L232" s="68" t="s">
        <v>105</v>
      </c>
      <c r="M232" s="73" t="s">
        <v>332</v>
      </c>
      <c r="N232" s="73" t="s">
        <v>106</v>
      </c>
      <c r="O232" s="73" t="s">
        <v>527</v>
      </c>
      <c r="P232" s="70">
        <v>2</v>
      </c>
      <c r="Q232" s="41">
        <v>3</v>
      </c>
      <c r="R232" s="33">
        <f t="shared" si="31"/>
        <v>6</v>
      </c>
      <c r="S232" s="33" t="str">
        <f t="shared" si="33"/>
        <v>MEDIO</v>
      </c>
      <c r="T232" s="33">
        <v>10</v>
      </c>
      <c r="U232" s="75">
        <f t="shared" si="34"/>
        <v>60</v>
      </c>
      <c r="V232" s="33" t="str">
        <f t="shared" si="36"/>
        <v>lll</v>
      </c>
      <c r="W232" s="74" t="str">
        <f t="shared" si="35"/>
        <v>SI</v>
      </c>
      <c r="X232" s="33">
        <v>45</v>
      </c>
      <c r="Y232" s="31" t="s">
        <v>108</v>
      </c>
      <c r="Z232" s="33" t="s">
        <v>87</v>
      </c>
      <c r="AA232" s="34"/>
      <c r="AB232" s="40"/>
      <c r="AC232" s="40" t="s">
        <v>849</v>
      </c>
      <c r="AD232" s="34" t="s">
        <v>850</v>
      </c>
      <c r="AE232" s="34" t="s">
        <v>274</v>
      </c>
      <c r="AF232" s="34" t="s">
        <v>110</v>
      </c>
      <c r="AG232" s="41">
        <v>2</v>
      </c>
      <c r="AH232" s="41">
        <v>3</v>
      </c>
      <c r="AI232" s="33">
        <f t="shared" si="38"/>
        <v>6</v>
      </c>
      <c r="AJ232" s="33" t="str">
        <f t="shared" si="39"/>
        <v>MEDIO</v>
      </c>
      <c r="AK232" s="33">
        <v>10</v>
      </c>
      <c r="AL232" s="33">
        <f t="shared" si="32"/>
        <v>60</v>
      </c>
      <c r="AM232" s="33" t="str">
        <f t="shared" si="37"/>
        <v>RIESGO ACEPTABLE</v>
      </c>
      <c r="AN232" s="34"/>
      <c r="AO232" s="40" t="s">
        <v>892</v>
      </c>
      <c r="AP232" s="40" t="s">
        <v>893</v>
      </c>
      <c r="AQ232" s="34" t="s">
        <v>894</v>
      </c>
      <c r="AR232" s="34" t="s">
        <v>274</v>
      </c>
      <c r="AS232" s="61" t="s">
        <v>110</v>
      </c>
      <c r="EQ232" s="15"/>
      <c r="ER232" s="15"/>
      <c r="ES232" s="15"/>
      <c r="ET232" s="15"/>
      <c r="EU232" s="15"/>
      <c r="EV232" s="15"/>
    </row>
    <row r="233" spans="1:152" s="8" customFormat="1" ht="67.2" x14ac:dyDescent="0.25">
      <c r="A233" s="213"/>
      <c r="B233" s="197"/>
      <c r="C233" s="218"/>
      <c r="D233" s="204"/>
      <c r="E233" s="32" t="s">
        <v>87</v>
      </c>
      <c r="F233" s="152"/>
      <c r="G233" s="32" t="s">
        <v>934</v>
      </c>
      <c r="H233" s="34" t="s">
        <v>863</v>
      </c>
      <c r="I233" s="32" t="s">
        <v>1243</v>
      </c>
      <c r="J233" s="47" t="s">
        <v>864</v>
      </c>
      <c r="K233" s="32" t="s">
        <v>104</v>
      </c>
      <c r="L233" s="68" t="s">
        <v>141</v>
      </c>
      <c r="M233" s="73" t="s">
        <v>332</v>
      </c>
      <c r="N233" s="73" t="s">
        <v>875</v>
      </c>
      <c r="O233" s="73" t="s">
        <v>556</v>
      </c>
      <c r="P233" s="70">
        <v>2</v>
      </c>
      <c r="Q233" s="41">
        <v>3</v>
      </c>
      <c r="R233" s="33">
        <f t="shared" si="31"/>
        <v>6</v>
      </c>
      <c r="S233" s="33" t="str">
        <f t="shared" si="33"/>
        <v>MEDIO</v>
      </c>
      <c r="T233" s="33">
        <v>10</v>
      </c>
      <c r="U233" s="75">
        <f t="shared" si="34"/>
        <v>60</v>
      </c>
      <c r="V233" s="33" t="str">
        <f t="shared" si="36"/>
        <v>lll</v>
      </c>
      <c r="W233" s="74" t="str">
        <f t="shared" si="35"/>
        <v>SI</v>
      </c>
      <c r="X233" s="33">
        <v>45</v>
      </c>
      <c r="Y233" s="31" t="s">
        <v>218</v>
      </c>
      <c r="Z233" s="33" t="s">
        <v>87</v>
      </c>
      <c r="AA233" s="34"/>
      <c r="AB233" s="40"/>
      <c r="AC233" s="34" t="s">
        <v>939</v>
      </c>
      <c r="AD233" s="34" t="s">
        <v>859</v>
      </c>
      <c r="AE233" s="34"/>
      <c r="AF233" s="34" t="s">
        <v>940</v>
      </c>
      <c r="AG233" s="41">
        <v>2</v>
      </c>
      <c r="AH233" s="41">
        <v>3</v>
      </c>
      <c r="AI233" s="33">
        <f t="shared" si="38"/>
        <v>6</v>
      </c>
      <c r="AJ233" s="33" t="str">
        <f t="shared" si="39"/>
        <v>MEDIO</v>
      </c>
      <c r="AK233" s="33">
        <v>10</v>
      </c>
      <c r="AL233" s="33">
        <f t="shared" si="32"/>
        <v>60</v>
      </c>
      <c r="AM233" s="33" t="str">
        <f t="shared" si="37"/>
        <v>RIESGO ACEPTABLE</v>
      </c>
      <c r="AN233" s="34"/>
      <c r="AO233" s="40"/>
      <c r="AP233" s="34" t="s">
        <v>895</v>
      </c>
      <c r="AQ233" s="34" t="s">
        <v>896</v>
      </c>
      <c r="AR233" s="34"/>
      <c r="AS233" s="61" t="s">
        <v>860</v>
      </c>
      <c r="EQ233" s="15"/>
      <c r="ER233" s="15"/>
      <c r="ES233" s="15"/>
      <c r="ET233" s="15"/>
      <c r="EU233" s="15"/>
      <c r="EV233" s="15"/>
    </row>
    <row r="234" spans="1:152" s="8" customFormat="1" ht="67.2" x14ac:dyDescent="0.25">
      <c r="A234" s="213"/>
      <c r="B234" s="197"/>
      <c r="C234" s="218"/>
      <c r="D234" s="204"/>
      <c r="E234" s="32" t="s">
        <v>87</v>
      </c>
      <c r="F234" s="152"/>
      <c r="G234" s="32" t="s">
        <v>934</v>
      </c>
      <c r="H234" s="34" t="s">
        <v>138</v>
      </c>
      <c r="I234" s="32" t="s">
        <v>1243</v>
      </c>
      <c r="J234" s="32" t="s">
        <v>858</v>
      </c>
      <c r="K234" s="32" t="s">
        <v>104</v>
      </c>
      <c r="L234" s="68" t="s">
        <v>475</v>
      </c>
      <c r="M234" s="73" t="s">
        <v>332</v>
      </c>
      <c r="N234" s="73" t="s">
        <v>875</v>
      </c>
      <c r="O234" s="73" t="s">
        <v>556</v>
      </c>
      <c r="P234" s="70">
        <v>2</v>
      </c>
      <c r="Q234" s="41">
        <v>2</v>
      </c>
      <c r="R234" s="33">
        <f t="shared" si="31"/>
        <v>4</v>
      </c>
      <c r="S234" s="33" t="str">
        <f t="shared" si="33"/>
        <v>BAJO</v>
      </c>
      <c r="T234" s="33">
        <v>10</v>
      </c>
      <c r="U234" s="75">
        <f t="shared" si="34"/>
        <v>40</v>
      </c>
      <c r="V234" s="33" t="str">
        <f t="shared" si="36"/>
        <v>lll</v>
      </c>
      <c r="W234" s="74" t="str">
        <f t="shared" si="35"/>
        <v>SI</v>
      </c>
      <c r="X234" s="33">
        <v>45</v>
      </c>
      <c r="Y234" s="31" t="s">
        <v>143</v>
      </c>
      <c r="Z234" s="33" t="s">
        <v>87</v>
      </c>
      <c r="AA234" s="34"/>
      <c r="AB234" s="40"/>
      <c r="AC234" s="40" t="s">
        <v>144</v>
      </c>
      <c r="AD234" s="34" t="s">
        <v>859</v>
      </c>
      <c r="AE234" s="34"/>
      <c r="AF234" s="34" t="s">
        <v>941</v>
      </c>
      <c r="AG234" s="41">
        <v>2</v>
      </c>
      <c r="AH234" s="41">
        <v>3</v>
      </c>
      <c r="AI234" s="33">
        <f t="shared" si="38"/>
        <v>6</v>
      </c>
      <c r="AJ234" s="33" t="str">
        <f t="shared" si="39"/>
        <v>MEDIO</v>
      </c>
      <c r="AK234" s="33">
        <v>10</v>
      </c>
      <c r="AL234" s="33">
        <f t="shared" si="32"/>
        <v>60</v>
      </c>
      <c r="AM234" s="33" t="str">
        <f t="shared" si="37"/>
        <v>RIESGO ACEPTABLE</v>
      </c>
      <c r="AN234" s="34"/>
      <c r="AO234" s="40"/>
      <c r="AP234" s="40" t="s">
        <v>861</v>
      </c>
      <c r="AQ234" s="34" t="s">
        <v>862</v>
      </c>
      <c r="AR234" s="34"/>
      <c r="AS234" s="61" t="s">
        <v>860</v>
      </c>
      <c r="EQ234" s="15"/>
      <c r="ER234" s="15"/>
      <c r="ES234" s="15"/>
      <c r="ET234" s="15"/>
      <c r="EU234" s="15"/>
      <c r="EV234" s="15"/>
    </row>
    <row r="235" spans="1:152" s="117" customFormat="1" ht="67.2" x14ac:dyDescent="0.25">
      <c r="A235" s="213"/>
      <c r="B235" s="197"/>
      <c r="C235" s="218"/>
      <c r="D235" s="204"/>
      <c r="E235" s="32" t="s">
        <v>87</v>
      </c>
      <c r="F235" s="152"/>
      <c r="G235" s="32" t="s">
        <v>934</v>
      </c>
      <c r="H235" s="34" t="s">
        <v>183</v>
      </c>
      <c r="I235" s="34" t="s">
        <v>170</v>
      </c>
      <c r="J235" s="34" t="s">
        <v>897</v>
      </c>
      <c r="K235" s="34" t="s">
        <v>104</v>
      </c>
      <c r="L235" s="68" t="s">
        <v>185</v>
      </c>
      <c r="M235" s="7" t="s">
        <v>332</v>
      </c>
      <c r="N235" s="7" t="s">
        <v>875</v>
      </c>
      <c r="O235" s="7" t="s">
        <v>942</v>
      </c>
      <c r="P235" s="70">
        <v>2</v>
      </c>
      <c r="Q235" s="41">
        <v>3</v>
      </c>
      <c r="R235" s="33">
        <f t="shared" si="31"/>
        <v>6</v>
      </c>
      <c r="S235" s="116" t="str">
        <f t="shared" si="33"/>
        <v>MEDIO</v>
      </c>
      <c r="T235" s="33">
        <v>60</v>
      </c>
      <c r="U235" s="33">
        <f t="shared" si="34"/>
        <v>360</v>
      </c>
      <c r="V235" s="33" t="str">
        <f t="shared" si="36"/>
        <v>ll</v>
      </c>
      <c r="W235" s="74" t="str">
        <f t="shared" si="35"/>
        <v>NO</v>
      </c>
      <c r="X235" s="33">
        <v>45</v>
      </c>
      <c r="Y235" s="42" t="s">
        <v>178</v>
      </c>
      <c r="Z235" s="116" t="s">
        <v>87</v>
      </c>
      <c r="AA235" s="34"/>
      <c r="AB235" s="40"/>
      <c r="AC235" s="40" t="s">
        <v>898</v>
      </c>
      <c r="AD235" s="34" t="s">
        <v>899</v>
      </c>
      <c r="AE235" s="34" t="s">
        <v>900</v>
      </c>
      <c r="AF235" s="34" t="s">
        <v>901</v>
      </c>
      <c r="AG235" s="41">
        <v>2</v>
      </c>
      <c r="AH235" s="41">
        <v>3</v>
      </c>
      <c r="AI235" s="33">
        <f t="shared" si="38"/>
        <v>6</v>
      </c>
      <c r="AJ235" s="116" t="str">
        <f t="shared" si="39"/>
        <v>MEDIO</v>
      </c>
      <c r="AK235" s="33">
        <v>25</v>
      </c>
      <c r="AL235" s="33">
        <f t="shared" si="32"/>
        <v>150</v>
      </c>
      <c r="AM235" s="116" t="str">
        <f t="shared" si="37"/>
        <v xml:space="preserve"> RIESGO ACEPTABLE CON CONTROL ESPECIFICO</v>
      </c>
      <c r="AN235" s="34"/>
      <c r="AO235" s="40"/>
      <c r="AP235" s="40" t="s">
        <v>902</v>
      </c>
      <c r="AQ235" s="34" t="s">
        <v>903</v>
      </c>
      <c r="AR235" s="34" t="s">
        <v>900</v>
      </c>
      <c r="AS235" s="61" t="s">
        <v>901</v>
      </c>
      <c r="EQ235" s="118"/>
      <c r="ER235" s="118"/>
      <c r="ES235" s="118"/>
      <c r="ET235" s="118"/>
      <c r="EU235" s="118"/>
      <c r="EV235" s="118"/>
    </row>
    <row r="236" spans="1:152" s="8" customFormat="1" ht="67.2" x14ac:dyDescent="0.25">
      <c r="A236" s="213"/>
      <c r="B236" s="197"/>
      <c r="C236" s="218"/>
      <c r="D236" s="204"/>
      <c r="E236" s="32" t="s">
        <v>87</v>
      </c>
      <c r="F236" s="152"/>
      <c r="G236" s="32" t="s">
        <v>934</v>
      </c>
      <c r="H236" s="34" t="s">
        <v>227</v>
      </c>
      <c r="I236" s="32" t="s">
        <v>1252</v>
      </c>
      <c r="J236" s="47" t="s">
        <v>904</v>
      </c>
      <c r="K236" s="32" t="s">
        <v>104</v>
      </c>
      <c r="L236" s="68" t="s">
        <v>229</v>
      </c>
      <c r="M236" s="73" t="s">
        <v>332</v>
      </c>
      <c r="N236" s="73" t="s">
        <v>875</v>
      </c>
      <c r="O236" s="73" t="s">
        <v>943</v>
      </c>
      <c r="P236" s="70">
        <v>2</v>
      </c>
      <c r="Q236" s="41">
        <v>3</v>
      </c>
      <c r="R236" s="33">
        <f t="shared" si="31"/>
        <v>6</v>
      </c>
      <c r="S236" s="33" t="str">
        <f t="shared" si="33"/>
        <v>MEDIO</v>
      </c>
      <c r="T236" s="33">
        <v>10</v>
      </c>
      <c r="U236" s="75">
        <f t="shared" si="34"/>
        <v>60</v>
      </c>
      <c r="V236" s="33" t="str">
        <f t="shared" si="36"/>
        <v>lll</v>
      </c>
      <c r="W236" s="74" t="str">
        <f t="shared" si="35"/>
        <v>SI</v>
      </c>
      <c r="X236" s="33">
        <v>45</v>
      </c>
      <c r="Y236" s="31" t="s">
        <v>163</v>
      </c>
      <c r="Z236" s="33" t="s">
        <v>87</v>
      </c>
      <c r="AA236" s="34"/>
      <c r="AB236" s="40"/>
      <c r="AC236" s="40"/>
      <c r="AD236" s="34" t="s">
        <v>905</v>
      </c>
      <c r="AE236" s="34" t="s">
        <v>867</v>
      </c>
      <c r="AF236" s="34" t="s">
        <v>868</v>
      </c>
      <c r="AG236" s="41">
        <v>2</v>
      </c>
      <c r="AH236" s="41">
        <v>3</v>
      </c>
      <c r="AI236" s="33">
        <f t="shared" si="38"/>
        <v>6</v>
      </c>
      <c r="AJ236" s="33" t="str">
        <f t="shared" si="39"/>
        <v>MEDIO</v>
      </c>
      <c r="AK236" s="33">
        <v>10</v>
      </c>
      <c r="AL236" s="33">
        <f t="shared" si="32"/>
        <v>60</v>
      </c>
      <c r="AM236" s="33" t="str">
        <f t="shared" si="37"/>
        <v>RIESGO ACEPTABLE</v>
      </c>
      <c r="AN236" s="34"/>
      <c r="AO236" s="40"/>
      <c r="AP236" s="40"/>
      <c r="AQ236" s="34" t="s">
        <v>906</v>
      </c>
      <c r="AR236" s="34" t="s">
        <v>867</v>
      </c>
      <c r="AS236" s="61" t="s">
        <v>235</v>
      </c>
      <c r="EQ236" s="15"/>
      <c r="ER236" s="15"/>
      <c r="ES236" s="15"/>
      <c r="ET236" s="15"/>
      <c r="EU236" s="15"/>
      <c r="EV236" s="15"/>
    </row>
    <row r="237" spans="1:152" s="8" customFormat="1" ht="67.2" x14ac:dyDescent="0.25">
      <c r="A237" s="213"/>
      <c r="B237" s="197"/>
      <c r="C237" s="218"/>
      <c r="D237" s="204"/>
      <c r="E237" s="32" t="s">
        <v>87</v>
      </c>
      <c r="F237" s="152"/>
      <c r="G237" s="32" t="s">
        <v>934</v>
      </c>
      <c r="H237" s="34" t="s">
        <v>246</v>
      </c>
      <c r="I237" s="32" t="s">
        <v>1241</v>
      </c>
      <c r="J237" s="32" t="s">
        <v>435</v>
      </c>
      <c r="K237" s="32" t="s">
        <v>248</v>
      </c>
      <c r="L237" s="68" t="s">
        <v>249</v>
      </c>
      <c r="M237" s="73" t="s">
        <v>332</v>
      </c>
      <c r="N237" s="73" t="s">
        <v>875</v>
      </c>
      <c r="O237" s="73" t="s">
        <v>250</v>
      </c>
      <c r="P237" s="70">
        <v>2</v>
      </c>
      <c r="Q237" s="41">
        <v>2</v>
      </c>
      <c r="R237" s="33">
        <f t="shared" si="31"/>
        <v>4</v>
      </c>
      <c r="S237" s="33" t="str">
        <f t="shared" si="33"/>
        <v>BAJO</v>
      </c>
      <c r="T237" s="33">
        <v>10</v>
      </c>
      <c r="U237" s="75">
        <f t="shared" si="34"/>
        <v>40</v>
      </c>
      <c r="V237" s="33" t="str">
        <f t="shared" si="36"/>
        <v>lll</v>
      </c>
      <c r="W237" s="74" t="str">
        <f t="shared" si="35"/>
        <v>SI</v>
      </c>
      <c r="X237" s="33">
        <v>45</v>
      </c>
      <c r="Y237" s="31" t="s">
        <v>251</v>
      </c>
      <c r="Z237" s="33" t="s">
        <v>87</v>
      </c>
      <c r="AA237" s="34"/>
      <c r="AB237" s="40"/>
      <c r="AC237" s="40"/>
      <c r="AD237" s="34" t="s">
        <v>853</v>
      </c>
      <c r="AE237" s="34" t="s">
        <v>854</v>
      </c>
      <c r="AF237" s="34" t="s">
        <v>855</v>
      </c>
      <c r="AG237" s="41">
        <v>2</v>
      </c>
      <c r="AH237" s="41">
        <v>2</v>
      </c>
      <c r="AI237" s="33">
        <f t="shared" si="38"/>
        <v>4</v>
      </c>
      <c r="AJ237" s="33" t="str">
        <f t="shared" si="39"/>
        <v>BAJO</v>
      </c>
      <c r="AK237" s="33">
        <v>10</v>
      </c>
      <c r="AL237" s="33">
        <f t="shared" si="32"/>
        <v>40</v>
      </c>
      <c r="AM237" s="33" t="str">
        <f t="shared" si="37"/>
        <v>RIESGO ACEPTABLE</v>
      </c>
      <c r="AN237" s="34"/>
      <c r="AO237" s="40"/>
      <c r="AP237" s="40"/>
      <c r="AQ237" s="34" t="s">
        <v>907</v>
      </c>
      <c r="AR237" s="34" t="s">
        <v>854</v>
      </c>
      <c r="AS237" s="61" t="s">
        <v>908</v>
      </c>
      <c r="EQ237" s="15"/>
      <c r="ER237" s="15"/>
      <c r="ES237" s="15"/>
      <c r="ET237" s="15"/>
      <c r="EU237" s="15"/>
      <c r="EV237" s="15"/>
    </row>
    <row r="238" spans="1:152" s="8" customFormat="1" ht="67.2" x14ac:dyDescent="0.25">
      <c r="A238" s="213"/>
      <c r="B238" s="197"/>
      <c r="C238" s="218"/>
      <c r="D238" s="204"/>
      <c r="E238" s="32" t="s">
        <v>87</v>
      </c>
      <c r="F238" s="152"/>
      <c r="G238" s="32" t="s">
        <v>934</v>
      </c>
      <c r="H238" s="34" t="s">
        <v>246</v>
      </c>
      <c r="I238" s="32" t="s">
        <v>1241</v>
      </c>
      <c r="J238" s="32" t="s">
        <v>247</v>
      </c>
      <c r="K238" s="32" t="s">
        <v>248</v>
      </c>
      <c r="L238" s="68" t="s">
        <v>249</v>
      </c>
      <c r="M238" s="73" t="s">
        <v>332</v>
      </c>
      <c r="N238" s="73" t="s">
        <v>875</v>
      </c>
      <c r="O238" s="73" t="s">
        <v>250</v>
      </c>
      <c r="P238" s="70">
        <v>2</v>
      </c>
      <c r="Q238" s="41">
        <v>2</v>
      </c>
      <c r="R238" s="33">
        <f t="shared" si="31"/>
        <v>4</v>
      </c>
      <c r="S238" s="33" t="str">
        <f t="shared" si="33"/>
        <v>BAJO</v>
      </c>
      <c r="T238" s="33">
        <v>10</v>
      </c>
      <c r="U238" s="75">
        <f t="shared" si="34"/>
        <v>40</v>
      </c>
      <c r="V238" s="33" t="str">
        <f t="shared" si="36"/>
        <v>lll</v>
      </c>
      <c r="W238" s="74" t="str">
        <f t="shared" si="35"/>
        <v>SI</v>
      </c>
      <c r="X238" s="33">
        <v>45</v>
      </c>
      <c r="Y238" s="31" t="s">
        <v>251</v>
      </c>
      <c r="Z238" s="33" t="s">
        <v>87</v>
      </c>
      <c r="AA238" s="34"/>
      <c r="AB238" s="40"/>
      <c r="AC238" s="40"/>
      <c r="AD238" s="34" t="s">
        <v>252</v>
      </c>
      <c r="AE238" s="34"/>
      <c r="AF238" s="34"/>
      <c r="AG238" s="41">
        <v>2</v>
      </c>
      <c r="AH238" s="41">
        <v>2</v>
      </c>
      <c r="AI238" s="33">
        <f t="shared" si="38"/>
        <v>4</v>
      </c>
      <c r="AJ238" s="33" t="str">
        <f t="shared" si="39"/>
        <v>BAJO</v>
      </c>
      <c r="AK238" s="33">
        <v>10</v>
      </c>
      <c r="AL238" s="33">
        <f t="shared" si="32"/>
        <v>40</v>
      </c>
      <c r="AM238" s="33" t="str">
        <f t="shared" si="37"/>
        <v>RIESGO ACEPTABLE</v>
      </c>
      <c r="AN238" s="34"/>
      <c r="AO238" s="40"/>
      <c r="AP238" s="40"/>
      <c r="AQ238" s="34" t="s">
        <v>252</v>
      </c>
      <c r="AR238" s="34"/>
      <c r="AS238" s="61"/>
      <c r="EQ238" s="15"/>
      <c r="ER238" s="15"/>
      <c r="ES238" s="15"/>
      <c r="ET238" s="15"/>
      <c r="EU238" s="15"/>
      <c r="EV238" s="15"/>
    </row>
    <row r="239" spans="1:152" s="8" customFormat="1" ht="67.2" x14ac:dyDescent="0.25">
      <c r="A239" s="213"/>
      <c r="B239" s="197"/>
      <c r="C239" s="218"/>
      <c r="D239" s="204"/>
      <c r="E239" s="32" t="s">
        <v>87</v>
      </c>
      <c r="F239" s="152"/>
      <c r="G239" s="32" t="s">
        <v>934</v>
      </c>
      <c r="H239" s="34" t="s">
        <v>157</v>
      </c>
      <c r="I239" s="32" t="s">
        <v>1252</v>
      </c>
      <c r="J239" s="47" t="s">
        <v>865</v>
      </c>
      <c r="K239" s="32" t="s">
        <v>104</v>
      </c>
      <c r="L239" s="68" t="s">
        <v>160</v>
      </c>
      <c r="M239" s="73" t="s">
        <v>332</v>
      </c>
      <c r="N239" s="73" t="s">
        <v>875</v>
      </c>
      <c r="O239" s="73" t="s">
        <v>590</v>
      </c>
      <c r="P239" s="70">
        <v>2</v>
      </c>
      <c r="Q239" s="41">
        <v>3</v>
      </c>
      <c r="R239" s="33">
        <f t="shared" si="31"/>
        <v>6</v>
      </c>
      <c r="S239" s="33" t="str">
        <f t="shared" si="33"/>
        <v>MEDIO</v>
      </c>
      <c r="T239" s="33">
        <v>10</v>
      </c>
      <c r="U239" s="75">
        <f t="shared" si="34"/>
        <v>60</v>
      </c>
      <c r="V239" s="33" t="str">
        <f t="shared" si="36"/>
        <v>lll</v>
      </c>
      <c r="W239" s="74" t="str">
        <f t="shared" si="35"/>
        <v>SI</v>
      </c>
      <c r="X239" s="33">
        <v>45</v>
      </c>
      <c r="Y239" s="31" t="s">
        <v>163</v>
      </c>
      <c r="Z239" s="33" t="s">
        <v>87</v>
      </c>
      <c r="AA239" s="34"/>
      <c r="AB239" s="40"/>
      <c r="AC239" s="40"/>
      <c r="AD239" s="34" t="s">
        <v>866</v>
      </c>
      <c r="AE239" s="34" t="s">
        <v>867</v>
      </c>
      <c r="AF239" s="34" t="s">
        <v>868</v>
      </c>
      <c r="AG239" s="41">
        <v>2</v>
      </c>
      <c r="AH239" s="41">
        <v>3</v>
      </c>
      <c r="AI239" s="33">
        <f t="shared" si="38"/>
        <v>6</v>
      </c>
      <c r="AJ239" s="33" t="str">
        <f t="shared" si="39"/>
        <v>MEDIO</v>
      </c>
      <c r="AK239" s="33">
        <v>10</v>
      </c>
      <c r="AL239" s="33">
        <f t="shared" si="32"/>
        <v>60</v>
      </c>
      <c r="AM239" s="33" t="str">
        <f t="shared" si="37"/>
        <v>RIESGO ACEPTABLE</v>
      </c>
      <c r="AN239" s="34"/>
      <c r="AO239" s="40"/>
      <c r="AP239" s="40"/>
      <c r="AQ239" s="34" t="s">
        <v>906</v>
      </c>
      <c r="AR239" s="34" t="s">
        <v>867</v>
      </c>
      <c r="AS239" s="61" t="s">
        <v>235</v>
      </c>
      <c r="EQ239" s="15"/>
      <c r="ER239" s="15"/>
      <c r="ES239" s="15"/>
      <c r="ET239" s="15"/>
      <c r="EU239" s="15"/>
      <c r="EV239" s="15"/>
    </row>
    <row r="240" spans="1:152" s="8" customFormat="1" ht="67.2" x14ac:dyDescent="0.25">
      <c r="A240" s="213"/>
      <c r="B240" s="197"/>
      <c r="C240" s="218"/>
      <c r="D240" s="204"/>
      <c r="E240" s="32" t="s">
        <v>87</v>
      </c>
      <c r="F240" s="152"/>
      <c r="G240" s="32" t="s">
        <v>934</v>
      </c>
      <c r="H240" s="34" t="s">
        <v>341</v>
      </c>
      <c r="I240" s="32" t="s">
        <v>1252</v>
      </c>
      <c r="J240" s="47" t="s">
        <v>909</v>
      </c>
      <c r="K240" s="40" t="s">
        <v>104</v>
      </c>
      <c r="L240" s="68" t="s">
        <v>336</v>
      </c>
      <c r="M240" s="73" t="s">
        <v>332</v>
      </c>
      <c r="N240" s="73" t="s">
        <v>875</v>
      </c>
      <c r="O240" s="73" t="s">
        <v>944</v>
      </c>
      <c r="P240" s="70">
        <v>2</v>
      </c>
      <c r="Q240" s="41">
        <v>3</v>
      </c>
      <c r="R240" s="33">
        <f t="shared" si="31"/>
        <v>6</v>
      </c>
      <c r="S240" s="33" t="str">
        <f t="shared" si="33"/>
        <v>MEDIO</v>
      </c>
      <c r="T240" s="33">
        <v>10</v>
      </c>
      <c r="U240" s="75">
        <f t="shared" si="34"/>
        <v>60</v>
      </c>
      <c r="V240" s="33" t="str">
        <f t="shared" si="36"/>
        <v>lll</v>
      </c>
      <c r="W240" s="74" t="str">
        <f t="shared" si="35"/>
        <v>SI</v>
      </c>
      <c r="X240" s="33">
        <v>45</v>
      </c>
      <c r="Y240" s="31" t="s">
        <v>178</v>
      </c>
      <c r="Z240" s="33" t="s">
        <v>87</v>
      </c>
      <c r="AA240" s="34"/>
      <c r="AB240" s="40"/>
      <c r="AC240" s="40"/>
      <c r="AD240" s="34" t="s">
        <v>866</v>
      </c>
      <c r="AE240" s="34" t="s">
        <v>867</v>
      </c>
      <c r="AF240" s="34" t="s">
        <v>868</v>
      </c>
      <c r="AG240" s="41">
        <v>2</v>
      </c>
      <c r="AH240" s="41">
        <v>3</v>
      </c>
      <c r="AI240" s="33">
        <f t="shared" si="38"/>
        <v>6</v>
      </c>
      <c r="AJ240" s="33" t="str">
        <f t="shared" si="39"/>
        <v>MEDIO</v>
      </c>
      <c r="AK240" s="33">
        <v>10</v>
      </c>
      <c r="AL240" s="33">
        <f t="shared" si="32"/>
        <v>60</v>
      </c>
      <c r="AM240" s="33" t="str">
        <f t="shared" si="37"/>
        <v>RIESGO ACEPTABLE</v>
      </c>
      <c r="AN240" s="34"/>
      <c r="AO240" s="40"/>
      <c r="AP240" s="40"/>
      <c r="AQ240" s="34" t="s">
        <v>906</v>
      </c>
      <c r="AR240" s="34" t="s">
        <v>867</v>
      </c>
      <c r="AS240" s="61" t="s">
        <v>235</v>
      </c>
      <c r="EQ240" s="15"/>
      <c r="ER240" s="15"/>
      <c r="ES240" s="15"/>
      <c r="ET240" s="15"/>
      <c r="EU240" s="15"/>
      <c r="EV240" s="15"/>
    </row>
    <row r="241" spans="1:152" s="8" customFormat="1" ht="67.2" x14ac:dyDescent="0.25">
      <c r="A241" s="213"/>
      <c r="B241" s="197"/>
      <c r="C241" s="218"/>
      <c r="D241" s="204"/>
      <c r="E241" s="32" t="s">
        <v>87</v>
      </c>
      <c r="F241" s="152"/>
      <c r="G241" s="32" t="s">
        <v>934</v>
      </c>
      <c r="H241" s="34" t="s">
        <v>128</v>
      </c>
      <c r="I241" s="32" t="s">
        <v>1240</v>
      </c>
      <c r="J241" s="32" t="s">
        <v>910</v>
      </c>
      <c r="K241" s="32" t="s">
        <v>248</v>
      </c>
      <c r="L241" s="68" t="s">
        <v>131</v>
      </c>
      <c r="M241" s="73" t="s">
        <v>332</v>
      </c>
      <c r="N241" s="73" t="s">
        <v>875</v>
      </c>
      <c r="O241" s="73" t="s">
        <v>132</v>
      </c>
      <c r="P241" s="70">
        <v>2</v>
      </c>
      <c r="Q241" s="41">
        <v>3</v>
      </c>
      <c r="R241" s="33">
        <f t="shared" si="31"/>
        <v>6</v>
      </c>
      <c r="S241" s="33" t="str">
        <f t="shared" si="33"/>
        <v>MEDIO</v>
      </c>
      <c r="T241" s="33">
        <v>10</v>
      </c>
      <c r="U241" s="75">
        <f t="shared" si="34"/>
        <v>60</v>
      </c>
      <c r="V241" s="33" t="str">
        <f t="shared" si="36"/>
        <v>lll</v>
      </c>
      <c r="W241" s="74" t="str">
        <f t="shared" si="35"/>
        <v>SI</v>
      </c>
      <c r="X241" s="33">
        <v>45</v>
      </c>
      <c r="Y241" s="31" t="s">
        <v>133</v>
      </c>
      <c r="Z241" s="33" t="s">
        <v>87</v>
      </c>
      <c r="AA241" s="34"/>
      <c r="AB241" s="40"/>
      <c r="AC241" s="40"/>
      <c r="AD241" s="34" t="s">
        <v>911</v>
      </c>
      <c r="AE241" s="34"/>
      <c r="AF241" s="34" t="s">
        <v>912</v>
      </c>
      <c r="AG241" s="41">
        <v>2</v>
      </c>
      <c r="AH241" s="41">
        <v>3</v>
      </c>
      <c r="AI241" s="33">
        <f t="shared" si="38"/>
        <v>6</v>
      </c>
      <c r="AJ241" s="33" t="str">
        <f t="shared" si="39"/>
        <v>MEDIO</v>
      </c>
      <c r="AK241" s="33">
        <v>10</v>
      </c>
      <c r="AL241" s="33">
        <f t="shared" si="32"/>
        <v>60</v>
      </c>
      <c r="AM241" s="33" t="str">
        <f t="shared" si="37"/>
        <v>RIESGO ACEPTABLE</v>
      </c>
      <c r="AN241" s="34"/>
      <c r="AO241" s="40"/>
      <c r="AP241" s="40"/>
      <c r="AQ241" s="34" t="s">
        <v>136</v>
      </c>
      <c r="AR241" s="34" t="s">
        <v>913</v>
      </c>
      <c r="AS241" s="61" t="s">
        <v>880</v>
      </c>
      <c r="EQ241" s="15"/>
      <c r="ER241" s="15"/>
      <c r="ES241" s="15"/>
      <c r="ET241" s="15"/>
      <c r="EU241" s="15"/>
      <c r="EV241" s="15"/>
    </row>
    <row r="242" spans="1:152" s="8" customFormat="1" ht="67.2" x14ac:dyDescent="0.25">
      <c r="A242" s="213"/>
      <c r="B242" s="197"/>
      <c r="C242" s="218"/>
      <c r="D242" s="204"/>
      <c r="E242" s="32" t="s">
        <v>87</v>
      </c>
      <c r="F242" s="152"/>
      <c r="G242" s="32" t="s">
        <v>934</v>
      </c>
      <c r="H242" s="34" t="s">
        <v>191</v>
      </c>
      <c r="I242" s="32" t="s">
        <v>170</v>
      </c>
      <c r="J242" s="32" t="s">
        <v>945</v>
      </c>
      <c r="K242" s="32" t="s">
        <v>248</v>
      </c>
      <c r="L242" s="68" t="s">
        <v>193</v>
      </c>
      <c r="M242" s="73" t="s">
        <v>332</v>
      </c>
      <c r="N242" s="73" t="s">
        <v>875</v>
      </c>
      <c r="O242" s="73" t="s">
        <v>491</v>
      </c>
      <c r="P242" s="70">
        <v>2</v>
      </c>
      <c r="Q242" s="41">
        <v>3</v>
      </c>
      <c r="R242" s="33">
        <f t="shared" si="31"/>
        <v>6</v>
      </c>
      <c r="S242" s="33" t="str">
        <f t="shared" si="33"/>
        <v>MEDIO</v>
      </c>
      <c r="T242" s="33">
        <v>10</v>
      </c>
      <c r="U242" s="75">
        <f t="shared" si="34"/>
        <v>60</v>
      </c>
      <c r="V242" s="33" t="str">
        <f t="shared" si="36"/>
        <v>lll</v>
      </c>
      <c r="W242" s="74" t="str">
        <f t="shared" si="35"/>
        <v>SI</v>
      </c>
      <c r="X242" s="33">
        <v>45</v>
      </c>
      <c r="Y242" s="31" t="s">
        <v>195</v>
      </c>
      <c r="Z242" s="33" t="s">
        <v>87</v>
      </c>
      <c r="AA242" s="34"/>
      <c r="AB242" s="40"/>
      <c r="AC242" s="40" t="s">
        <v>898</v>
      </c>
      <c r="AD242" s="34" t="s">
        <v>899</v>
      </c>
      <c r="AE242" s="34" t="s">
        <v>900</v>
      </c>
      <c r="AF242" s="34" t="s">
        <v>901</v>
      </c>
      <c r="AG242" s="41">
        <v>2</v>
      </c>
      <c r="AH242" s="41">
        <v>3</v>
      </c>
      <c r="AI242" s="33">
        <f t="shared" si="38"/>
        <v>6</v>
      </c>
      <c r="AJ242" s="33" t="str">
        <f t="shared" si="39"/>
        <v>MEDIO</v>
      </c>
      <c r="AK242" s="33">
        <v>10</v>
      </c>
      <c r="AL242" s="33">
        <f t="shared" si="32"/>
        <v>60</v>
      </c>
      <c r="AM242" s="33" t="str">
        <f t="shared" si="37"/>
        <v>RIESGO ACEPTABLE</v>
      </c>
      <c r="AN242" s="34"/>
      <c r="AO242" s="40"/>
      <c r="AP242" s="40" t="s">
        <v>902</v>
      </c>
      <c r="AQ242" s="34" t="s">
        <v>903</v>
      </c>
      <c r="AR242" s="34" t="s">
        <v>900</v>
      </c>
      <c r="AS242" s="61" t="s">
        <v>901</v>
      </c>
      <c r="EQ242" s="15"/>
      <c r="ER242" s="15"/>
      <c r="ES242" s="15"/>
      <c r="ET242" s="15"/>
      <c r="EU242" s="15"/>
      <c r="EV242" s="15"/>
    </row>
    <row r="243" spans="1:152" s="8" customFormat="1" ht="67.2" x14ac:dyDescent="0.25">
      <c r="A243" s="213"/>
      <c r="B243" s="197"/>
      <c r="C243" s="218"/>
      <c r="D243" s="204"/>
      <c r="E243" s="32" t="s">
        <v>87</v>
      </c>
      <c r="F243" s="152"/>
      <c r="G243" s="32" t="s">
        <v>934</v>
      </c>
      <c r="H243" s="34" t="s">
        <v>393</v>
      </c>
      <c r="I243" s="32" t="s">
        <v>1234</v>
      </c>
      <c r="J243" s="32" t="s">
        <v>874</v>
      </c>
      <c r="K243" s="40" t="s">
        <v>104</v>
      </c>
      <c r="L243" s="68" t="s">
        <v>395</v>
      </c>
      <c r="M243" s="73" t="s">
        <v>332</v>
      </c>
      <c r="N243" s="73" t="s">
        <v>875</v>
      </c>
      <c r="O243" s="73" t="s">
        <v>396</v>
      </c>
      <c r="P243" s="70">
        <v>2</v>
      </c>
      <c r="Q243" s="41">
        <v>1</v>
      </c>
      <c r="R243" s="33">
        <f t="shared" si="31"/>
        <v>2</v>
      </c>
      <c r="S243" s="33" t="str">
        <f t="shared" si="33"/>
        <v>BAJO</v>
      </c>
      <c r="T243" s="33">
        <v>10</v>
      </c>
      <c r="U243" s="75">
        <f t="shared" si="34"/>
        <v>20</v>
      </c>
      <c r="V243" s="33" t="str">
        <f t="shared" si="36"/>
        <v xml:space="preserve">IV </v>
      </c>
      <c r="W243" s="74" t="s">
        <v>87</v>
      </c>
      <c r="X243" s="33">
        <v>45</v>
      </c>
      <c r="Y243" s="31" t="s">
        <v>397</v>
      </c>
      <c r="Z243" s="33" t="s">
        <v>87</v>
      </c>
      <c r="AA243" s="34"/>
      <c r="AB243" s="40"/>
      <c r="AC243" s="40" t="s">
        <v>876</v>
      </c>
      <c r="AD243" s="34" t="s">
        <v>877</v>
      </c>
      <c r="AE243" s="34"/>
      <c r="AF243" s="34" t="s">
        <v>878</v>
      </c>
      <c r="AG243" s="41">
        <v>2</v>
      </c>
      <c r="AH243" s="41">
        <v>4</v>
      </c>
      <c r="AI243" s="33">
        <f t="shared" si="38"/>
        <v>8</v>
      </c>
      <c r="AJ243" s="33" t="str">
        <f t="shared" si="39"/>
        <v>MEDIO</v>
      </c>
      <c r="AK243" s="33">
        <v>10</v>
      </c>
      <c r="AL243" s="33">
        <f t="shared" si="32"/>
        <v>80</v>
      </c>
      <c r="AM243" s="33" t="str">
        <f t="shared" si="37"/>
        <v>RIESGO ACEPTABLE</v>
      </c>
      <c r="AN243" s="34"/>
      <c r="AO243" s="40"/>
      <c r="AP243" s="40" t="s">
        <v>915</v>
      </c>
      <c r="AQ243" s="34" t="s">
        <v>946</v>
      </c>
      <c r="AR243" s="34"/>
      <c r="AS243" s="61" t="s">
        <v>878</v>
      </c>
      <c r="EQ243" s="15"/>
      <c r="ER243" s="15"/>
      <c r="ES243" s="15"/>
      <c r="ET243" s="15"/>
      <c r="EU243" s="15"/>
      <c r="EV243" s="15"/>
    </row>
    <row r="244" spans="1:152" s="8" customFormat="1" ht="76.8" x14ac:dyDescent="0.25">
      <c r="A244" s="213"/>
      <c r="B244" s="197"/>
      <c r="C244" s="218"/>
      <c r="D244" s="204"/>
      <c r="E244" s="32" t="s">
        <v>87</v>
      </c>
      <c r="F244" s="152"/>
      <c r="G244" s="32" t="s">
        <v>934</v>
      </c>
      <c r="H244" s="34" t="s">
        <v>79</v>
      </c>
      <c r="I244" s="32" t="s">
        <v>1248</v>
      </c>
      <c r="J244" s="47" t="s">
        <v>447</v>
      </c>
      <c r="K244" s="32" t="s">
        <v>104</v>
      </c>
      <c r="L244" s="68" t="s">
        <v>448</v>
      </c>
      <c r="M244" s="73" t="s">
        <v>332</v>
      </c>
      <c r="N244" s="73" t="s">
        <v>875</v>
      </c>
      <c r="O244" s="7" t="s">
        <v>85</v>
      </c>
      <c r="P244" s="70">
        <v>2</v>
      </c>
      <c r="Q244" s="41">
        <v>3</v>
      </c>
      <c r="R244" s="33">
        <f t="shared" si="31"/>
        <v>6</v>
      </c>
      <c r="S244" s="33" t="str">
        <f t="shared" si="33"/>
        <v>MEDIO</v>
      </c>
      <c r="T244" s="33">
        <v>25</v>
      </c>
      <c r="U244" s="75">
        <f t="shared" si="34"/>
        <v>150</v>
      </c>
      <c r="V244" s="33" t="str">
        <f t="shared" si="36"/>
        <v>ll</v>
      </c>
      <c r="W244" s="74" t="str">
        <f t="shared" si="35"/>
        <v>NO</v>
      </c>
      <c r="X244" s="33">
        <v>45</v>
      </c>
      <c r="Y244" s="31" t="s">
        <v>86</v>
      </c>
      <c r="Z244" s="33" t="s">
        <v>87</v>
      </c>
      <c r="AA244" s="34"/>
      <c r="AB244" s="40"/>
      <c r="AC244" s="40"/>
      <c r="AD244" s="34" t="s">
        <v>881</v>
      </c>
      <c r="AE244" s="34" t="s">
        <v>882</v>
      </c>
      <c r="AF244" s="34" t="s">
        <v>883</v>
      </c>
      <c r="AG244" s="41">
        <v>2</v>
      </c>
      <c r="AH244" s="41">
        <v>3</v>
      </c>
      <c r="AI244" s="33">
        <f t="shared" si="38"/>
        <v>6</v>
      </c>
      <c r="AJ244" s="33" t="str">
        <f t="shared" si="39"/>
        <v>MEDIO</v>
      </c>
      <c r="AK244" s="33">
        <v>25</v>
      </c>
      <c r="AL244" s="33">
        <f t="shared" si="32"/>
        <v>150</v>
      </c>
      <c r="AM244" s="33" t="str">
        <f t="shared" si="37"/>
        <v xml:space="preserve"> RIESGO ACEPTABLE CON CONTROL ESPECIFICO</v>
      </c>
      <c r="AN244" s="34"/>
      <c r="AO244" s="40"/>
      <c r="AP244" s="34"/>
      <c r="AQ244" s="34" t="s">
        <v>884</v>
      </c>
      <c r="AR244" s="34" t="s">
        <v>882</v>
      </c>
      <c r="AS244" s="61" t="s">
        <v>883</v>
      </c>
      <c r="EQ244" s="15"/>
      <c r="ER244" s="15"/>
      <c r="ES244" s="15"/>
      <c r="ET244" s="15"/>
      <c r="EU244" s="15"/>
      <c r="EV244" s="15"/>
    </row>
    <row r="245" spans="1:152" s="8" customFormat="1" ht="91.8" customHeight="1" x14ac:dyDescent="0.25">
      <c r="A245" s="213"/>
      <c r="B245" s="197"/>
      <c r="C245" s="218"/>
      <c r="D245" s="204"/>
      <c r="E245" s="32" t="s">
        <v>87</v>
      </c>
      <c r="F245" s="152"/>
      <c r="G245" s="32" t="s">
        <v>934</v>
      </c>
      <c r="H245" s="34" t="s">
        <v>253</v>
      </c>
      <c r="I245" s="32" t="s">
        <v>1234</v>
      </c>
      <c r="J245" s="32" t="s">
        <v>947</v>
      </c>
      <c r="K245" s="34" t="s">
        <v>104</v>
      </c>
      <c r="L245" s="68" t="s">
        <v>255</v>
      </c>
      <c r="M245" s="73" t="s">
        <v>332</v>
      </c>
      <c r="N245" s="73" t="s">
        <v>875</v>
      </c>
      <c r="O245" s="73" t="s">
        <v>256</v>
      </c>
      <c r="P245" s="70">
        <v>6</v>
      </c>
      <c r="Q245" s="41">
        <v>2</v>
      </c>
      <c r="R245" s="33">
        <f t="shared" si="31"/>
        <v>12</v>
      </c>
      <c r="S245" s="33" t="str">
        <f t="shared" si="33"/>
        <v>ALTO</v>
      </c>
      <c r="T245" s="33">
        <v>60</v>
      </c>
      <c r="U245" s="75">
        <f t="shared" si="34"/>
        <v>720</v>
      </c>
      <c r="V245" s="33" t="str">
        <f t="shared" si="36"/>
        <v>l</v>
      </c>
      <c r="W245" s="74" t="str">
        <f t="shared" si="35"/>
        <v>NO</v>
      </c>
      <c r="X245" s="33">
        <v>45</v>
      </c>
      <c r="Y245" s="31" t="s">
        <v>257</v>
      </c>
      <c r="Z245" s="33" t="s">
        <v>87</v>
      </c>
      <c r="AA245" s="34"/>
      <c r="AB245" s="40"/>
      <c r="AC245" s="34" t="s">
        <v>918</v>
      </c>
      <c r="AD245" s="34" t="s">
        <v>948</v>
      </c>
      <c r="AE245" s="34" t="s">
        <v>190</v>
      </c>
      <c r="AF245" s="34"/>
      <c r="AG245" s="41">
        <v>2</v>
      </c>
      <c r="AH245" s="41">
        <v>3</v>
      </c>
      <c r="AI245" s="33">
        <f t="shared" si="38"/>
        <v>6</v>
      </c>
      <c r="AJ245" s="33" t="str">
        <f t="shared" si="39"/>
        <v>MEDIO</v>
      </c>
      <c r="AK245" s="33">
        <v>25</v>
      </c>
      <c r="AL245" s="33">
        <f t="shared" si="32"/>
        <v>150</v>
      </c>
      <c r="AM245" s="33" t="str">
        <f t="shared" si="37"/>
        <v xml:space="preserve"> RIESGO ACEPTABLE CON CONTROL ESPECIFICO</v>
      </c>
      <c r="AN245" s="34"/>
      <c r="AO245" s="40"/>
      <c r="AP245" s="40" t="s">
        <v>920</v>
      </c>
      <c r="AQ245" s="34" t="s">
        <v>921</v>
      </c>
      <c r="AR245" s="34" t="s">
        <v>93</v>
      </c>
      <c r="AS245" s="61" t="s">
        <v>842</v>
      </c>
      <c r="EQ245" s="15"/>
      <c r="ER245" s="15"/>
      <c r="ES245" s="15"/>
      <c r="ET245" s="15"/>
      <c r="EU245" s="15"/>
      <c r="EV245" s="15"/>
    </row>
    <row r="246" spans="1:152" s="8" customFormat="1" ht="67.2" x14ac:dyDescent="0.25">
      <c r="A246" s="213"/>
      <c r="B246" s="197"/>
      <c r="C246" s="218"/>
      <c r="D246" s="204"/>
      <c r="E246" s="32" t="s">
        <v>87</v>
      </c>
      <c r="F246" s="152"/>
      <c r="G246" s="32" t="s">
        <v>934</v>
      </c>
      <c r="H246" s="34" t="s">
        <v>631</v>
      </c>
      <c r="I246" s="32" t="s">
        <v>1252</v>
      </c>
      <c r="J246" s="32" t="s">
        <v>949</v>
      </c>
      <c r="K246" s="34" t="s">
        <v>104</v>
      </c>
      <c r="L246" s="68" t="s">
        <v>633</v>
      </c>
      <c r="M246" s="73" t="s">
        <v>332</v>
      </c>
      <c r="N246" s="73" t="s">
        <v>875</v>
      </c>
      <c r="O246" s="73" t="s">
        <v>950</v>
      </c>
      <c r="P246" s="70">
        <v>2</v>
      </c>
      <c r="Q246" s="41">
        <v>3</v>
      </c>
      <c r="R246" s="33">
        <f t="shared" si="31"/>
        <v>6</v>
      </c>
      <c r="S246" s="33" t="str">
        <f t="shared" si="33"/>
        <v>MEDIO</v>
      </c>
      <c r="T246" s="33">
        <v>60</v>
      </c>
      <c r="U246" s="75">
        <f t="shared" si="34"/>
        <v>360</v>
      </c>
      <c r="V246" s="33" t="str">
        <f t="shared" si="36"/>
        <v>ll</v>
      </c>
      <c r="W246" s="74" t="str">
        <f t="shared" si="35"/>
        <v>NO</v>
      </c>
      <c r="X246" s="33">
        <v>45</v>
      </c>
      <c r="Y246" s="31" t="s">
        <v>634</v>
      </c>
      <c r="Z246" s="33" t="s">
        <v>87</v>
      </c>
      <c r="AA246" s="34"/>
      <c r="AB246" s="40"/>
      <c r="AC246" s="34" t="s">
        <v>923</v>
      </c>
      <c r="AD246" s="34" t="s">
        <v>924</v>
      </c>
      <c r="AE246" s="34"/>
      <c r="AF246" s="34"/>
      <c r="AG246" s="41">
        <v>2</v>
      </c>
      <c r="AH246" s="41">
        <v>3</v>
      </c>
      <c r="AI246" s="33">
        <f t="shared" si="38"/>
        <v>6</v>
      </c>
      <c r="AJ246" s="33" t="str">
        <f t="shared" si="39"/>
        <v>MEDIO</v>
      </c>
      <c r="AK246" s="33">
        <v>25</v>
      </c>
      <c r="AL246" s="33">
        <f t="shared" si="32"/>
        <v>150</v>
      </c>
      <c r="AM246" s="33" t="str">
        <f t="shared" si="37"/>
        <v xml:space="preserve"> RIESGO ACEPTABLE CON CONTROL ESPECIFICO</v>
      </c>
      <c r="AN246" s="34"/>
      <c r="AO246" s="40"/>
      <c r="AP246" s="34" t="s">
        <v>951</v>
      </c>
      <c r="AQ246" s="34" t="s">
        <v>925</v>
      </c>
      <c r="AR246" s="34"/>
      <c r="AS246" s="61" t="s">
        <v>729</v>
      </c>
      <c r="EQ246" s="15"/>
      <c r="ER246" s="15"/>
      <c r="ES246" s="15"/>
      <c r="ET246" s="15"/>
      <c r="EU246" s="15"/>
      <c r="EV246" s="15"/>
    </row>
    <row r="247" spans="1:152" s="8" customFormat="1" ht="67.2" x14ac:dyDescent="0.25">
      <c r="A247" s="213"/>
      <c r="B247" s="197"/>
      <c r="C247" s="218"/>
      <c r="D247" s="204"/>
      <c r="E247" s="32" t="s">
        <v>87</v>
      </c>
      <c r="F247" s="152"/>
      <c r="G247" s="32" t="s">
        <v>934</v>
      </c>
      <c r="H247" s="34" t="s">
        <v>198</v>
      </c>
      <c r="I247" s="32" t="s">
        <v>1234</v>
      </c>
      <c r="J247" s="32" t="s">
        <v>952</v>
      </c>
      <c r="K247" s="34" t="s">
        <v>104</v>
      </c>
      <c r="L247" s="68" t="s">
        <v>200</v>
      </c>
      <c r="M247" s="73" t="s">
        <v>332</v>
      </c>
      <c r="N247" s="73" t="s">
        <v>875</v>
      </c>
      <c r="O247" s="73" t="s">
        <v>201</v>
      </c>
      <c r="P247" s="70">
        <v>2</v>
      </c>
      <c r="Q247" s="41">
        <v>3</v>
      </c>
      <c r="R247" s="33">
        <f t="shared" si="31"/>
        <v>6</v>
      </c>
      <c r="S247" s="33" t="str">
        <f t="shared" si="33"/>
        <v>MEDIO</v>
      </c>
      <c r="T247" s="33">
        <v>10</v>
      </c>
      <c r="U247" s="75">
        <f t="shared" si="34"/>
        <v>60</v>
      </c>
      <c r="V247" s="33" t="str">
        <f t="shared" si="36"/>
        <v>lll</v>
      </c>
      <c r="W247" s="74" t="str">
        <f t="shared" si="35"/>
        <v>SI</v>
      </c>
      <c r="X247" s="33">
        <v>45</v>
      </c>
      <c r="Y247" s="31" t="s">
        <v>202</v>
      </c>
      <c r="Z247" s="33" t="s">
        <v>87</v>
      </c>
      <c r="AA247" s="34"/>
      <c r="AB247" s="40"/>
      <c r="AC247" s="34" t="s">
        <v>953</v>
      </c>
      <c r="AD247" s="34" t="s">
        <v>928</v>
      </c>
      <c r="AE247" s="34"/>
      <c r="AF247" s="34" t="s">
        <v>707</v>
      </c>
      <c r="AG247" s="41">
        <v>2</v>
      </c>
      <c r="AH247" s="41">
        <v>3</v>
      </c>
      <c r="AI247" s="33">
        <f t="shared" si="38"/>
        <v>6</v>
      </c>
      <c r="AJ247" s="33" t="str">
        <f t="shared" si="39"/>
        <v>MEDIO</v>
      </c>
      <c r="AK247" s="33">
        <v>10</v>
      </c>
      <c r="AL247" s="33">
        <f t="shared" si="32"/>
        <v>60</v>
      </c>
      <c r="AM247" s="33" t="str">
        <f t="shared" si="37"/>
        <v>RIESGO ACEPTABLE</v>
      </c>
      <c r="AN247" s="34"/>
      <c r="AO247" s="40"/>
      <c r="AP247" s="34" t="s">
        <v>954</v>
      </c>
      <c r="AQ247" s="34" t="s">
        <v>930</v>
      </c>
      <c r="AR247" s="34"/>
      <c r="AS247" s="61" t="s">
        <v>955</v>
      </c>
      <c r="EQ247" s="15"/>
      <c r="ER247" s="15"/>
      <c r="ES247" s="15"/>
      <c r="ET247" s="15"/>
      <c r="EU247" s="15"/>
      <c r="EV247" s="15"/>
    </row>
    <row r="248" spans="1:152" s="117" customFormat="1" ht="33.6" customHeight="1" x14ac:dyDescent="0.25">
      <c r="A248" s="213"/>
      <c r="B248" s="197"/>
      <c r="C248" s="218"/>
      <c r="D248" s="220" t="s">
        <v>1262</v>
      </c>
      <c r="E248" s="32" t="s">
        <v>87</v>
      </c>
      <c r="F248" s="223" t="s">
        <v>933</v>
      </c>
      <c r="G248" s="32" t="s">
        <v>934</v>
      </c>
      <c r="H248" s="34" t="s">
        <v>227</v>
      </c>
      <c r="I248" s="32" t="s">
        <v>1252</v>
      </c>
      <c r="J248" s="47" t="s">
        <v>904</v>
      </c>
      <c r="K248" s="32" t="s">
        <v>104</v>
      </c>
      <c r="L248" s="68" t="s">
        <v>229</v>
      </c>
      <c r="M248" s="73" t="s">
        <v>332</v>
      </c>
      <c r="N248" s="73" t="s">
        <v>875</v>
      </c>
      <c r="O248" s="73" t="s">
        <v>943</v>
      </c>
      <c r="P248" s="70">
        <v>2</v>
      </c>
      <c r="Q248" s="41">
        <v>3</v>
      </c>
      <c r="R248" s="33">
        <f t="shared" si="31"/>
        <v>6</v>
      </c>
      <c r="S248" s="33" t="str">
        <f t="shared" si="33"/>
        <v>MEDIO</v>
      </c>
      <c r="T248" s="33">
        <v>25</v>
      </c>
      <c r="U248" s="75">
        <f t="shared" si="34"/>
        <v>150</v>
      </c>
      <c r="V248" s="33" t="str">
        <f t="shared" si="36"/>
        <v>ll</v>
      </c>
      <c r="W248" s="74" t="str">
        <f t="shared" si="35"/>
        <v>NO</v>
      </c>
      <c r="X248" s="33">
        <v>10</v>
      </c>
      <c r="Y248" s="31" t="s">
        <v>163</v>
      </c>
      <c r="Z248" s="116" t="s">
        <v>87</v>
      </c>
      <c r="AA248" s="34"/>
      <c r="AB248" s="40"/>
      <c r="AC248" s="34"/>
      <c r="AD248" s="34" t="s">
        <v>905</v>
      </c>
      <c r="AE248" s="34" t="s">
        <v>867</v>
      </c>
      <c r="AF248" s="34" t="s">
        <v>868</v>
      </c>
      <c r="AG248" s="41">
        <v>2</v>
      </c>
      <c r="AH248" s="41">
        <v>3</v>
      </c>
      <c r="AI248" s="33">
        <f t="shared" si="38"/>
        <v>6</v>
      </c>
      <c r="AJ248" s="33" t="str">
        <f t="shared" si="39"/>
        <v>MEDIO</v>
      </c>
      <c r="AK248" s="33">
        <v>25</v>
      </c>
      <c r="AL248" s="33">
        <f>AI248*AK248</f>
        <v>150</v>
      </c>
      <c r="AM248" s="33" t="str">
        <f t="shared" si="37"/>
        <v xml:space="preserve"> RIESGO ACEPTABLE CON CONTROL ESPECIFICO</v>
      </c>
      <c r="AN248" s="34"/>
      <c r="AO248" s="40"/>
      <c r="AP248" s="34"/>
      <c r="AQ248" s="34" t="s">
        <v>1263</v>
      </c>
      <c r="AR248" s="34" t="s">
        <v>495</v>
      </c>
      <c r="AS248" s="61" t="s">
        <v>235</v>
      </c>
      <c r="EQ248" s="118"/>
      <c r="ER248" s="118"/>
      <c r="ES248" s="118"/>
      <c r="ET248" s="118"/>
      <c r="EU248" s="118"/>
      <c r="EV248" s="118"/>
    </row>
    <row r="249" spans="1:152" s="8" customFormat="1" ht="67.2" x14ac:dyDescent="0.25">
      <c r="A249" s="213"/>
      <c r="B249" s="197"/>
      <c r="C249" s="218"/>
      <c r="D249" s="221"/>
      <c r="E249" s="32" t="s">
        <v>87</v>
      </c>
      <c r="F249" s="224"/>
      <c r="G249" s="32" t="s">
        <v>934</v>
      </c>
      <c r="H249" s="34" t="s">
        <v>183</v>
      </c>
      <c r="I249" s="34" t="s">
        <v>170</v>
      </c>
      <c r="J249" s="34" t="s">
        <v>897</v>
      </c>
      <c r="K249" s="34" t="s">
        <v>104</v>
      </c>
      <c r="L249" s="68" t="s">
        <v>185</v>
      </c>
      <c r="M249" s="7" t="s">
        <v>332</v>
      </c>
      <c r="N249" s="7" t="s">
        <v>875</v>
      </c>
      <c r="O249" s="7" t="s">
        <v>942</v>
      </c>
      <c r="P249" s="70">
        <v>2</v>
      </c>
      <c r="Q249" s="41">
        <v>3</v>
      </c>
      <c r="R249" s="33">
        <f t="shared" si="31"/>
        <v>6</v>
      </c>
      <c r="S249" s="33" t="str">
        <f t="shared" si="33"/>
        <v>MEDIO</v>
      </c>
      <c r="T249" s="33">
        <v>25</v>
      </c>
      <c r="U249" s="75">
        <f t="shared" si="34"/>
        <v>150</v>
      </c>
      <c r="V249" s="33" t="str">
        <f t="shared" si="36"/>
        <v>ll</v>
      </c>
      <c r="W249" s="74" t="str">
        <f t="shared" si="35"/>
        <v>NO</v>
      </c>
      <c r="X249" s="33">
        <v>10</v>
      </c>
      <c r="Y249" s="42" t="s">
        <v>178</v>
      </c>
      <c r="Z249" s="116" t="s">
        <v>87</v>
      </c>
      <c r="AA249" s="34"/>
      <c r="AB249" s="40"/>
      <c r="AC249" s="40" t="s">
        <v>898</v>
      </c>
      <c r="AD249" s="34" t="s">
        <v>899</v>
      </c>
      <c r="AE249" s="34" t="s">
        <v>900</v>
      </c>
      <c r="AF249" s="34" t="s">
        <v>901</v>
      </c>
      <c r="AG249" s="41">
        <v>2</v>
      </c>
      <c r="AH249" s="41">
        <v>3</v>
      </c>
      <c r="AI249" s="33">
        <f t="shared" si="38"/>
        <v>6</v>
      </c>
      <c r="AJ249" s="33" t="str">
        <f t="shared" si="39"/>
        <v>MEDIO</v>
      </c>
      <c r="AK249" s="33">
        <v>25</v>
      </c>
      <c r="AL249" s="33">
        <f>AI249*AK249</f>
        <v>150</v>
      </c>
      <c r="AM249" s="33" t="str">
        <f t="shared" si="37"/>
        <v xml:space="preserve"> RIESGO ACEPTABLE CON CONTROL ESPECIFICO</v>
      </c>
      <c r="AN249" s="34"/>
      <c r="AO249" s="40"/>
      <c r="AP249" s="40" t="s">
        <v>902</v>
      </c>
      <c r="AQ249" s="34" t="s">
        <v>1264</v>
      </c>
      <c r="AR249" s="34" t="s">
        <v>900</v>
      </c>
      <c r="AS249" s="61" t="s">
        <v>901</v>
      </c>
      <c r="EQ249" s="15"/>
      <c r="ER249" s="15"/>
      <c r="ES249" s="15"/>
      <c r="ET249" s="15"/>
      <c r="EU249" s="15"/>
      <c r="EV249" s="15"/>
    </row>
    <row r="250" spans="1:152" s="8" customFormat="1" ht="67.2" x14ac:dyDescent="0.25">
      <c r="A250" s="213"/>
      <c r="B250" s="197"/>
      <c r="C250" s="218"/>
      <c r="D250" s="221"/>
      <c r="E250" s="32" t="s">
        <v>87</v>
      </c>
      <c r="F250" s="224"/>
      <c r="G250" s="32" t="s">
        <v>934</v>
      </c>
      <c r="H250" s="34" t="s">
        <v>631</v>
      </c>
      <c r="I250" s="32" t="s">
        <v>1252</v>
      </c>
      <c r="J250" s="32" t="s">
        <v>949</v>
      </c>
      <c r="K250" s="34" t="s">
        <v>104</v>
      </c>
      <c r="L250" s="68" t="s">
        <v>633</v>
      </c>
      <c r="M250" s="73" t="s">
        <v>332</v>
      </c>
      <c r="N250" s="73" t="s">
        <v>875</v>
      </c>
      <c r="O250" s="73" t="s">
        <v>950</v>
      </c>
      <c r="P250" s="70">
        <v>2</v>
      </c>
      <c r="Q250" s="41">
        <v>3</v>
      </c>
      <c r="R250" s="33">
        <f t="shared" si="31"/>
        <v>6</v>
      </c>
      <c r="S250" s="33" t="str">
        <f t="shared" si="33"/>
        <v>MEDIO</v>
      </c>
      <c r="T250" s="33">
        <v>60</v>
      </c>
      <c r="U250" s="75">
        <f t="shared" si="34"/>
        <v>360</v>
      </c>
      <c r="V250" s="33" t="str">
        <f t="shared" si="36"/>
        <v>ll</v>
      </c>
      <c r="W250" s="74" t="str">
        <f t="shared" si="35"/>
        <v>NO</v>
      </c>
      <c r="X250" s="33">
        <v>10</v>
      </c>
      <c r="Y250" s="31" t="s">
        <v>634</v>
      </c>
      <c r="Z250" s="33" t="s">
        <v>87</v>
      </c>
      <c r="AA250" s="34"/>
      <c r="AB250" s="40"/>
      <c r="AC250" s="34" t="s">
        <v>923</v>
      </c>
      <c r="AD250" s="34" t="s">
        <v>924</v>
      </c>
      <c r="AE250" s="34"/>
      <c r="AF250" s="34"/>
      <c r="AG250" s="41">
        <v>2</v>
      </c>
      <c r="AH250" s="41">
        <v>3</v>
      </c>
      <c r="AI250" s="33">
        <f t="shared" si="38"/>
        <v>6</v>
      </c>
      <c r="AJ250" s="33" t="str">
        <f t="shared" si="39"/>
        <v>MEDIO</v>
      </c>
      <c r="AK250" s="33">
        <v>25</v>
      </c>
      <c r="AL250" s="33">
        <f t="shared" si="32"/>
        <v>150</v>
      </c>
      <c r="AM250" s="33" t="str">
        <f t="shared" si="37"/>
        <v xml:space="preserve"> RIESGO ACEPTABLE CON CONTROL ESPECIFICO</v>
      </c>
      <c r="AN250" s="34"/>
      <c r="AO250" s="40"/>
      <c r="AP250" s="34" t="s">
        <v>951</v>
      </c>
      <c r="AQ250" s="34" t="s">
        <v>1265</v>
      </c>
      <c r="AR250" s="34"/>
      <c r="AS250" s="61" t="s">
        <v>729</v>
      </c>
      <c r="EQ250" s="15"/>
      <c r="ER250" s="15"/>
      <c r="ES250" s="15"/>
      <c r="ET250" s="15"/>
      <c r="EU250" s="15"/>
      <c r="EV250" s="15"/>
    </row>
    <row r="251" spans="1:152" s="8" customFormat="1" ht="92.4" customHeight="1" x14ac:dyDescent="0.25">
      <c r="A251" s="213"/>
      <c r="B251" s="197"/>
      <c r="C251" s="219"/>
      <c r="D251" s="222"/>
      <c r="E251" s="32" t="s">
        <v>87</v>
      </c>
      <c r="F251" s="225"/>
      <c r="G251" s="32" t="s">
        <v>934</v>
      </c>
      <c r="H251" s="34" t="s">
        <v>253</v>
      </c>
      <c r="I251" s="32" t="s">
        <v>1234</v>
      </c>
      <c r="J251" s="32" t="s">
        <v>947</v>
      </c>
      <c r="K251" s="34" t="s">
        <v>104</v>
      </c>
      <c r="L251" s="68" t="s">
        <v>255</v>
      </c>
      <c r="M251" s="73" t="s">
        <v>332</v>
      </c>
      <c r="N251" s="73" t="s">
        <v>875</v>
      </c>
      <c r="O251" s="73" t="s">
        <v>256</v>
      </c>
      <c r="P251" s="70">
        <v>6</v>
      </c>
      <c r="Q251" s="41">
        <v>2</v>
      </c>
      <c r="R251" s="33">
        <f t="shared" si="31"/>
        <v>12</v>
      </c>
      <c r="S251" s="33" t="str">
        <f t="shared" si="33"/>
        <v>ALTO</v>
      </c>
      <c r="T251" s="33">
        <v>60</v>
      </c>
      <c r="U251" s="75">
        <f t="shared" si="34"/>
        <v>720</v>
      </c>
      <c r="V251" s="33" t="str">
        <f t="shared" si="36"/>
        <v>l</v>
      </c>
      <c r="W251" s="74" t="str">
        <f t="shared" si="35"/>
        <v>NO</v>
      </c>
      <c r="X251" s="33">
        <v>10</v>
      </c>
      <c r="Y251" s="31" t="s">
        <v>1267</v>
      </c>
      <c r="Z251" s="33" t="s">
        <v>87</v>
      </c>
      <c r="AA251" s="34"/>
      <c r="AB251" s="40"/>
      <c r="AC251" s="34" t="s">
        <v>918</v>
      </c>
      <c r="AD251" s="34" t="s">
        <v>948</v>
      </c>
      <c r="AE251" s="34" t="s">
        <v>190</v>
      </c>
      <c r="AF251" s="34"/>
      <c r="AG251" s="41">
        <v>2</v>
      </c>
      <c r="AH251" s="41">
        <v>3</v>
      </c>
      <c r="AI251" s="33">
        <f t="shared" si="38"/>
        <v>6</v>
      </c>
      <c r="AJ251" s="33" t="str">
        <f t="shared" si="39"/>
        <v>MEDIO</v>
      </c>
      <c r="AK251" s="33">
        <v>25</v>
      </c>
      <c r="AL251" s="33">
        <f t="shared" si="32"/>
        <v>150</v>
      </c>
      <c r="AM251" s="33" t="str">
        <f t="shared" si="37"/>
        <v xml:space="preserve"> RIESGO ACEPTABLE CON CONTROL ESPECIFICO</v>
      </c>
      <c r="AN251" s="34"/>
      <c r="AO251" s="40"/>
      <c r="AP251" s="40" t="s">
        <v>920</v>
      </c>
      <c r="AQ251" s="34" t="s">
        <v>921</v>
      </c>
      <c r="AR251" s="34" t="s">
        <v>93</v>
      </c>
      <c r="AS251" s="61" t="s">
        <v>842</v>
      </c>
      <c r="EQ251" s="15"/>
      <c r="ER251" s="15"/>
      <c r="ES251" s="15"/>
      <c r="ET251" s="15"/>
      <c r="EU251" s="15"/>
      <c r="EV251" s="15"/>
    </row>
    <row r="252" spans="1:152" s="8" customFormat="1" ht="67.2" x14ac:dyDescent="0.25">
      <c r="A252" s="213"/>
      <c r="B252" s="197"/>
      <c r="C252" s="166" t="s">
        <v>956</v>
      </c>
      <c r="D252" s="204" t="s">
        <v>957</v>
      </c>
      <c r="E252" s="32" t="s">
        <v>87</v>
      </c>
      <c r="F252" s="152" t="s">
        <v>958</v>
      </c>
      <c r="G252" s="32" t="s">
        <v>888</v>
      </c>
      <c r="H252" s="34" t="s">
        <v>959</v>
      </c>
      <c r="I252" s="32" t="s">
        <v>1252</v>
      </c>
      <c r="J252" s="32" t="s">
        <v>960</v>
      </c>
      <c r="K252" s="34" t="s">
        <v>104</v>
      </c>
      <c r="L252" s="68" t="s">
        <v>961</v>
      </c>
      <c r="M252" s="73" t="s">
        <v>332</v>
      </c>
      <c r="N252" s="73" t="s">
        <v>875</v>
      </c>
      <c r="O252" s="73" t="s">
        <v>491</v>
      </c>
      <c r="P252" s="70">
        <v>2</v>
      </c>
      <c r="Q252" s="41">
        <v>3</v>
      </c>
      <c r="R252" s="33">
        <f t="shared" si="31"/>
        <v>6</v>
      </c>
      <c r="S252" s="33" t="str">
        <f t="shared" si="33"/>
        <v>MEDIO</v>
      </c>
      <c r="T252" s="33">
        <v>10</v>
      </c>
      <c r="U252" s="75">
        <f t="shared" si="34"/>
        <v>60</v>
      </c>
      <c r="V252" s="33" t="str">
        <f t="shared" si="36"/>
        <v>lll</v>
      </c>
      <c r="W252" s="74" t="str">
        <f t="shared" si="35"/>
        <v>SI</v>
      </c>
      <c r="X252" s="33">
        <v>45</v>
      </c>
      <c r="Y252" s="31" t="s">
        <v>178</v>
      </c>
      <c r="Z252" s="33" t="s">
        <v>87</v>
      </c>
      <c r="AA252" s="34"/>
      <c r="AB252" s="40"/>
      <c r="AC252" s="40"/>
      <c r="AD252" s="34" t="s">
        <v>962</v>
      </c>
      <c r="AE252" s="34"/>
      <c r="AF252" s="34" t="s">
        <v>182</v>
      </c>
      <c r="AG252" s="41">
        <v>2</v>
      </c>
      <c r="AH252" s="41">
        <v>3</v>
      </c>
      <c r="AI252" s="33">
        <f t="shared" si="38"/>
        <v>6</v>
      </c>
      <c r="AJ252" s="33" t="str">
        <f t="shared" si="39"/>
        <v>MEDIO</v>
      </c>
      <c r="AK252" s="33">
        <v>10</v>
      </c>
      <c r="AL252" s="33">
        <f t="shared" si="32"/>
        <v>60</v>
      </c>
      <c r="AM252" s="33" t="str">
        <f t="shared" si="37"/>
        <v>RIESGO ACEPTABLE</v>
      </c>
      <c r="AN252" s="34"/>
      <c r="AO252" s="40"/>
      <c r="AP252" s="40"/>
      <c r="AQ252" s="34" t="s">
        <v>963</v>
      </c>
      <c r="AR252" s="34"/>
      <c r="AS252" s="61" t="s">
        <v>182</v>
      </c>
      <c r="EQ252" s="15"/>
      <c r="ER252" s="15"/>
      <c r="ES252" s="15"/>
      <c r="ET252" s="15"/>
      <c r="EU252" s="15"/>
      <c r="EV252" s="15"/>
    </row>
    <row r="253" spans="1:152" s="8" customFormat="1" ht="67.2" x14ac:dyDescent="0.25">
      <c r="A253" s="213"/>
      <c r="B253" s="197"/>
      <c r="C253" s="166"/>
      <c r="D253" s="204"/>
      <c r="E253" s="32" t="s">
        <v>87</v>
      </c>
      <c r="F253" s="152"/>
      <c r="G253" s="32" t="s">
        <v>888</v>
      </c>
      <c r="H253" s="34" t="s">
        <v>550</v>
      </c>
      <c r="I253" s="32" t="s">
        <v>1242</v>
      </c>
      <c r="J253" s="32" t="s">
        <v>964</v>
      </c>
      <c r="K253" s="34" t="s">
        <v>104</v>
      </c>
      <c r="L253" s="68" t="s">
        <v>552</v>
      </c>
      <c r="M253" s="73" t="s">
        <v>332</v>
      </c>
      <c r="N253" s="73" t="s">
        <v>106</v>
      </c>
      <c r="O253" s="73" t="s">
        <v>522</v>
      </c>
      <c r="P253" s="70">
        <v>2</v>
      </c>
      <c r="Q253" s="41">
        <v>3</v>
      </c>
      <c r="R253" s="33">
        <f t="shared" si="31"/>
        <v>6</v>
      </c>
      <c r="S253" s="33" t="str">
        <f t="shared" si="33"/>
        <v>MEDIO</v>
      </c>
      <c r="T253" s="33">
        <v>10</v>
      </c>
      <c r="U253" s="75">
        <f t="shared" si="34"/>
        <v>60</v>
      </c>
      <c r="V253" s="33" t="str">
        <f t="shared" si="36"/>
        <v>lll</v>
      </c>
      <c r="W253" s="74" t="str">
        <f t="shared" si="35"/>
        <v>SI</v>
      </c>
      <c r="X253" s="33">
        <v>45</v>
      </c>
      <c r="Y253" s="31" t="s">
        <v>108</v>
      </c>
      <c r="Z253" s="33" t="s">
        <v>87</v>
      </c>
      <c r="AA253" s="34"/>
      <c r="AB253" s="40"/>
      <c r="AC253" s="34" t="s">
        <v>849</v>
      </c>
      <c r="AD253" s="34" t="s">
        <v>109</v>
      </c>
      <c r="AE253" s="34" t="s">
        <v>274</v>
      </c>
      <c r="AF253" s="34" t="s">
        <v>320</v>
      </c>
      <c r="AG253" s="41">
        <v>2</v>
      </c>
      <c r="AH253" s="41">
        <v>3</v>
      </c>
      <c r="AI253" s="33">
        <f t="shared" si="38"/>
        <v>6</v>
      </c>
      <c r="AJ253" s="33" t="str">
        <f t="shared" si="39"/>
        <v>MEDIO</v>
      </c>
      <c r="AK253" s="33">
        <v>10</v>
      </c>
      <c r="AL253" s="33">
        <f t="shared" si="32"/>
        <v>60</v>
      </c>
      <c r="AM253" s="33" t="str">
        <f t="shared" si="37"/>
        <v>RIESGO ACEPTABLE</v>
      </c>
      <c r="AN253" s="34"/>
      <c r="AO253" s="40"/>
      <c r="AP253" s="34" t="s">
        <v>965</v>
      </c>
      <c r="AQ253" s="34" t="s">
        <v>966</v>
      </c>
      <c r="AR253" s="34" t="s">
        <v>274</v>
      </c>
      <c r="AS253" s="61" t="s">
        <v>320</v>
      </c>
      <c r="EQ253" s="15"/>
      <c r="ER253" s="15"/>
      <c r="ES253" s="15"/>
      <c r="ET253" s="15"/>
      <c r="EU253" s="15"/>
      <c r="EV253" s="15"/>
    </row>
    <row r="254" spans="1:152" s="8" customFormat="1" ht="67.2" x14ac:dyDescent="0.25">
      <c r="A254" s="213"/>
      <c r="B254" s="197"/>
      <c r="C254" s="166"/>
      <c r="D254" s="204"/>
      <c r="E254" s="32" t="s">
        <v>87</v>
      </c>
      <c r="F254" s="152"/>
      <c r="G254" s="32" t="s">
        <v>888</v>
      </c>
      <c r="H254" s="34" t="s">
        <v>183</v>
      </c>
      <c r="I254" s="34" t="s">
        <v>170</v>
      </c>
      <c r="J254" s="34" t="s">
        <v>967</v>
      </c>
      <c r="K254" s="34" t="s">
        <v>104</v>
      </c>
      <c r="L254" s="68" t="s">
        <v>185</v>
      </c>
      <c r="M254" s="73" t="s">
        <v>332</v>
      </c>
      <c r="N254" s="73" t="s">
        <v>875</v>
      </c>
      <c r="O254" s="73" t="s">
        <v>491</v>
      </c>
      <c r="P254" s="70">
        <v>2</v>
      </c>
      <c r="Q254" s="41">
        <v>3</v>
      </c>
      <c r="R254" s="33">
        <f t="shared" si="31"/>
        <v>6</v>
      </c>
      <c r="S254" s="33" t="str">
        <f t="shared" si="33"/>
        <v>MEDIO</v>
      </c>
      <c r="T254" s="33">
        <v>60</v>
      </c>
      <c r="U254" s="75">
        <f t="shared" si="34"/>
        <v>360</v>
      </c>
      <c r="V254" s="33" t="str">
        <f t="shared" si="36"/>
        <v>ll</v>
      </c>
      <c r="W254" s="74" t="str">
        <f t="shared" si="35"/>
        <v>NO</v>
      </c>
      <c r="X254" s="33">
        <v>45</v>
      </c>
      <c r="Y254" s="31" t="s">
        <v>178</v>
      </c>
      <c r="Z254" s="33" t="s">
        <v>87</v>
      </c>
      <c r="AA254" s="34"/>
      <c r="AB254" s="40"/>
      <c r="AC254" s="40" t="s">
        <v>898</v>
      </c>
      <c r="AD254" s="34" t="s">
        <v>899</v>
      </c>
      <c r="AE254" s="34" t="s">
        <v>900</v>
      </c>
      <c r="AF254" s="34" t="s">
        <v>901</v>
      </c>
      <c r="AG254" s="41">
        <v>2</v>
      </c>
      <c r="AH254" s="41">
        <v>3</v>
      </c>
      <c r="AI254" s="33">
        <f t="shared" si="38"/>
        <v>6</v>
      </c>
      <c r="AJ254" s="33" t="str">
        <f t="shared" si="39"/>
        <v>MEDIO</v>
      </c>
      <c r="AK254" s="33">
        <v>10</v>
      </c>
      <c r="AL254" s="33">
        <f t="shared" si="32"/>
        <v>60</v>
      </c>
      <c r="AM254" s="33" t="str">
        <f t="shared" si="37"/>
        <v>RIESGO ACEPTABLE</v>
      </c>
      <c r="AN254" s="34"/>
      <c r="AO254" s="40"/>
      <c r="AP254" s="40" t="s">
        <v>902</v>
      </c>
      <c r="AQ254" s="34" t="s">
        <v>903</v>
      </c>
      <c r="AR254" s="34" t="s">
        <v>900</v>
      </c>
      <c r="AS254" s="61" t="s">
        <v>901</v>
      </c>
      <c r="EQ254" s="15"/>
      <c r="ER254" s="15"/>
      <c r="ES254" s="15"/>
      <c r="ET254" s="15"/>
      <c r="EU254" s="15"/>
      <c r="EV254" s="15"/>
    </row>
    <row r="255" spans="1:152" s="8" customFormat="1" ht="67.2" x14ac:dyDescent="0.25">
      <c r="A255" s="213"/>
      <c r="B255" s="197"/>
      <c r="C255" s="166"/>
      <c r="D255" s="204"/>
      <c r="E255" s="32" t="s">
        <v>87</v>
      </c>
      <c r="F255" s="152"/>
      <c r="G255" s="32" t="s">
        <v>888</v>
      </c>
      <c r="H255" s="34" t="s">
        <v>183</v>
      </c>
      <c r="I255" s="32" t="s">
        <v>1252</v>
      </c>
      <c r="J255" s="34" t="s">
        <v>968</v>
      </c>
      <c r="K255" s="34" t="s">
        <v>82</v>
      </c>
      <c r="L255" s="68" t="s">
        <v>185</v>
      </c>
      <c r="M255" s="73" t="s">
        <v>332</v>
      </c>
      <c r="N255" s="73" t="s">
        <v>875</v>
      </c>
      <c r="O255" s="73" t="s">
        <v>491</v>
      </c>
      <c r="P255" s="70">
        <v>2</v>
      </c>
      <c r="Q255" s="41">
        <v>3</v>
      </c>
      <c r="R255" s="33">
        <f t="shared" si="31"/>
        <v>6</v>
      </c>
      <c r="S255" s="33" t="str">
        <f t="shared" si="33"/>
        <v>MEDIO</v>
      </c>
      <c r="T255" s="33">
        <v>25</v>
      </c>
      <c r="U255" s="75">
        <f t="shared" si="34"/>
        <v>150</v>
      </c>
      <c r="V255" s="33" t="str">
        <f t="shared" si="36"/>
        <v>ll</v>
      </c>
      <c r="W255" s="74" t="str">
        <f t="shared" si="35"/>
        <v>NO</v>
      </c>
      <c r="X255" s="33">
        <v>45</v>
      </c>
      <c r="Y255" s="31" t="s">
        <v>178</v>
      </c>
      <c r="Z255" s="33" t="s">
        <v>87</v>
      </c>
      <c r="AA255" s="34"/>
      <c r="AB255" s="40"/>
      <c r="AC255" s="40"/>
      <c r="AD255" s="34" t="s">
        <v>962</v>
      </c>
      <c r="AE255" s="34" t="s">
        <v>900</v>
      </c>
      <c r="AF255" s="34"/>
      <c r="AG255" s="41">
        <v>2</v>
      </c>
      <c r="AH255" s="41">
        <v>3</v>
      </c>
      <c r="AI255" s="33">
        <f t="shared" si="38"/>
        <v>6</v>
      </c>
      <c r="AJ255" s="33" t="str">
        <f t="shared" si="39"/>
        <v>MEDIO</v>
      </c>
      <c r="AK255" s="33">
        <v>10</v>
      </c>
      <c r="AL255" s="33">
        <f t="shared" si="32"/>
        <v>60</v>
      </c>
      <c r="AM255" s="33" t="str">
        <f t="shared" si="37"/>
        <v>RIESGO ACEPTABLE</v>
      </c>
      <c r="AN255" s="34"/>
      <c r="AO255" s="40"/>
      <c r="AP255" s="40"/>
      <c r="AQ255" s="34" t="s">
        <v>962</v>
      </c>
      <c r="AR255" s="34" t="s">
        <v>900</v>
      </c>
      <c r="AS255" s="61"/>
      <c r="EQ255" s="15"/>
      <c r="ER255" s="15"/>
      <c r="ES255" s="15"/>
      <c r="ET255" s="15"/>
      <c r="EU255" s="15"/>
      <c r="EV255" s="15"/>
    </row>
    <row r="256" spans="1:152" s="8" customFormat="1" ht="67.2" x14ac:dyDescent="0.25">
      <c r="A256" s="213"/>
      <c r="B256" s="197"/>
      <c r="C256" s="166"/>
      <c r="D256" s="204"/>
      <c r="E256" s="32" t="s">
        <v>87</v>
      </c>
      <c r="F256" s="152"/>
      <c r="G256" s="32" t="s">
        <v>888</v>
      </c>
      <c r="H256" s="34" t="s">
        <v>341</v>
      </c>
      <c r="I256" s="32" t="s">
        <v>1252</v>
      </c>
      <c r="J256" s="32" t="s">
        <v>969</v>
      </c>
      <c r="K256" s="32" t="s">
        <v>104</v>
      </c>
      <c r="L256" s="68" t="s">
        <v>336</v>
      </c>
      <c r="M256" s="73" t="s">
        <v>332</v>
      </c>
      <c r="N256" s="73" t="s">
        <v>875</v>
      </c>
      <c r="O256" s="73" t="s">
        <v>527</v>
      </c>
      <c r="P256" s="70">
        <v>2</v>
      </c>
      <c r="Q256" s="41">
        <v>3</v>
      </c>
      <c r="R256" s="33">
        <f t="shared" si="31"/>
        <v>6</v>
      </c>
      <c r="S256" s="33" t="str">
        <f t="shared" si="33"/>
        <v>MEDIO</v>
      </c>
      <c r="T256" s="33">
        <v>25</v>
      </c>
      <c r="U256" s="75">
        <f t="shared" si="34"/>
        <v>150</v>
      </c>
      <c r="V256" s="33" t="str">
        <f t="shared" si="36"/>
        <v>ll</v>
      </c>
      <c r="W256" s="74" t="str">
        <f t="shared" si="35"/>
        <v>NO</v>
      </c>
      <c r="X256" s="33">
        <v>45</v>
      </c>
      <c r="Y256" s="31" t="s">
        <v>178</v>
      </c>
      <c r="Z256" s="33" t="s">
        <v>87</v>
      </c>
      <c r="AA256" s="45"/>
      <c r="AB256" s="33"/>
      <c r="AC256" s="34"/>
      <c r="AD256" s="34" t="s">
        <v>962</v>
      </c>
      <c r="AE256" s="34" t="s">
        <v>900</v>
      </c>
      <c r="AF256" s="34" t="s">
        <v>970</v>
      </c>
      <c r="AG256" s="41">
        <v>2</v>
      </c>
      <c r="AH256" s="41">
        <v>3</v>
      </c>
      <c r="AI256" s="33">
        <f t="shared" si="38"/>
        <v>6</v>
      </c>
      <c r="AJ256" s="33" t="str">
        <f t="shared" si="39"/>
        <v>MEDIO</v>
      </c>
      <c r="AK256" s="33">
        <v>10</v>
      </c>
      <c r="AL256" s="33">
        <f t="shared" si="32"/>
        <v>60</v>
      </c>
      <c r="AM256" s="33" t="str">
        <f t="shared" si="37"/>
        <v>RIESGO ACEPTABLE</v>
      </c>
      <c r="AN256" s="34"/>
      <c r="AO256" s="34"/>
      <c r="AP256" s="34"/>
      <c r="AQ256" s="34" t="s">
        <v>962</v>
      </c>
      <c r="AR256" s="34" t="s">
        <v>900</v>
      </c>
      <c r="AS256" s="61" t="s">
        <v>182</v>
      </c>
      <c r="EQ256" s="15"/>
      <c r="ER256" s="15"/>
      <c r="ES256" s="15"/>
      <c r="ET256" s="15"/>
      <c r="EU256" s="15"/>
      <c r="EV256" s="15"/>
    </row>
    <row r="257" spans="1:152" s="8" customFormat="1" ht="67.2" x14ac:dyDescent="0.25">
      <c r="A257" s="213"/>
      <c r="B257" s="197"/>
      <c r="C257" s="166"/>
      <c r="D257" s="204"/>
      <c r="E257" s="32" t="s">
        <v>87</v>
      </c>
      <c r="F257" s="152"/>
      <c r="G257" s="32" t="s">
        <v>888</v>
      </c>
      <c r="H257" s="34" t="s">
        <v>227</v>
      </c>
      <c r="I257" s="32" t="s">
        <v>1252</v>
      </c>
      <c r="J257" s="47" t="s">
        <v>904</v>
      </c>
      <c r="K257" s="32" t="s">
        <v>104</v>
      </c>
      <c r="L257" s="68" t="s">
        <v>229</v>
      </c>
      <c r="M257" s="73" t="s">
        <v>332</v>
      </c>
      <c r="N257" s="73" t="s">
        <v>875</v>
      </c>
      <c r="O257" s="73" t="s">
        <v>503</v>
      </c>
      <c r="P257" s="70">
        <v>2</v>
      </c>
      <c r="Q257" s="41">
        <v>3</v>
      </c>
      <c r="R257" s="33">
        <f t="shared" si="31"/>
        <v>6</v>
      </c>
      <c r="S257" s="33" t="str">
        <f t="shared" si="33"/>
        <v>MEDIO</v>
      </c>
      <c r="T257" s="33">
        <v>10</v>
      </c>
      <c r="U257" s="75">
        <f t="shared" si="34"/>
        <v>60</v>
      </c>
      <c r="V257" s="33" t="str">
        <f t="shared" si="36"/>
        <v>lll</v>
      </c>
      <c r="W257" s="74" t="str">
        <f t="shared" si="35"/>
        <v>SI</v>
      </c>
      <c r="X257" s="33">
        <v>45</v>
      </c>
      <c r="Y257" s="31" t="s">
        <v>163</v>
      </c>
      <c r="Z257" s="33" t="s">
        <v>87</v>
      </c>
      <c r="AA257" s="34"/>
      <c r="AB257" s="40"/>
      <c r="AC257" s="40"/>
      <c r="AD257" s="34" t="s">
        <v>905</v>
      </c>
      <c r="AE257" s="34" t="s">
        <v>867</v>
      </c>
      <c r="AF257" s="34" t="s">
        <v>868</v>
      </c>
      <c r="AG257" s="41">
        <v>2</v>
      </c>
      <c r="AH257" s="41">
        <v>3</v>
      </c>
      <c r="AI257" s="33">
        <f t="shared" si="38"/>
        <v>6</v>
      </c>
      <c r="AJ257" s="33" t="str">
        <f t="shared" si="39"/>
        <v>MEDIO</v>
      </c>
      <c r="AK257" s="33">
        <v>10</v>
      </c>
      <c r="AL257" s="33">
        <f t="shared" si="32"/>
        <v>60</v>
      </c>
      <c r="AM257" s="33" t="str">
        <f t="shared" si="37"/>
        <v>RIESGO ACEPTABLE</v>
      </c>
      <c r="AN257" s="34"/>
      <c r="AO257" s="40"/>
      <c r="AP257" s="40"/>
      <c r="AQ257" s="34" t="s">
        <v>906</v>
      </c>
      <c r="AR257" s="34" t="s">
        <v>867</v>
      </c>
      <c r="AS257" s="61" t="s">
        <v>235</v>
      </c>
      <c r="EQ257" s="15"/>
      <c r="ER257" s="15"/>
      <c r="ES257" s="15"/>
      <c r="ET257" s="15"/>
      <c r="EU257" s="15"/>
      <c r="EV257" s="15"/>
    </row>
    <row r="258" spans="1:152" s="8" customFormat="1" ht="76.8" x14ac:dyDescent="0.25">
      <c r="A258" s="213"/>
      <c r="B258" s="197"/>
      <c r="C258" s="166"/>
      <c r="D258" s="204"/>
      <c r="E258" s="32" t="s">
        <v>87</v>
      </c>
      <c r="F258" s="152"/>
      <c r="G258" s="32" t="s">
        <v>888</v>
      </c>
      <c r="H258" s="34" t="s">
        <v>79</v>
      </c>
      <c r="I258" s="32" t="s">
        <v>1248</v>
      </c>
      <c r="J258" s="47" t="s">
        <v>447</v>
      </c>
      <c r="K258" s="32" t="s">
        <v>104</v>
      </c>
      <c r="L258" s="68" t="s">
        <v>448</v>
      </c>
      <c r="M258" s="73" t="s">
        <v>332</v>
      </c>
      <c r="N258" s="73" t="s">
        <v>875</v>
      </c>
      <c r="O258" s="7" t="s">
        <v>85</v>
      </c>
      <c r="P258" s="70">
        <v>2</v>
      </c>
      <c r="Q258" s="41">
        <v>3</v>
      </c>
      <c r="R258" s="33">
        <f t="shared" si="31"/>
        <v>6</v>
      </c>
      <c r="S258" s="33" t="str">
        <f t="shared" si="33"/>
        <v>MEDIO</v>
      </c>
      <c r="T258" s="33">
        <v>10</v>
      </c>
      <c r="U258" s="75">
        <f t="shared" si="34"/>
        <v>60</v>
      </c>
      <c r="V258" s="33" t="str">
        <f t="shared" si="36"/>
        <v>lll</v>
      </c>
      <c r="W258" s="74" t="str">
        <f t="shared" si="35"/>
        <v>SI</v>
      </c>
      <c r="X258" s="33">
        <v>45</v>
      </c>
      <c r="Y258" s="31" t="s">
        <v>86</v>
      </c>
      <c r="Z258" s="33" t="s">
        <v>87</v>
      </c>
      <c r="AA258" s="34"/>
      <c r="AB258" s="40"/>
      <c r="AC258" s="40"/>
      <c r="AD258" s="34" t="s">
        <v>881</v>
      </c>
      <c r="AE258" s="34" t="s">
        <v>882</v>
      </c>
      <c r="AF258" s="34" t="s">
        <v>883</v>
      </c>
      <c r="AG258" s="41">
        <v>2</v>
      </c>
      <c r="AH258" s="41">
        <v>3</v>
      </c>
      <c r="AI258" s="33">
        <f t="shared" si="38"/>
        <v>6</v>
      </c>
      <c r="AJ258" s="33" t="str">
        <f t="shared" si="39"/>
        <v>MEDIO</v>
      </c>
      <c r="AK258" s="33">
        <v>10</v>
      </c>
      <c r="AL258" s="33">
        <f t="shared" si="32"/>
        <v>60</v>
      </c>
      <c r="AM258" s="33" t="str">
        <f t="shared" si="37"/>
        <v>RIESGO ACEPTABLE</v>
      </c>
      <c r="AN258" s="34"/>
      <c r="AO258" s="40"/>
      <c r="AP258" s="40"/>
      <c r="AQ258" s="34" t="s">
        <v>884</v>
      </c>
      <c r="AR258" s="34" t="s">
        <v>882</v>
      </c>
      <c r="AS258" s="61" t="s">
        <v>883</v>
      </c>
      <c r="EQ258" s="15"/>
      <c r="ER258" s="15"/>
      <c r="ES258" s="15"/>
      <c r="ET258" s="15"/>
      <c r="EU258" s="15"/>
      <c r="EV258" s="15"/>
    </row>
    <row r="259" spans="1:152" s="8" customFormat="1" ht="67.2" x14ac:dyDescent="0.25">
      <c r="A259" s="213"/>
      <c r="B259" s="197"/>
      <c r="C259" s="166"/>
      <c r="D259" s="204"/>
      <c r="E259" s="32" t="s">
        <v>87</v>
      </c>
      <c r="F259" s="152"/>
      <c r="G259" s="32" t="s">
        <v>888</v>
      </c>
      <c r="H259" s="34" t="s">
        <v>246</v>
      </c>
      <c r="I259" s="32" t="s">
        <v>1234</v>
      </c>
      <c r="J259" s="32" t="s">
        <v>247</v>
      </c>
      <c r="K259" s="32" t="s">
        <v>248</v>
      </c>
      <c r="L259" s="68" t="s">
        <v>249</v>
      </c>
      <c r="M259" s="73" t="s">
        <v>332</v>
      </c>
      <c r="N259" s="73" t="s">
        <v>875</v>
      </c>
      <c r="O259" s="73" t="s">
        <v>250</v>
      </c>
      <c r="P259" s="70">
        <v>2</v>
      </c>
      <c r="Q259" s="41">
        <v>2</v>
      </c>
      <c r="R259" s="33">
        <f t="shared" si="31"/>
        <v>4</v>
      </c>
      <c r="S259" s="33" t="str">
        <f t="shared" si="33"/>
        <v>BAJO</v>
      </c>
      <c r="T259" s="33">
        <v>10</v>
      </c>
      <c r="U259" s="75">
        <f t="shared" si="34"/>
        <v>40</v>
      </c>
      <c r="V259" s="33" t="str">
        <f t="shared" si="36"/>
        <v>lll</v>
      </c>
      <c r="W259" s="74" t="str">
        <f t="shared" si="35"/>
        <v>SI</v>
      </c>
      <c r="X259" s="33">
        <v>45</v>
      </c>
      <c r="Y259" s="31" t="s">
        <v>251</v>
      </c>
      <c r="Z259" s="33" t="s">
        <v>87</v>
      </c>
      <c r="AA259" s="34"/>
      <c r="AB259" s="40"/>
      <c r="AC259" s="40"/>
      <c r="AD259" s="34" t="s">
        <v>252</v>
      </c>
      <c r="AE259" s="34"/>
      <c r="AF259" s="34"/>
      <c r="AG259" s="41">
        <v>2</v>
      </c>
      <c r="AH259" s="41">
        <v>3</v>
      </c>
      <c r="AI259" s="33">
        <f t="shared" si="38"/>
        <v>6</v>
      </c>
      <c r="AJ259" s="33" t="str">
        <f t="shared" si="39"/>
        <v>MEDIO</v>
      </c>
      <c r="AK259" s="33">
        <v>10</v>
      </c>
      <c r="AL259" s="33">
        <f t="shared" si="32"/>
        <v>60</v>
      </c>
      <c r="AM259" s="33" t="str">
        <f t="shared" si="37"/>
        <v>RIESGO ACEPTABLE</v>
      </c>
      <c r="AN259" s="34"/>
      <c r="AO259" s="40"/>
      <c r="AP259" s="40"/>
      <c r="AQ259" s="34" t="s">
        <v>252</v>
      </c>
      <c r="AR259" s="34"/>
      <c r="AS259" s="61"/>
      <c r="EQ259" s="15"/>
      <c r="ER259" s="15"/>
      <c r="ES259" s="15"/>
      <c r="ET259" s="15"/>
      <c r="EU259" s="15"/>
      <c r="EV259" s="15"/>
    </row>
    <row r="260" spans="1:152" s="8" customFormat="1" ht="57.6" x14ac:dyDescent="0.25">
      <c r="A260" s="213"/>
      <c r="B260" s="197"/>
      <c r="C260" s="166"/>
      <c r="D260" s="204"/>
      <c r="E260" s="32" t="s">
        <v>87</v>
      </c>
      <c r="F260" s="152"/>
      <c r="G260" s="32" t="s">
        <v>888</v>
      </c>
      <c r="H260" s="34" t="s">
        <v>253</v>
      </c>
      <c r="I260" s="32" t="s">
        <v>1234</v>
      </c>
      <c r="J260" s="32" t="s">
        <v>971</v>
      </c>
      <c r="K260" s="34" t="s">
        <v>104</v>
      </c>
      <c r="L260" s="68" t="s">
        <v>255</v>
      </c>
      <c r="M260" s="73" t="s">
        <v>332</v>
      </c>
      <c r="N260" s="73" t="s">
        <v>161</v>
      </c>
      <c r="O260" s="73" t="s">
        <v>256</v>
      </c>
      <c r="P260" s="70">
        <v>6</v>
      </c>
      <c r="Q260" s="41">
        <v>2</v>
      </c>
      <c r="R260" s="33">
        <f t="shared" si="31"/>
        <v>12</v>
      </c>
      <c r="S260" s="33" t="str">
        <f t="shared" si="33"/>
        <v>ALTO</v>
      </c>
      <c r="T260" s="33">
        <v>25</v>
      </c>
      <c r="U260" s="75">
        <f t="shared" si="34"/>
        <v>300</v>
      </c>
      <c r="V260" s="33" t="str">
        <f t="shared" si="36"/>
        <v>ll</v>
      </c>
      <c r="W260" s="74" t="str">
        <f t="shared" si="35"/>
        <v>NO</v>
      </c>
      <c r="X260" s="33">
        <v>45</v>
      </c>
      <c r="Y260" s="31" t="s">
        <v>257</v>
      </c>
      <c r="Z260" s="33" t="s">
        <v>87</v>
      </c>
      <c r="AA260" s="34"/>
      <c r="AB260" s="40"/>
      <c r="AC260" s="34" t="s">
        <v>972</v>
      </c>
      <c r="AD260" s="34" t="s">
        <v>919</v>
      </c>
      <c r="AE260" s="34" t="s">
        <v>190</v>
      </c>
      <c r="AF260" s="34"/>
      <c r="AG260" s="41">
        <v>2</v>
      </c>
      <c r="AH260" s="41">
        <v>3</v>
      </c>
      <c r="AI260" s="33">
        <f t="shared" si="38"/>
        <v>6</v>
      </c>
      <c r="AJ260" s="33" t="str">
        <f t="shared" si="39"/>
        <v>MEDIO</v>
      </c>
      <c r="AK260" s="33">
        <v>10</v>
      </c>
      <c r="AL260" s="33">
        <f t="shared" si="32"/>
        <v>60</v>
      </c>
      <c r="AM260" s="33" t="str">
        <f t="shared" si="37"/>
        <v>RIESGO ACEPTABLE</v>
      </c>
      <c r="AN260" s="34"/>
      <c r="AO260" s="40"/>
      <c r="AP260" s="40" t="s">
        <v>920</v>
      </c>
      <c r="AQ260" s="34" t="s">
        <v>921</v>
      </c>
      <c r="AR260" s="34" t="s">
        <v>93</v>
      </c>
      <c r="AS260" s="61" t="s">
        <v>842</v>
      </c>
      <c r="EQ260" s="15"/>
      <c r="ER260" s="15"/>
      <c r="ES260" s="15"/>
      <c r="ET260" s="15"/>
      <c r="EU260" s="15"/>
      <c r="EV260" s="15"/>
    </row>
    <row r="261" spans="1:152" s="8" customFormat="1" ht="67.2" x14ac:dyDescent="0.25">
      <c r="A261" s="213"/>
      <c r="B261" s="197"/>
      <c r="C261" s="166"/>
      <c r="D261" s="204"/>
      <c r="E261" s="32" t="s">
        <v>87</v>
      </c>
      <c r="F261" s="152"/>
      <c r="G261" s="32" t="s">
        <v>888</v>
      </c>
      <c r="H261" s="34" t="s">
        <v>863</v>
      </c>
      <c r="I261" s="32" t="s">
        <v>1243</v>
      </c>
      <c r="J261" s="47" t="s">
        <v>864</v>
      </c>
      <c r="K261" s="32" t="s">
        <v>104</v>
      </c>
      <c r="L261" s="68" t="s">
        <v>141</v>
      </c>
      <c r="M261" s="73" t="s">
        <v>332</v>
      </c>
      <c r="N261" s="73" t="s">
        <v>875</v>
      </c>
      <c r="O261" s="73" t="s">
        <v>780</v>
      </c>
      <c r="P261" s="70">
        <v>2</v>
      </c>
      <c r="Q261" s="41">
        <v>4</v>
      </c>
      <c r="R261" s="33">
        <f t="shared" si="31"/>
        <v>8</v>
      </c>
      <c r="S261" s="33" t="str">
        <f t="shared" si="33"/>
        <v>MEDIO</v>
      </c>
      <c r="T261" s="33">
        <v>10</v>
      </c>
      <c r="U261" s="75">
        <f t="shared" si="34"/>
        <v>80</v>
      </c>
      <c r="V261" s="33" t="str">
        <f t="shared" si="36"/>
        <v>lll</v>
      </c>
      <c r="W261" s="74" t="str">
        <f t="shared" si="35"/>
        <v>SI</v>
      </c>
      <c r="X261" s="33">
        <v>45</v>
      </c>
      <c r="Y261" s="31" t="s">
        <v>218</v>
      </c>
      <c r="Z261" s="33" t="s">
        <v>87</v>
      </c>
      <c r="AA261" s="34"/>
      <c r="AB261" s="40"/>
      <c r="AC261" s="34" t="s">
        <v>144</v>
      </c>
      <c r="AD261" s="34" t="s">
        <v>859</v>
      </c>
      <c r="AE261" s="34"/>
      <c r="AF261" s="34" t="s">
        <v>860</v>
      </c>
      <c r="AG261" s="41">
        <v>2</v>
      </c>
      <c r="AH261" s="41">
        <v>4</v>
      </c>
      <c r="AI261" s="33">
        <f t="shared" si="38"/>
        <v>8</v>
      </c>
      <c r="AJ261" s="33" t="str">
        <f t="shared" si="39"/>
        <v>MEDIO</v>
      </c>
      <c r="AK261" s="33">
        <v>10</v>
      </c>
      <c r="AL261" s="33">
        <f t="shared" si="32"/>
        <v>80</v>
      </c>
      <c r="AM261" s="33" t="str">
        <f t="shared" si="37"/>
        <v>RIESGO ACEPTABLE</v>
      </c>
      <c r="AN261" s="34"/>
      <c r="AO261" s="40"/>
      <c r="AP261" s="34" t="s">
        <v>895</v>
      </c>
      <c r="AQ261" s="34" t="s">
        <v>896</v>
      </c>
      <c r="AR261" s="34"/>
      <c r="AS261" s="61" t="s">
        <v>860</v>
      </c>
      <c r="EQ261" s="15"/>
      <c r="ER261" s="15"/>
      <c r="ES261" s="15"/>
      <c r="ET261" s="15"/>
      <c r="EU261" s="15"/>
      <c r="EV261" s="15"/>
    </row>
    <row r="262" spans="1:152" s="8" customFormat="1" ht="67.2" x14ac:dyDescent="0.25">
      <c r="A262" s="213"/>
      <c r="B262" s="197"/>
      <c r="C262" s="166"/>
      <c r="D262" s="204"/>
      <c r="E262" s="32" t="s">
        <v>87</v>
      </c>
      <c r="F262" s="152"/>
      <c r="G262" s="32" t="s">
        <v>888</v>
      </c>
      <c r="H262" s="34" t="s">
        <v>138</v>
      </c>
      <c r="I262" s="32" t="s">
        <v>1243</v>
      </c>
      <c r="J262" s="32" t="s">
        <v>858</v>
      </c>
      <c r="K262" s="32" t="s">
        <v>104</v>
      </c>
      <c r="L262" s="68" t="s">
        <v>475</v>
      </c>
      <c r="M262" s="73" t="s">
        <v>332</v>
      </c>
      <c r="N262" s="73" t="s">
        <v>875</v>
      </c>
      <c r="O262" s="73" t="s">
        <v>142</v>
      </c>
      <c r="P262" s="70">
        <v>2</v>
      </c>
      <c r="Q262" s="41">
        <v>2</v>
      </c>
      <c r="R262" s="33">
        <f t="shared" si="31"/>
        <v>4</v>
      </c>
      <c r="S262" s="33" t="str">
        <f t="shared" si="33"/>
        <v>BAJO</v>
      </c>
      <c r="T262" s="33">
        <v>10</v>
      </c>
      <c r="U262" s="75">
        <f t="shared" si="34"/>
        <v>40</v>
      </c>
      <c r="V262" s="33" t="str">
        <f t="shared" si="36"/>
        <v>lll</v>
      </c>
      <c r="W262" s="74" t="str">
        <f t="shared" si="35"/>
        <v>SI</v>
      </c>
      <c r="X262" s="33">
        <v>45</v>
      </c>
      <c r="Y262" s="31" t="s">
        <v>143</v>
      </c>
      <c r="Z262" s="33" t="s">
        <v>87</v>
      </c>
      <c r="AA262" s="34"/>
      <c r="AB262" s="40"/>
      <c r="AC262" s="40" t="s">
        <v>144</v>
      </c>
      <c r="AD262" s="34" t="s">
        <v>859</v>
      </c>
      <c r="AE262" s="34"/>
      <c r="AF262" s="34" t="s">
        <v>860</v>
      </c>
      <c r="AG262" s="41">
        <v>2</v>
      </c>
      <c r="AH262" s="41">
        <v>4</v>
      </c>
      <c r="AI262" s="33">
        <f t="shared" si="38"/>
        <v>8</v>
      </c>
      <c r="AJ262" s="33" t="str">
        <f t="shared" si="39"/>
        <v>MEDIO</v>
      </c>
      <c r="AK262" s="33">
        <v>10</v>
      </c>
      <c r="AL262" s="33">
        <f t="shared" si="32"/>
        <v>80</v>
      </c>
      <c r="AM262" s="33" t="str">
        <f t="shared" si="37"/>
        <v>RIESGO ACEPTABLE</v>
      </c>
      <c r="AN262" s="34"/>
      <c r="AO262" s="40"/>
      <c r="AP262" s="40" t="s">
        <v>861</v>
      </c>
      <c r="AQ262" s="34" t="s">
        <v>862</v>
      </c>
      <c r="AR262" s="34"/>
      <c r="AS262" s="61" t="s">
        <v>860</v>
      </c>
      <c r="EQ262" s="15"/>
      <c r="ER262" s="15"/>
      <c r="ES262" s="15"/>
      <c r="ET262" s="15"/>
      <c r="EU262" s="15"/>
      <c r="EV262" s="15"/>
    </row>
    <row r="263" spans="1:152" s="8" customFormat="1" ht="67.2" x14ac:dyDescent="0.25">
      <c r="A263" s="213"/>
      <c r="B263" s="197"/>
      <c r="C263" s="166"/>
      <c r="D263" s="204"/>
      <c r="E263" s="32" t="s">
        <v>87</v>
      </c>
      <c r="F263" s="152"/>
      <c r="G263" s="32" t="s">
        <v>888</v>
      </c>
      <c r="H263" s="34" t="s">
        <v>128</v>
      </c>
      <c r="I263" s="32" t="s">
        <v>1240</v>
      </c>
      <c r="J263" s="32" t="s">
        <v>910</v>
      </c>
      <c r="K263" s="32" t="s">
        <v>248</v>
      </c>
      <c r="L263" s="68" t="s">
        <v>131</v>
      </c>
      <c r="M263" s="73" t="s">
        <v>332</v>
      </c>
      <c r="N263" s="73" t="s">
        <v>875</v>
      </c>
      <c r="O263" s="73" t="s">
        <v>132</v>
      </c>
      <c r="P263" s="70">
        <v>2</v>
      </c>
      <c r="Q263" s="41">
        <v>3</v>
      </c>
      <c r="R263" s="33">
        <f t="shared" si="31"/>
        <v>6</v>
      </c>
      <c r="S263" s="33" t="str">
        <f t="shared" si="33"/>
        <v>MEDIO</v>
      </c>
      <c r="T263" s="33">
        <v>10</v>
      </c>
      <c r="U263" s="75">
        <f t="shared" si="34"/>
        <v>60</v>
      </c>
      <c r="V263" s="33" t="str">
        <f t="shared" si="36"/>
        <v>lll</v>
      </c>
      <c r="W263" s="74" t="str">
        <f t="shared" si="35"/>
        <v>SI</v>
      </c>
      <c r="X263" s="33">
        <v>45</v>
      </c>
      <c r="Y263" s="31" t="s">
        <v>133</v>
      </c>
      <c r="Z263" s="33" t="s">
        <v>87</v>
      </c>
      <c r="AA263" s="34"/>
      <c r="AB263" s="40"/>
      <c r="AC263" s="40"/>
      <c r="AD263" s="34" t="s">
        <v>911</v>
      </c>
      <c r="AE263" s="34"/>
      <c r="AF263" s="34" t="s">
        <v>912</v>
      </c>
      <c r="AG263" s="41">
        <v>2</v>
      </c>
      <c r="AH263" s="41">
        <v>3</v>
      </c>
      <c r="AI263" s="33">
        <f t="shared" si="38"/>
        <v>6</v>
      </c>
      <c r="AJ263" s="33" t="str">
        <f t="shared" si="39"/>
        <v>MEDIO</v>
      </c>
      <c r="AK263" s="33">
        <v>10</v>
      </c>
      <c r="AL263" s="33">
        <f t="shared" si="32"/>
        <v>60</v>
      </c>
      <c r="AM263" s="33" t="str">
        <f t="shared" si="37"/>
        <v>RIESGO ACEPTABLE</v>
      </c>
      <c r="AN263" s="34"/>
      <c r="AO263" s="40"/>
      <c r="AP263" s="40"/>
      <c r="AQ263" s="34" t="s">
        <v>136</v>
      </c>
      <c r="AR263" s="34" t="s">
        <v>913</v>
      </c>
      <c r="AS263" s="61" t="s">
        <v>880</v>
      </c>
      <c r="EQ263" s="15"/>
      <c r="ER263" s="15"/>
      <c r="ES263" s="15"/>
      <c r="ET263" s="15"/>
      <c r="EU263" s="15"/>
      <c r="EV263" s="15"/>
    </row>
    <row r="264" spans="1:152" s="8" customFormat="1" ht="67.2" x14ac:dyDescent="0.25">
      <c r="A264" s="213"/>
      <c r="B264" s="197"/>
      <c r="C264" s="166"/>
      <c r="D264" s="204"/>
      <c r="E264" s="32" t="s">
        <v>87</v>
      </c>
      <c r="F264" s="152"/>
      <c r="G264" s="32" t="s">
        <v>888</v>
      </c>
      <c r="H264" s="34" t="s">
        <v>114</v>
      </c>
      <c r="I264" s="32" t="s">
        <v>1234</v>
      </c>
      <c r="J264" s="47" t="s">
        <v>973</v>
      </c>
      <c r="K264" s="32" t="s">
        <v>104</v>
      </c>
      <c r="L264" s="68" t="s">
        <v>117</v>
      </c>
      <c r="M264" s="73" t="s">
        <v>332</v>
      </c>
      <c r="N264" s="73" t="s">
        <v>875</v>
      </c>
      <c r="O264" s="73" t="s">
        <v>936</v>
      </c>
      <c r="P264" s="70">
        <v>2</v>
      </c>
      <c r="Q264" s="41">
        <v>4</v>
      </c>
      <c r="R264" s="33">
        <f t="shared" si="31"/>
        <v>8</v>
      </c>
      <c r="S264" s="33" t="str">
        <f t="shared" si="33"/>
        <v>MEDIO</v>
      </c>
      <c r="T264" s="33">
        <v>25</v>
      </c>
      <c r="U264" s="75">
        <f t="shared" si="34"/>
        <v>200</v>
      </c>
      <c r="V264" s="33" t="str">
        <f t="shared" si="36"/>
        <v>ll</v>
      </c>
      <c r="W264" s="74" t="str">
        <f t="shared" si="35"/>
        <v>NO</v>
      </c>
      <c r="X264" s="33">
        <v>45</v>
      </c>
      <c r="Y264" s="31" t="s">
        <v>119</v>
      </c>
      <c r="Z264" s="33" t="s">
        <v>87</v>
      </c>
      <c r="AA264" s="34"/>
      <c r="AB264" s="40"/>
      <c r="AC264" s="40" t="s">
        <v>120</v>
      </c>
      <c r="AD264" s="34" t="s">
        <v>121</v>
      </c>
      <c r="AE264" s="34" t="s">
        <v>844</v>
      </c>
      <c r="AF264" s="34" t="s">
        <v>1296</v>
      </c>
      <c r="AG264" s="41">
        <v>0</v>
      </c>
      <c r="AH264" s="41">
        <v>4</v>
      </c>
      <c r="AI264" s="33">
        <f t="shared" si="38"/>
        <v>0</v>
      </c>
      <c r="AJ264" s="33" t="str">
        <f t="shared" si="39"/>
        <v>BAJO</v>
      </c>
      <c r="AK264" s="33">
        <v>25</v>
      </c>
      <c r="AL264" s="33">
        <f t="shared" si="32"/>
        <v>0</v>
      </c>
      <c r="AM264" s="33" t="str">
        <f t="shared" si="37"/>
        <v>RIESGO ACEPTABLE</v>
      </c>
      <c r="AN264" s="34"/>
      <c r="AO264" s="40"/>
      <c r="AP264" s="40" t="s">
        <v>890</v>
      </c>
      <c r="AQ264" s="34" t="s">
        <v>846</v>
      </c>
      <c r="AR264" s="34" t="s">
        <v>847</v>
      </c>
      <c r="AS264" s="61" t="s">
        <v>1296</v>
      </c>
      <c r="EQ264" s="15"/>
      <c r="ER264" s="15"/>
      <c r="ES264" s="15"/>
      <c r="ET264" s="15"/>
      <c r="EU264" s="15"/>
      <c r="EV264" s="15"/>
    </row>
    <row r="265" spans="1:152" s="8" customFormat="1" ht="57.6" x14ac:dyDescent="0.25">
      <c r="A265" s="213"/>
      <c r="B265" s="197"/>
      <c r="C265" s="166" t="s">
        <v>974</v>
      </c>
      <c r="D265" s="204" t="s">
        <v>974</v>
      </c>
      <c r="E265" s="32" t="s">
        <v>87</v>
      </c>
      <c r="F265" s="152" t="s">
        <v>975</v>
      </c>
      <c r="G265" s="32" t="s">
        <v>976</v>
      </c>
      <c r="H265" s="34" t="s">
        <v>183</v>
      </c>
      <c r="I265" s="34" t="s">
        <v>1252</v>
      </c>
      <c r="J265" s="47" t="s">
        <v>977</v>
      </c>
      <c r="K265" s="34" t="s">
        <v>104</v>
      </c>
      <c r="L265" s="68" t="s">
        <v>185</v>
      </c>
      <c r="M265" s="73" t="s">
        <v>332</v>
      </c>
      <c r="N265" s="73" t="s">
        <v>978</v>
      </c>
      <c r="O265" s="73" t="s">
        <v>491</v>
      </c>
      <c r="P265" s="70">
        <v>2</v>
      </c>
      <c r="Q265" s="41">
        <v>3</v>
      </c>
      <c r="R265" s="33">
        <f t="shared" si="31"/>
        <v>6</v>
      </c>
      <c r="S265" s="33" t="str">
        <f t="shared" si="33"/>
        <v>MEDIO</v>
      </c>
      <c r="T265" s="33">
        <v>10</v>
      </c>
      <c r="U265" s="75">
        <f t="shared" si="34"/>
        <v>60</v>
      </c>
      <c r="V265" s="33" t="str">
        <f t="shared" si="36"/>
        <v>lll</v>
      </c>
      <c r="W265" s="74" t="str">
        <f t="shared" si="35"/>
        <v>SI</v>
      </c>
      <c r="X265" s="33">
        <v>45</v>
      </c>
      <c r="Y265" s="31" t="s">
        <v>178</v>
      </c>
      <c r="Z265" s="33" t="s">
        <v>87</v>
      </c>
      <c r="AA265" s="34"/>
      <c r="AB265" s="40"/>
      <c r="AC265" s="40"/>
      <c r="AD265" s="34" t="s">
        <v>979</v>
      </c>
      <c r="AE265" s="50" t="s">
        <v>980</v>
      </c>
      <c r="AF265" s="34" t="s">
        <v>901</v>
      </c>
      <c r="AG265" s="41">
        <v>2</v>
      </c>
      <c r="AH265" s="41">
        <v>3</v>
      </c>
      <c r="AI265" s="33">
        <f t="shared" si="38"/>
        <v>6</v>
      </c>
      <c r="AJ265" s="33" t="str">
        <f t="shared" si="39"/>
        <v>MEDIO</v>
      </c>
      <c r="AK265" s="33">
        <v>10</v>
      </c>
      <c r="AL265" s="33">
        <f t="shared" si="32"/>
        <v>60</v>
      </c>
      <c r="AM265" s="33" t="str">
        <f t="shared" si="37"/>
        <v>RIESGO ACEPTABLE</v>
      </c>
      <c r="AN265" s="34"/>
      <c r="AO265" s="40"/>
      <c r="AP265" s="40"/>
      <c r="AQ265" s="56" t="s">
        <v>981</v>
      </c>
      <c r="AR265" s="50" t="s">
        <v>980</v>
      </c>
      <c r="AS265" s="61" t="s">
        <v>901</v>
      </c>
      <c r="EQ265" s="15"/>
      <c r="ER265" s="15"/>
      <c r="ES265" s="15"/>
      <c r="ET265" s="15"/>
      <c r="EU265" s="15"/>
      <c r="EV265" s="15"/>
    </row>
    <row r="266" spans="1:152" s="8" customFormat="1" ht="57.6" x14ac:dyDescent="0.25">
      <c r="A266" s="213"/>
      <c r="B266" s="197"/>
      <c r="C266" s="166"/>
      <c r="D266" s="204"/>
      <c r="E266" s="32" t="s">
        <v>87</v>
      </c>
      <c r="F266" s="152"/>
      <c r="G266" s="32" t="s">
        <v>976</v>
      </c>
      <c r="H266" s="34" t="s">
        <v>183</v>
      </c>
      <c r="I266" s="34" t="s">
        <v>170</v>
      </c>
      <c r="J266" s="34" t="s">
        <v>982</v>
      </c>
      <c r="K266" s="34" t="s">
        <v>104</v>
      </c>
      <c r="L266" s="68" t="s">
        <v>185</v>
      </c>
      <c r="M266" s="73" t="s">
        <v>332</v>
      </c>
      <c r="N266" s="73" t="s">
        <v>978</v>
      </c>
      <c r="O266" s="73" t="s">
        <v>491</v>
      </c>
      <c r="P266" s="70">
        <v>2</v>
      </c>
      <c r="Q266" s="41">
        <v>3</v>
      </c>
      <c r="R266" s="33">
        <f>P266*Q266</f>
        <v>6</v>
      </c>
      <c r="S266" s="33" t="str">
        <f t="shared" si="33"/>
        <v>MEDIO</v>
      </c>
      <c r="T266" s="33">
        <v>10</v>
      </c>
      <c r="U266" s="75">
        <f t="shared" si="34"/>
        <v>60</v>
      </c>
      <c r="V266" s="33" t="str">
        <f t="shared" si="36"/>
        <v>lll</v>
      </c>
      <c r="W266" s="74" t="str">
        <f t="shared" si="35"/>
        <v>SI</v>
      </c>
      <c r="X266" s="33">
        <v>45</v>
      </c>
      <c r="Y266" s="31" t="s">
        <v>178</v>
      </c>
      <c r="Z266" s="33" t="s">
        <v>87</v>
      </c>
      <c r="AA266" s="34"/>
      <c r="AB266" s="40"/>
      <c r="AC266" s="50"/>
      <c r="AD266" s="50" t="s">
        <v>983</v>
      </c>
      <c r="AE266" s="50" t="s">
        <v>980</v>
      </c>
      <c r="AF266" s="34" t="s">
        <v>901</v>
      </c>
      <c r="AG266" s="41">
        <v>2</v>
      </c>
      <c r="AH266" s="41">
        <v>3</v>
      </c>
      <c r="AI266" s="33">
        <f>AG266*AH266</f>
        <v>6</v>
      </c>
      <c r="AJ266" s="33" t="str">
        <f>IF(AND(AI266&gt;=0,AI266&lt;=4),"BAJO",IF(AND(AI266&gt;=6,AI266&lt;=8),"MEDIO",IF(AND(AI266&gt;=10,AI266&lt;=20),"ALTO",IF(AND(AI266&gt;=24,AI266&lt;=40),"MUY ALTO"))))</f>
        <v>MEDIO</v>
      </c>
      <c r="AK266" s="33">
        <v>10</v>
      </c>
      <c r="AL266" s="33">
        <f t="shared" si="32"/>
        <v>60</v>
      </c>
      <c r="AM266" s="33" t="str">
        <f t="shared" si="37"/>
        <v>RIESGO ACEPTABLE</v>
      </c>
      <c r="AN266" s="34"/>
      <c r="AO266" s="40"/>
      <c r="AP266" s="40"/>
      <c r="AQ266" s="34" t="s">
        <v>984</v>
      </c>
      <c r="AR266" s="50" t="s">
        <v>980</v>
      </c>
      <c r="AS266" s="61" t="s">
        <v>901</v>
      </c>
      <c r="EQ266" s="15"/>
      <c r="ER266" s="15"/>
      <c r="ES266" s="15"/>
      <c r="ET266" s="15"/>
      <c r="EU266" s="15"/>
      <c r="EV266" s="15"/>
    </row>
    <row r="267" spans="1:152" s="8" customFormat="1" ht="48" x14ac:dyDescent="0.25">
      <c r="A267" s="213"/>
      <c r="B267" s="197"/>
      <c r="C267" s="166"/>
      <c r="D267" s="204"/>
      <c r="E267" s="32" t="s">
        <v>87</v>
      </c>
      <c r="F267" s="152"/>
      <c r="G267" s="32" t="s">
        <v>976</v>
      </c>
      <c r="H267" s="34" t="s">
        <v>253</v>
      </c>
      <c r="I267" s="32" t="s">
        <v>1241</v>
      </c>
      <c r="J267" s="32" t="s">
        <v>254</v>
      </c>
      <c r="K267" s="34" t="s">
        <v>104</v>
      </c>
      <c r="L267" s="68" t="s">
        <v>255</v>
      </c>
      <c r="M267" s="73" t="s">
        <v>332</v>
      </c>
      <c r="N267" s="73" t="s">
        <v>161</v>
      </c>
      <c r="O267" s="73" t="s">
        <v>256</v>
      </c>
      <c r="P267" s="70">
        <v>6</v>
      </c>
      <c r="Q267" s="41">
        <v>2</v>
      </c>
      <c r="R267" s="33">
        <f>P267*Q267</f>
        <v>12</v>
      </c>
      <c r="S267" s="33" t="str">
        <f t="shared" si="33"/>
        <v>ALTO</v>
      </c>
      <c r="T267" s="33">
        <v>10</v>
      </c>
      <c r="U267" s="75">
        <f t="shared" si="34"/>
        <v>120</v>
      </c>
      <c r="V267" s="33" t="str">
        <f t="shared" si="36"/>
        <v>lll</v>
      </c>
      <c r="W267" s="74" t="str">
        <f t="shared" si="35"/>
        <v>SI</v>
      </c>
      <c r="X267" s="33">
        <v>45</v>
      </c>
      <c r="Y267" s="31" t="s">
        <v>257</v>
      </c>
      <c r="Z267" s="33" t="s">
        <v>87</v>
      </c>
      <c r="AA267" s="34"/>
      <c r="AB267" s="40"/>
      <c r="AC267" s="40" t="s">
        <v>985</v>
      </c>
      <c r="AD267" s="34" t="s">
        <v>919</v>
      </c>
      <c r="AE267" s="34" t="s">
        <v>190</v>
      </c>
      <c r="AF267" s="34" t="s">
        <v>842</v>
      </c>
      <c r="AG267" s="41">
        <v>2</v>
      </c>
      <c r="AH267" s="41">
        <v>3</v>
      </c>
      <c r="AI267" s="33">
        <f>AG267*AH267</f>
        <v>6</v>
      </c>
      <c r="AJ267" s="33" t="str">
        <f>IF(AND(AI267&gt;=0,AI267&lt;=4),"BAJO",IF(AND(AI267&gt;=6,AI267&lt;=8),"MEDIO",IF(AND(AI267&gt;=10,AI267&lt;=20),"ALTO",IF(AND(AI267&gt;=24,AI267&lt;=40),"MUY ALTO"))))</f>
        <v>MEDIO</v>
      </c>
      <c r="AK267" s="33">
        <v>10</v>
      </c>
      <c r="AL267" s="33">
        <f t="shared" si="32"/>
        <v>60</v>
      </c>
      <c r="AM267" s="33" t="str">
        <f t="shared" si="37"/>
        <v>RIESGO ACEPTABLE</v>
      </c>
      <c r="AN267" s="34"/>
      <c r="AO267" s="40"/>
      <c r="AP267" s="40" t="s">
        <v>920</v>
      </c>
      <c r="AQ267" s="34" t="s">
        <v>841</v>
      </c>
      <c r="AR267" s="34" t="s">
        <v>93</v>
      </c>
      <c r="AS267" s="61" t="s">
        <v>842</v>
      </c>
      <c r="EQ267" s="15"/>
      <c r="ER267" s="15"/>
      <c r="ES267" s="15"/>
      <c r="ET267" s="15"/>
      <c r="EU267" s="15"/>
      <c r="EV267" s="15"/>
    </row>
    <row r="268" spans="1:152" s="8" customFormat="1" ht="57.6" x14ac:dyDescent="0.25">
      <c r="A268" s="213"/>
      <c r="B268" s="197"/>
      <c r="C268" s="166"/>
      <c r="D268" s="204"/>
      <c r="E268" s="32" t="s">
        <v>87</v>
      </c>
      <c r="F268" s="152"/>
      <c r="G268" s="32" t="s">
        <v>976</v>
      </c>
      <c r="H268" s="34" t="s">
        <v>128</v>
      </c>
      <c r="I268" s="32" t="s">
        <v>1235</v>
      </c>
      <c r="J268" s="32" t="s">
        <v>910</v>
      </c>
      <c r="K268" s="32" t="s">
        <v>248</v>
      </c>
      <c r="L268" s="68" t="s">
        <v>131</v>
      </c>
      <c r="M268" s="73" t="s">
        <v>332</v>
      </c>
      <c r="N268" s="73" t="s">
        <v>978</v>
      </c>
      <c r="O268" s="73" t="s">
        <v>132</v>
      </c>
      <c r="P268" s="70">
        <v>2</v>
      </c>
      <c r="Q268" s="41">
        <v>3</v>
      </c>
      <c r="R268" s="33">
        <f>P268*Q268</f>
        <v>6</v>
      </c>
      <c r="S268" s="33" t="str">
        <f t="shared" si="33"/>
        <v>MEDIO</v>
      </c>
      <c r="T268" s="33">
        <v>10</v>
      </c>
      <c r="U268" s="75">
        <f t="shared" si="34"/>
        <v>60</v>
      </c>
      <c r="V268" s="33" t="str">
        <f t="shared" si="36"/>
        <v>lll</v>
      </c>
      <c r="W268" s="74" t="str">
        <f t="shared" si="35"/>
        <v>SI</v>
      </c>
      <c r="X268" s="33">
        <v>45</v>
      </c>
      <c r="Y268" s="31" t="s">
        <v>133</v>
      </c>
      <c r="Z268" s="33" t="s">
        <v>87</v>
      </c>
      <c r="AA268" s="34"/>
      <c r="AB268" s="40"/>
      <c r="AC268" s="40"/>
      <c r="AD268" s="34" t="s">
        <v>911</v>
      </c>
      <c r="AE268" s="34"/>
      <c r="AF268" s="34" t="s">
        <v>912</v>
      </c>
      <c r="AG268" s="41">
        <v>2</v>
      </c>
      <c r="AH268" s="41">
        <v>3</v>
      </c>
      <c r="AI268" s="33">
        <f>AG268*AH268</f>
        <v>6</v>
      </c>
      <c r="AJ268" s="33" t="str">
        <f>IF(AND(AI268&gt;=0,AI268&lt;=4),"BAJO",IF(AND(AI268&gt;=6,AI268&lt;=8),"MEDIO",IF(AND(AI268&gt;=10,AI268&lt;=20),"ALTO",IF(AND(AI268&gt;=24,AI268&lt;=40),"MUY ALTO"))))</f>
        <v>MEDIO</v>
      </c>
      <c r="AK268" s="33">
        <v>10</v>
      </c>
      <c r="AL268" s="33">
        <f t="shared" si="32"/>
        <v>60</v>
      </c>
      <c r="AM268" s="33" t="str">
        <f t="shared" si="37"/>
        <v>RIESGO ACEPTABLE</v>
      </c>
      <c r="AN268" s="34"/>
      <c r="AO268" s="40"/>
      <c r="AP268" s="40"/>
      <c r="AQ268" s="34" t="s">
        <v>136</v>
      </c>
      <c r="AR268" s="34" t="s">
        <v>913</v>
      </c>
      <c r="AS268" s="61" t="s">
        <v>880</v>
      </c>
      <c r="EQ268" s="15"/>
      <c r="ER268" s="15"/>
      <c r="ES268" s="15"/>
      <c r="ET268" s="15"/>
      <c r="EU268" s="15"/>
      <c r="EV268" s="15"/>
    </row>
    <row r="269" spans="1:152" s="8" customFormat="1" ht="38.4" x14ac:dyDescent="0.25">
      <c r="A269" s="213"/>
      <c r="B269" s="197"/>
      <c r="C269" s="166" t="s">
        <v>986</v>
      </c>
      <c r="D269" s="204" t="s">
        <v>986</v>
      </c>
      <c r="E269" s="32" t="s">
        <v>87</v>
      </c>
      <c r="F269" s="152" t="s">
        <v>975</v>
      </c>
      <c r="G269" s="32" t="s">
        <v>987</v>
      </c>
      <c r="H269" s="34" t="s">
        <v>198</v>
      </c>
      <c r="I269" s="32" t="s">
        <v>1241</v>
      </c>
      <c r="J269" s="32" t="s">
        <v>988</v>
      </c>
      <c r="K269" s="34" t="s">
        <v>104</v>
      </c>
      <c r="L269" s="68" t="s">
        <v>200</v>
      </c>
      <c r="M269" s="73" t="s">
        <v>332</v>
      </c>
      <c r="N269" s="73" t="s">
        <v>332</v>
      </c>
      <c r="O269" s="73" t="s">
        <v>201</v>
      </c>
      <c r="P269" s="70">
        <v>2</v>
      </c>
      <c r="Q269" s="41">
        <v>2</v>
      </c>
      <c r="R269" s="33">
        <f t="shared" si="31"/>
        <v>4</v>
      </c>
      <c r="S269" s="33" t="str">
        <f t="shared" si="33"/>
        <v>BAJO</v>
      </c>
      <c r="T269" s="33">
        <v>10</v>
      </c>
      <c r="U269" s="75">
        <f t="shared" si="34"/>
        <v>40</v>
      </c>
      <c r="V269" s="33" t="str">
        <f t="shared" si="36"/>
        <v>lll</v>
      </c>
      <c r="W269" s="74" t="str">
        <f t="shared" si="35"/>
        <v>SI</v>
      </c>
      <c r="X269" s="33">
        <v>45</v>
      </c>
      <c r="Y269" s="31" t="s">
        <v>202</v>
      </c>
      <c r="Z269" s="33" t="s">
        <v>87</v>
      </c>
      <c r="AA269" s="34"/>
      <c r="AB269" s="40"/>
      <c r="AC269" s="34" t="s">
        <v>989</v>
      </c>
      <c r="AD269" s="34" t="s">
        <v>990</v>
      </c>
      <c r="AE269" s="34"/>
      <c r="AF269" s="34" t="s">
        <v>148</v>
      </c>
      <c r="AG269" s="41">
        <v>2</v>
      </c>
      <c r="AH269" s="41">
        <v>2</v>
      </c>
      <c r="AI269" s="33">
        <f t="shared" si="38"/>
        <v>4</v>
      </c>
      <c r="AJ269" s="33" t="str">
        <f t="shared" si="39"/>
        <v>BAJO</v>
      </c>
      <c r="AK269" s="33">
        <v>25</v>
      </c>
      <c r="AL269" s="33">
        <f t="shared" si="32"/>
        <v>100</v>
      </c>
      <c r="AM269" s="33" t="str">
        <f t="shared" si="37"/>
        <v>RIESGO ACEPTABLE</v>
      </c>
      <c r="AN269" s="34"/>
      <c r="AO269" s="40"/>
      <c r="AP269" s="34" t="s">
        <v>991</v>
      </c>
      <c r="AQ269" s="34" t="s">
        <v>990</v>
      </c>
      <c r="AR269" s="34"/>
      <c r="AS269" s="61" t="s">
        <v>148</v>
      </c>
      <c r="EQ269" s="15"/>
      <c r="ER269" s="15"/>
      <c r="ES269" s="15"/>
      <c r="ET269" s="15"/>
      <c r="EU269" s="15"/>
      <c r="EV269" s="15"/>
    </row>
    <row r="270" spans="1:152" s="8" customFormat="1" ht="38.4" x14ac:dyDescent="0.25">
      <c r="A270" s="213"/>
      <c r="B270" s="197"/>
      <c r="C270" s="166"/>
      <c r="D270" s="204"/>
      <c r="E270" s="32" t="s">
        <v>87</v>
      </c>
      <c r="F270" s="152"/>
      <c r="G270" s="32" t="s">
        <v>987</v>
      </c>
      <c r="H270" s="34" t="s">
        <v>863</v>
      </c>
      <c r="I270" s="32" t="s">
        <v>1243</v>
      </c>
      <c r="J270" s="47" t="s">
        <v>864</v>
      </c>
      <c r="K270" s="32" t="s">
        <v>104</v>
      </c>
      <c r="L270" s="68" t="s">
        <v>141</v>
      </c>
      <c r="M270" s="73" t="s">
        <v>332</v>
      </c>
      <c r="N270" s="73" t="s">
        <v>84</v>
      </c>
      <c r="O270" s="73" t="s">
        <v>556</v>
      </c>
      <c r="P270" s="70">
        <v>2</v>
      </c>
      <c r="Q270" s="41">
        <v>2</v>
      </c>
      <c r="R270" s="33">
        <f t="shared" si="31"/>
        <v>4</v>
      </c>
      <c r="S270" s="33" t="str">
        <f t="shared" si="33"/>
        <v>BAJO</v>
      </c>
      <c r="T270" s="33">
        <v>10</v>
      </c>
      <c r="U270" s="75">
        <f t="shared" si="34"/>
        <v>40</v>
      </c>
      <c r="V270" s="33" t="str">
        <f t="shared" si="36"/>
        <v>lll</v>
      </c>
      <c r="W270" s="74" t="str">
        <f t="shared" si="35"/>
        <v>SI</v>
      </c>
      <c r="X270" s="33">
        <v>45</v>
      </c>
      <c r="Y270" s="31" t="s">
        <v>218</v>
      </c>
      <c r="Z270" s="33" t="s">
        <v>87</v>
      </c>
      <c r="AA270" s="34"/>
      <c r="AB270" s="40"/>
      <c r="AC270" s="34" t="s">
        <v>992</v>
      </c>
      <c r="AD270" s="34" t="s">
        <v>859</v>
      </c>
      <c r="AE270" s="34"/>
      <c r="AF270" s="34" t="s">
        <v>860</v>
      </c>
      <c r="AG270" s="41">
        <v>2</v>
      </c>
      <c r="AH270" s="41">
        <v>2</v>
      </c>
      <c r="AI270" s="33">
        <f t="shared" si="38"/>
        <v>4</v>
      </c>
      <c r="AJ270" s="33" t="str">
        <f t="shared" si="39"/>
        <v>BAJO</v>
      </c>
      <c r="AK270" s="33">
        <v>25</v>
      </c>
      <c r="AL270" s="33">
        <f t="shared" si="32"/>
        <v>100</v>
      </c>
      <c r="AM270" s="33" t="str">
        <f t="shared" si="37"/>
        <v>RIESGO ACEPTABLE</v>
      </c>
      <c r="AN270" s="34"/>
      <c r="AO270" s="40"/>
      <c r="AP270" s="34" t="s">
        <v>993</v>
      </c>
      <c r="AQ270" s="34" t="s">
        <v>896</v>
      </c>
      <c r="AR270" s="34"/>
      <c r="AS270" s="61" t="s">
        <v>860</v>
      </c>
      <c r="EQ270" s="15"/>
      <c r="ER270" s="15"/>
      <c r="ES270" s="15"/>
      <c r="ET270" s="15"/>
      <c r="EU270" s="15"/>
      <c r="EV270" s="15"/>
    </row>
    <row r="271" spans="1:152" s="8" customFormat="1" ht="57.6" x14ac:dyDescent="0.25">
      <c r="A271" s="213"/>
      <c r="B271" s="197"/>
      <c r="C271" s="166"/>
      <c r="D271" s="204"/>
      <c r="E271" s="32" t="s">
        <v>87</v>
      </c>
      <c r="F271" s="152"/>
      <c r="G271" s="32" t="s">
        <v>987</v>
      </c>
      <c r="H271" s="34" t="s">
        <v>183</v>
      </c>
      <c r="I271" s="34" t="s">
        <v>1252</v>
      </c>
      <c r="J271" s="34" t="s">
        <v>994</v>
      </c>
      <c r="K271" s="34" t="s">
        <v>104</v>
      </c>
      <c r="L271" s="68" t="s">
        <v>185</v>
      </c>
      <c r="M271" s="73" t="s">
        <v>332</v>
      </c>
      <c r="N271" s="73" t="s">
        <v>84</v>
      </c>
      <c r="O271" s="73" t="s">
        <v>491</v>
      </c>
      <c r="P271" s="70">
        <v>2</v>
      </c>
      <c r="Q271" s="41">
        <v>3</v>
      </c>
      <c r="R271" s="33">
        <f t="shared" si="31"/>
        <v>6</v>
      </c>
      <c r="S271" s="33" t="str">
        <f t="shared" si="33"/>
        <v>MEDIO</v>
      </c>
      <c r="T271" s="33">
        <v>10</v>
      </c>
      <c r="U271" s="75">
        <f t="shared" si="34"/>
        <v>60</v>
      </c>
      <c r="V271" s="33" t="str">
        <f t="shared" si="36"/>
        <v>lll</v>
      </c>
      <c r="W271" s="74" t="str">
        <f t="shared" si="35"/>
        <v>SI</v>
      </c>
      <c r="X271" s="33">
        <v>45</v>
      </c>
      <c r="Y271" s="31" t="s">
        <v>178</v>
      </c>
      <c r="Z271" s="33" t="s">
        <v>87</v>
      </c>
      <c r="AA271" s="34"/>
      <c r="AB271" s="40"/>
      <c r="AC271" s="40" t="s">
        <v>898</v>
      </c>
      <c r="AD271" s="34" t="s">
        <v>899</v>
      </c>
      <c r="AE271" s="34" t="s">
        <v>900</v>
      </c>
      <c r="AF271" s="34" t="s">
        <v>901</v>
      </c>
      <c r="AG271" s="41">
        <v>2</v>
      </c>
      <c r="AH271" s="41">
        <v>2</v>
      </c>
      <c r="AI271" s="33">
        <f t="shared" si="38"/>
        <v>4</v>
      </c>
      <c r="AJ271" s="33" t="str">
        <f t="shared" si="39"/>
        <v>BAJO</v>
      </c>
      <c r="AK271" s="33">
        <v>25</v>
      </c>
      <c r="AL271" s="33">
        <f t="shared" si="32"/>
        <v>100</v>
      </c>
      <c r="AM271" s="33" t="str">
        <f t="shared" si="37"/>
        <v>RIESGO ACEPTABLE</v>
      </c>
      <c r="AN271" s="34"/>
      <c r="AO271" s="40"/>
      <c r="AP271" s="40" t="s">
        <v>902</v>
      </c>
      <c r="AQ271" s="34" t="s">
        <v>903</v>
      </c>
      <c r="AR271" s="34" t="s">
        <v>900</v>
      </c>
      <c r="AS271" s="61" t="s">
        <v>901</v>
      </c>
      <c r="EQ271" s="15"/>
      <c r="ER271" s="15"/>
      <c r="ES271" s="15"/>
      <c r="ET271" s="15"/>
      <c r="EU271" s="15"/>
      <c r="EV271" s="15"/>
    </row>
    <row r="272" spans="1:152" s="8" customFormat="1" ht="38.4" x14ac:dyDescent="0.25">
      <c r="A272" s="213"/>
      <c r="B272" s="197"/>
      <c r="C272" s="166"/>
      <c r="D272" s="204"/>
      <c r="E272" s="32" t="s">
        <v>87</v>
      </c>
      <c r="F272" s="152"/>
      <c r="G272" s="32" t="s">
        <v>987</v>
      </c>
      <c r="H272" s="34" t="s">
        <v>114</v>
      </c>
      <c r="I272" s="32" t="s">
        <v>1241</v>
      </c>
      <c r="J272" s="47" t="s">
        <v>973</v>
      </c>
      <c r="K272" s="32" t="s">
        <v>104</v>
      </c>
      <c r="L272" s="68" t="s">
        <v>117</v>
      </c>
      <c r="M272" s="73" t="s">
        <v>332</v>
      </c>
      <c r="N272" s="73" t="s">
        <v>332</v>
      </c>
      <c r="O272" s="73" t="s">
        <v>936</v>
      </c>
      <c r="P272" s="70">
        <v>2</v>
      </c>
      <c r="Q272" s="41">
        <v>2</v>
      </c>
      <c r="R272" s="33">
        <f t="shared" si="31"/>
        <v>4</v>
      </c>
      <c r="S272" s="33" t="str">
        <f t="shared" si="33"/>
        <v>BAJO</v>
      </c>
      <c r="T272" s="33">
        <v>10</v>
      </c>
      <c r="U272" s="75">
        <f t="shared" si="34"/>
        <v>40</v>
      </c>
      <c r="V272" s="33" t="str">
        <f t="shared" si="36"/>
        <v>lll</v>
      </c>
      <c r="W272" s="74" t="str">
        <f t="shared" si="35"/>
        <v>SI</v>
      </c>
      <c r="X272" s="33">
        <v>45</v>
      </c>
      <c r="Y272" s="31" t="s">
        <v>119</v>
      </c>
      <c r="Z272" s="33" t="s">
        <v>87</v>
      </c>
      <c r="AA272" s="34"/>
      <c r="AB272" s="40"/>
      <c r="AC272" s="40" t="s">
        <v>120</v>
      </c>
      <c r="AD272" s="34" t="s">
        <v>121</v>
      </c>
      <c r="AE272" s="34" t="s">
        <v>844</v>
      </c>
      <c r="AF272" s="34" t="s">
        <v>1296</v>
      </c>
      <c r="AG272" s="41">
        <v>2</v>
      </c>
      <c r="AH272" s="41">
        <v>2</v>
      </c>
      <c r="AI272" s="33">
        <f t="shared" si="38"/>
        <v>4</v>
      </c>
      <c r="AJ272" s="33" t="str">
        <f t="shared" si="39"/>
        <v>BAJO</v>
      </c>
      <c r="AK272" s="33">
        <v>25</v>
      </c>
      <c r="AL272" s="33">
        <f t="shared" si="32"/>
        <v>100</v>
      </c>
      <c r="AM272" s="33" t="str">
        <f t="shared" si="37"/>
        <v>RIESGO ACEPTABLE</v>
      </c>
      <c r="AN272" s="34"/>
      <c r="AO272" s="40"/>
      <c r="AP272" s="40" t="s">
        <v>995</v>
      </c>
      <c r="AQ272" s="34" t="s">
        <v>846</v>
      </c>
      <c r="AR272" s="34" t="s">
        <v>847</v>
      </c>
      <c r="AS272" s="61" t="s">
        <v>1296</v>
      </c>
      <c r="EQ272" s="15"/>
      <c r="ER272" s="15"/>
      <c r="ES272" s="15"/>
      <c r="ET272" s="15"/>
      <c r="EU272" s="15"/>
      <c r="EV272" s="15"/>
    </row>
    <row r="273" spans="1:152" s="8" customFormat="1" ht="48" x14ac:dyDescent="0.25">
      <c r="A273" s="213"/>
      <c r="B273" s="197"/>
      <c r="C273" s="166"/>
      <c r="D273" s="204"/>
      <c r="E273" s="32" t="s">
        <v>87</v>
      </c>
      <c r="F273" s="152"/>
      <c r="G273" s="32" t="s">
        <v>987</v>
      </c>
      <c r="H273" s="34" t="s">
        <v>246</v>
      </c>
      <c r="I273" s="32" t="s">
        <v>1241</v>
      </c>
      <c r="J273" s="32" t="s">
        <v>247</v>
      </c>
      <c r="K273" s="32" t="s">
        <v>248</v>
      </c>
      <c r="L273" s="68" t="s">
        <v>249</v>
      </c>
      <c r="M273" s="73" t="s">
        <v>332</v>
      </c>
      <c r="N273" s="73" t="s">
        <v>978</v>
      </c>
      <c r="O273" s="73" t="s">
        <v>250</v>
      </c>
      <c r="P273" s="70">
        <v>2</v>
      </c>
      <c r="Q273" s="41">
        <v>2</v>
      </c>
      <c r="R273" s="33">
        <f t="shared" si="31"/>
        <v>4</v>
      </c>
      <c r="S273" s="33" t="str">
        <f t="shared" si="33"/>
        <v>BAJO</v>
      </c>
      <c r="T273" s="33">
        <v>10</v>
      </c>
      <c r="U273" s="75">
        <f t="shared" si="34"/>
        <v>40</v>
      </c>
      <c r="V273" s="33" t="str">
        <f t="shared" si="36"/>
        <v>lll</v>
      </c>
      <c r="W273" s="74" t="str">
        <f t="shared" si="35"/>
        <v>SI</v>
      </c>
      <c r="X273" s="33">
        <v>45</v>
      </c>
      <c r="Y273" s="31" t="s">
        <v>251</v>
      </c>
      <c r="Z273" s="33" t="s">
        <v>87</v>
      </c>
      <c r="AA273" s="34"/>
      <c r="AB273" s="40"/>
      <c r="AC273" s="40"/>
      <c r="AD273" s="34" t="s">
        <v>252</v>
      </c>
      <c r="AE273" s="34"/>
      <c r="AF273" s="34"/>
      <c r="AG273" s="41">
        <v>2</v>
      </c>
      <c r="AH273" s="41">
        <v>3</v>
      </c>
      <c r="AI273" s="33">
        <f t="shared" si="38"/>
        <v>6</v>
      </c>
      <c r="AJ273" s="33" t="str">
        <f t="shared" si="39"/>
        <v>MEDIO</v>
      </c>
      <c r="AK273" s="33">
        <v>10</v>
      </c>
      <c r="AL273" s="33">
        <f t="shared" si="32"/>
        <v>60</v>
      </c>
      <c r="AM273" s="33" t="str">
        <f t="shared" si="37"/>
        <v>RIESGO ACEPTABLE</v>
      </c>
      <c r="AN273" s="34"/>
      <c r="AO273" s="40"/>
      <c r="AP273" s="40"/>
      <c r="AQ273" s="34" t="s">
        <v>252</v>
      </c>
      <c r="AR273" s="34"/>
      <c r="AS273" s="61"/>
      <c r="EQ273" s="15"/>
      <c r="ER273" s="15"/>
      <c r="ES273" s="15"/>
      <c r="ET273" s="15"/>
      <c r="EU273" s="15"/>
      <c r="EV273" s="15"/>
    </row>
    <row r="274" spans="1:152" s="8" customFormat="1" ht="67.2" x14ac:dyDescent="0.25">
      <c r="A274" s="213"/>
      <c r="B274" s="197"/>
      <c r="C274" s="166"/>
      <c r="D274" s="204"/>
      <c r="E274" s="32" t="s">
        <v>87</v>
      </c>
      <c r="F274" s="152"/>
      <c r="G274" s="32" t="s">
        <v>987</v>
      </c>
      <c r="H274" s="34" t="s">
        <v>550</v>
      </c>
      <c r="I274" s="32" t="s">
        <v>1233</v>
      </c>
      <c r="J274" s="57" t="s">
        <v>996</v>
      </c>
      <c r="K274" s="34" t="s">
        <v>104</v>
      </c>
      <c r="L274" s="68" t="s">
        <v>552</v>
      </c>
      <c r="M274" s="73" t="s">
        <v>332</v>
      </c>
      <c r="N274" s="73" t="s">
        <v>106</v>
      </c>
      <c r="O274" s="73" t="s">
        <v>522</v>
      </c>
      <c r="P274" s="70">
        <v>2</v>
      </c>
      <c r="Q274" s="41">
        <v>3</v>
      </c>
      <c r="R274" s="33">
        <f t="shared" si="31"/>
        <v>6</v>
      </c>
      <c r="S274" s="33" t="str">
        <f t="shared" si="33"/>
        <v>MEDIO</v>
      </c>
      <c r="T274" s="33">
        <v>10</v>
      </c>
      <c r="U274" s="75">
        <f t="shared" si="34"/>
        <v>60</v>
      </c>
      <c r="V274" s="33" t="str">
        <f t="shared" si="36"/>
        <v>lll</v>
      </c>
      <c r="W274" s="74" t="str">
        <f t="shared" si="35"/>
        <v>SI</v>
      </c>
      <c r="X274" s="33">
        <v>45</v>
      </c>
      <c r="Y274" s="31" t="s">
        <v>108</v>
      </c>
      <c r="Z274" s="33" t="s">
        <v>87</v>
      </c>
      <c r="AA274" s="34"/>
      <c r="AB274" s="40"/>
      <c r="AC274" s="34" t="s">
        <v>849</v>
      </c>
      <c r="AD274" s="34" t="s">
        <v>109</v>
      </c>
      <c r="AE274" s="34" t="s">
        <v>274</v>
      </c>
      <c r="AF274" s="34" t="s">
        <v>320</v>
      </c>
      <c r="AG274" s="41">
        <v>2</v>
      </c>
      <c r="AH274" s="41">
        <v>2</v>
      </c>
      <c r="AI274" s="33">
        <f t="shared" si="38"/>
        <v>4</v>
      </c>
      <c r="AJ274" s="33" t="str">
        <f t="shared" si="39"/>
        <v>BAJO</v>
      </c>
      <c r="AK274" s="33">
        <v>25</v>
      </c>
      <c r="AL274" s="33">
        <f t="shared" si="32"/>
        <v>100</v>
      </c>
      <c r="AM274" s="33" t="str">
        <f t="shared" si="37"/>
        <v>RIESGO ACEPTABLE</v>
      </c>
      <c r="AN274" s="34"/>
      <c r="AO274" s="40"/>
      <c r="AP274" s="34" t="s">
        <v>965</v>
      </c>
      <c r="AQ274" s="34" t="s">
        <v>966</v>
      </c>
      <c r="AR274" s="34" t="s">
        <v>274</v>
      </c>
      <c r="AS274" s="61" t="s">
        <v>320</v>
      </c>
      <c r="EQ274" s="15"/>
      <c r="ER274" s="15"/>
      <c r="ES274" s="15"/>
      <c r="ET274" s="15"/>
      <c r="EU274" s="15"/>
      <c r="EV274" s="15"/>
    </row>
    <row r="275" spans="1:152" s="8" customFormat="1" ht="57.6" x14ac:dyDescent="0.25">
      <c r="A275" s="213"/>
      <c r="B275" s="197"/>
      <c r="C275" s="166"/>
      <c r="D275" s="204"/>
      <c r="E275" s="32" t="s">
        <v>87</v>
      </c>
      <c r="F275" s="152"/>
      <c r="G275" s="32" t="s">
        <v>987</v>
      </c>
      <c r="H275" s="34" t="s">
        <v>128</v>
      </c>
      <c r="I275" s="32" t="s">
        <v>1235</v>
      </c>
      <c r="J275" s="32" t="s">
        <v>910</v>
      </c>
      <c r="K275" s="32" t="s">
        <v>248</v>
      </c>
      <c r="L275" s="68" t="s">
        <v>131</v>
      </c>
      <c r="M275" s="73" t="s">
        <v>332</v>
      </c>
      <c r="N275" s="73" t="s">
        <v>978</v>
      </c>
      <c r="O275" s="73" t="s">
        <v>132</v>
      </c>
      <c r="P275" s="70">
        <v>2</v>
      </c>
      <c r="Q275" s="41">
        <v>3</v>
      </c>
      <c r="R275" s="33">
        <f t="shared" si="31"/>
        <v>6</v>
      </c>
      <c r="S275" s="33" t="str">
        <f t="shared" ref="S275:S329" si="40">IF(AND(R275&gt;=0,R275&lt;=4),"BAJO",IF(AND(R275&gt;=6,R275&lt;=8),"MEDIO",IF(AND(R275&gt;=10,R275&lt;=20),"ALTO",IF(AND(R275&gt;=24,R275&lt;=40),"MUY ALTO"))))</f>
        <v>MEDIO</v>
      </c>
      <c r="T275" s="33">
        <v>10</v>
      </c>
      <c r="U275" s="75">
        <f t="shared" si="34"/>
        <v>60</v>
      </c>
      <c r="V275" s="33" t="str">
        <f t="shared" si="36"/>
        <v>lll</v>
      </c>
      <c r="W275" s="74" t="str">
        <f t="shared" si="35"/>
        <v>SI</v>
      </c>
      <c r="X275" s="33">
        <v>45</v>
      </c>
      <c r="Y275" s="31" t="s">
        <v>133</v>
      </c>
      <c r="Z275" s="33" t="s">
        <v>87</v>
      </c>
      <c r="AA275" s="34"/>
      <c r="AB275" s="40"/>
      <c r="AC275" s="40"/>
      <c r="AD275" s="34" t="s">
        <v>911</v>
      </c>
      <c r="AE275" s="34"/>
      <c r="AF275" s="34" t="s">
        <v>912</v>
      </c>
      <c r="AG275" s="41">
        <v>2</v>
      </c>
      <c r="AH275" s="41">
        <v>3</v>
      </c>
      <c r="AI275" s="33">
        <f t="shared" si="38"/>
        <v>6</v>
      </c>
      <c r="AJ275" s="33" t="str">
        <f t="shared" si="39"/>
        <v>MEDIO</v>
      </c>
      <c r="AK275" s="33">
        <v>10</v>
      </c>
      <c r="AL275" s="33">
        <f t="shared" si="32"/>
        <v>60</v>
      </c>
      <c r="AM275" s="33" t="str">
        <f t="shared" si="37"/>
        <v>RIESGO ACEPTABLE</v>
      </c>
      <c r="AN275" s="34"/>
      <c r="AO275" s="40"/>
      <c r="AP275" s="40"/>
      <c r="AQ275" s="34" t="s">
        <v>136</v>
      </c>
      <c r="AR275" s="34" t="s">
        <v>913</v>
      </c>
      <c r="AS275" s="61" t="s">
        <v>880</v>
      </c>
      <c r="EQ275" s="15"/>
      <c r="ER275" s="15"/>
      <c r="ES275" s="15"/>
      <c r="ET275" s="15"/>
      <c r="EU275" s="15"/>
      <c r="EV275" s="15"/>
    </row>
    <row r="276" spans="1:152" s="8" customFormat="1" ht="45.6" x14ac:dyDescent="0.25">
      <c r="A276" s="213"/>
      <c r="B276" s="197"/>
      <c r="C276" s="166" t="s">
        <v>997</v>
      </c>
      <c r="D276" s="196" t="s">
        <v>998</v>
      </c>
      <c r="E276" s="32" t="s">
        <v>87</v>
      </c>
      <c r="F276" s="152" t="s">
        <v>999</v>
      </c>
      <c r="G276" s="32" t="s">
        <v>1000</v>
      </c>
      <c r="H276" s="34" t="s">
        <v>631</v>
      </c>
      <c r="I276" s="32" t="s">
        <v>1252</v>
      </c>
      <c r="J276" s="32" t="s">
        <v>1001</v>
      </c>
      <c r="K276" s="34" t="s">
        <v>104</v>
      </c>
      <c r="L276" s="68" t="s">
        <v>633</v>
      </c>
      <c r="M276" s="73" t="s">
        <v>332</v>
      </c>
      <c r="N276" s="73" t="s">
        <v>1260</v>
      </c>
      <c r="O276" s="73" t="s">
        <v>318</v>
      </c>
      <c r="P276" s="70">
        <v>2</v>
      </c>
      <c r="Q276" s="41">
        <v>3</v>
      </c>
      <c r="R276" s="33">
        <f t="shared" si="31"/>
        <v>6</v>
      </c>
      <c r="S276" s="33" t="str">
        <f t="shared" si="40"/>
        <v>MEDIO</v>
      </c>
      <c r="T276" s="33">
        <v>25</v>
      </c>
      <c r="U276" s="75">
        <f t="shared" ref="U276:U329" si="41">R276*T276</f>
        <v>150</v>
      </c>
      <c r="V276" s="33" t="str">
        <f t="shared" si="36"/>
        <v>ll</v>
      </c>
      <c r="W276" s="74" t="str">
        <f t="shared" ref="W276:W329" si="42">IF(AND(V276="lV"),"SI",IF(AND(V276="lll"),"SI",IF(AND(V276="ll"),"NO",IF(AND(V276="l"),"NO"))))</f>
        <v>NO</v>
      </c>
      <c r="X276" s="33">
        <v>45</v>
      </c>
      <c r="Y276" s="31" t="s">
        <v>634</v>
      </c>
      <c r="Z276" s="33" t="s">
        <v>87</v>
      </c>
      <c r="AA276" s="34"/>
      <c r="AB276" s="40"/>
      <c r="AC276" s="40" t="s">
        <v>1003</v>
      </c>
      <c r="AD276" s="34" t="s">
        <v>1004</v>
      </c>
      <c r="AE276" s="34"/>
      <c r="AF276" s="34" t="s">
        <v>182</v>
      </c>
      <c r="AG276" s="41">
        <v>2</v>
      </c>
      <c r="AH276" s="41">
        <v>3</v>
      </c>
      <c r="AI276" s="33">
        <f t="shared" si="38"/>
        <v>6</v>
      </c>
      <c r="AJ276" s="33" t="str">
        <f t="shared" si="39"/>
        <v>MEDIO</v>
      </c>
      <c r="AK276" s="33">
        <v>25</v>
      </c>
      <c r="AL276" s="33">
        <f t="shared" si="32"/>
        <v>150</v>
      </c>
      <c r="AM276" s="33" t="str">
        <f t="shared" si="37"/>
        <v xml:space="preserve"> RIESGO ACEPTABLE CON CONTROL ESPECIFICO</v>
      </c>
      <c r="AN276" s="34"/>
      <c r="AO276" s="40"/>
      <c r="AP276" s="40" t="s">
        <v>1003</v>
      </c>
      <c r="AQ276" s="102" t="s">
        <v>1191</v>
      </c>
      <c r="AR276" s="34"/>
      <c r="AS276" s="61" t="s">
        <v>182</v>
      </c>
      <c r="EQ276" s="15"/>
      <c r="ER276" s="15"/>
      <c r="ES276" s="15"/>
      <c r="ET276" s="15"/>
      <c r="EU276" s="15"/>
      <c r="EV276" s="15"/>
    </row>
    <row r="277" spans="1:152" s="8" customFormat="1" ht="38.4" x14ac:dyDescent="0.25">
      <c r="A277" s="213"/>
      <c r="B277" s="197"/>
      <c r="C277" s="166"/>
      <c r="D277" s="196"/>
      <c r="E277" s="32" t="s">
        <v>87</v>
      </c>
      <c r="F277" s="152"/>
      <c r="G277" s="32" t="s">
        <v>1000</v>
      </c>
      <c r="H277" s="34" t="s">
        <v>114</v>
      </c>
      <c r="I277" s="32" t="s">
        <v>1241</v>
      </c>
      <c r="J277" s="47" t="s">
        <v>973</v>
      </c>
      <c r="K277" s="32" t="s">
        <v>104</v>
      </c>
      <c r="L277" s="68" t="s">
        <v>117</v>
      </c>
      <c r="M277" s="73" t="s">
        <v>332</v>
      </c>
      <c r="N277" s="73" t="s">
        <v>1260</v>
      </c>
      <c r="O277" s="73" t="s">
        <v>936</v>
      </c>
      <c r="P277" s="70">
        <v>2</v>
      </c>
      <c r="Q277" s="41">
        <v>3</v>
      </c>
      <c r="R277" s="33">
        <f t="shared" si="31"/>
        <v>6</v>
      </c>
      <c r="S277" s="33" t="str">
        <f t="shared" si="40"/>
        <v>MEDIO</v>
      </c>
      <c r="T277" s="33">
        <v>10</v>
      </c>
      <c r="U277" s="75">
        <f t="shared" si="41"/>
        <v>60</v>
      </c>
      <c r="V277" s="33" t="str">
        <f t="shared" si="36"/>
        <v>lll</v>
      </c>
      <c r="W277" s="74" t="str">
        <f t="shared" si="42"/>
        <v>SI</v>
      </c>
      <c r="X277" s="33">
        <v>45</v>
      </c>
      <c r="Y277" s="31" t="s">
        <v>119</v>
      </c>
      <c r="Z277" s="33" t="s">
        <v>87</v>
      </c>
      <c r="AA277" s="34"/>
      <c r="AB277" s="40"/>
      <c r="AC277" s="40" t="s">
        <v>120</v>
      </c>
      <c r="AD277" s="34" t="s">
        <v>121</v>
      </c>
      <c r="AE277" s="34" t="s">
        <v>844</v>
      </c>
      <c r="AF277" s="34" t="s">
        <v>1296</v>
      </c>
      <c r="AG277" s="41">
        <v>2</v>
      </c>
      <c r="AH277" s="41">
        <v>3</v>
      </c>
      <c r="AI277" s="33">
        <f t="shared" si="38"/>
        <v>6</v>
      </c>
      <c r="AJ277" s="33" t="str">
        <f t="shared" si="39"/>
        <v>MEDIO</v>
      </c>
      <c r="AK277" s="33">
        <v>10</v>
      </c>
      <c r="AL277" s="33">
        <f t="shared" si="32"/>
        <v>60</v>
      </c>
      <c r="AM277" s="33" t="str">
        <f t="shared" si="37"/>
        <v>RIESGO ACEPTABLE</v>
      </c>
      <c r="AN277" s="34"/>
      <c r="AO277" s="40"/>
      <c r="AP277" s="40"/>
      <c r="AQ277" s="34" t="s">
        <v>846</v>
      </c>
      <c r="AR277" s="34" t="s">
        <v>847</v>
      </c>
      <c r="AS277" s="61" t="s">
        <v>1296</v>
      </c>
      <c r="EQ277" s="15"/>
      <c r="ER277" s="15"/>
      <c r="ES277" s="15"/>
      <c r="ET277" s="15"/>
      <c r="EU277" s="15"/>
      <c r="EV277" s="15"/>
    </row>
    <row r="278" spans="1:152" s="8" customFormat="1" ht="67.2" x14ac:dyDescent="0.25">
      <c r="A278" s="213"/>
      <c r="B278" s="197"/>
      <c r="C278" s="166"/>
      <c r="D278" s="196"/>
      <c r="E278" s="32" t="s">
        <v>87</v>
      </c>
      <c r="F278" s="152"/>
      <c r="G278" s="32" t="s">
        <v>1000</v>
      </c>
      <c r="H278" s="34" t="s">
        <v>1006</v>
      </c>
      <c r="I278" s="32" t="s">
        <v>1242</v>
      </c>
      <c r="J278" s="32" t="s">
        <v>1007</v>
      </c>
      <c r="K278" s="32" t="s">
        <v>104</v>
      </c>
      <c r="L278" s="68" t="s">
        <v>1008</v>
      </c>
      <c r="M278" s="73" t="s">
        <v>332</v>
      </c>
      <c r="N278" s="73" t="s">
        <v>106</v>
      </c>
      <c r="O278" s="73" t="s">
        <v>608</v>
      </c>
      <c r="P278" s="70">
        <v>2</v>
      </c>
      <c r="Q278" s="41">
        <v>3</v>
      </c>
      <c r="R278" s="33">
        <f t="shared" si="31"/>
        <v>6</v>
      </c>
      <c r="S278" s="33" t="str">
        <f t="shared" si="40"/>
        <v>MEDIO</v>
      </c>
      <c r="T278" s="33">
        <v>10</v>
      </c>
      <c r="U278" s="75">
        <f t="shared" si="41"/>
        <v>60</v>
      </c>
      <c r="V278" s="33" t="str">
        <f t="shared" si="36"/>
        <v>lll</v>
      </c>
      <c r="W278" s="74" t="str">
        <f t="shared" si="42"/>
        <v>SI</v>
      </c>
      <c r="X278" s="33">
        <v>45</v>
      </c>
      <c r="Y278" s="31" t="s">
        <v>108</v>
      </c>
      <c r="Z278" s="33" t="s">
        <v>87</v>
      </c>
      <c r="AA278" s="34"/>
      <c r="AB278" s="40"/>
      <c r="AC278" s="34" t="s">
        <v>1009</v>
      </c>
      <c r="AD278" s="34" t="s">
        <v>1010</v>
      </c>
      <c r="AE278" s="34" t="s">
        <v>1011</v>
      </c>
      <c r="AF278" s="34" t="s">
        <v>1012</v>
      </c>
      <c r="AG278" s="41">
        <v>2</v>
      </c>
      <c r="AH278" s="41">
        <v>4</v>
      </c>
      <c r="AI278" s="33">
        <f t="shared" si="38"/>
        <v>8</v>
      </c>
      <c r="AJ278" s="33" t="str">
        <f t="shared" si="39"/>
        <v>MEDIO</v>
      </c>
      <c r="AK278" s="33">
        <v>10</v>
      </c>
      <c r="AL278" s="33">
        <f t="shared" si="32"/>
        <v>80</v>
      </c>
      <c r="AM278" s="33" t="str">
        <f t="shared" si="37"/>
        <v>RIESGO ACEPTABLE</v>
      </c>
      <c r="AN278" s="34"/>
      <c r="AO278" s="40"/>
      <c r="AP278" s="34" t="s">
        <v>1013</v>
      </c>
      <c r="AQ278" s="34" t="s">
        <v>1014</v>
      </c>
      <c r="AR278" s="34" t="s">
        <v>1011</v>
      </c>
      <c r="AS278" s="61" t="s">
        <v>1012</v>
      </c>
      <c r="EQ278" s="15"/>
      <c r="ER278" s="15"/>
      <c r="ES278" s="15"/>
      <c r="ET278" s="15"/>
      <c r="EU278" s="15"/>
      <c r="EV278" s="15"/>
    </row>
    <row r="279" spans="1:152" s="8" customFormat="1" ht="38.4" x14ac:dyDescent="0.25">
      <c r="A279" s="213"/>
      <c r="B279" s="197"/>
      <c r="C279" s="166"/>
      <c r="D279" s="196"/>
      <c r="E279" s="32" t="s">
        <v>87</v>
      </c>
      <c r="F279" s="152"/>
      <c r="G279" s="32" t="s">
        <v>1000</v>
      </c>
      <c r="H279" s="34" t="s">
        <v>183</v>
      </c>
      <c r="I279" s="34" t="s">
        <v>1252</v>
      </c>
      <c r="J279" s="34" t="s">
        <v>1015</v>
      </c>
      <c r="K279" s="34" t="s">
        <v>104</v>
      </c>
      <c r="L279" s="68" t="s">
        <v>185</v>
      </c>
      <c r="M279" s="73" t="s">
        <v>332</v>
      </c>
      <c r="N279" s="73" t="s">
        <v>1260</v>
      </c>
      <c r="O279" s="73" t="s">
        <v>491</v>
      </c>
      <c r="P279" s="70">
        <v>2</v>
      </c>
      <c r="Q279" s="41">
        <v>3</v>
      </c>
      <c r="R279" s="33">
        <f t="shared" si="31"/>
        <v>6</v>
      </c>
      <c r="S279" s="33" t="str">
        <f t="shared" si="40"/>
        <v>MEDIO</v>
      </c>
      <c r="T279" s="33">
        <v>10</v>
      </c>
      <c r="U279" s="75">
        <f t="shared" si="41"/>
        <v>60</v>
      </c>
      <c r="V279" s="33" t="str">
        <f t="shared" si="36"/>
        <v>lll</v>
      </c>
      <c r="W279" s="74" t="str">
        <f t="shared" si="42"/>
        <v>SI</v>
      </c>
      <c r="X279" s="33">
        <v>45</v>
      </c>
      <c r="Y279" s="31" t="s">
        <v>178</v>
      </c>
      <c r="Z279" s="33" t="s">
        <v>87</v>
      </c>
      <c r="AA279" s="34"/>
      <c r="AB279" s="40"/>
      <c r="AC279" s="40" t="s">
        <v>898</v>
      </c>
      <c r="AD279" s="34" t="s">
        <v>899</v>
      </c>
      <c r="AE279" s="34" t="s">
        <v>1016</v>
      </c>
      <c r="AF279" s="34" t="s">
        <v>901</v>
      </c>
      <c r="AG279" s="41">
        <v>2</v>
      </c>
      <c r="AH279" s="41">
        <v>3</v>
      </c>
      <c r="AI279" s="33">
        <f t="shared" si="38"/>
        <v>6</v>
      </c>
      <c r="AJ279" s="33" t="str">
        <f t="shared" si="39"/>
        <v>MEDIO</v>
      </c>
      <c r="AK279" s="33">
        <v>10</v>
      </c>
      <c r="AL279" s="33">
        <f t="shared" si="32"/>
        <v>60</v>
      </c>
      <c r="AM279" s="33" t="str">
        <f t="shared" si="37"/>
        <v>RIESGO ACEPTABLE</v>
      </c>
      <c r="AN279" s="34"/>
      <c r="AO279" s="40"/>
      <c r="AP279" s="40" t="s">
        <v>1017</v>
      </c>
      <c r="AQ279" s="34" t="s">
        <v>1018</v>
      </c>
      <c r="AR279" s="34" t="s">
        <v>1016</v>
      </c>
      <c r="AS279" s="61" t="s">
        <v>901</v>
      </c>
      <c r="EQ279" s="15"/>
      <c r="ER279" s="15"/>
      <c r="ES279" s="15"/>
      <c r="ET279" s="15"/>
      <c r="EU279" s="15"/>
      <c r="EV279" s="15"/>
    </row>
    <row r="280" spans="1:152" s="8" customFormat="1" ht="38.4" x14ac:dyDescent="0.25">
      <c r="A280" s="213"/>
      <c r="B280" s="197"/>
      <c r="C280" s="166"/>
      <c r="D280" s="196"/>
      <c r="E280" s="32" t="s">
        <v>87</v>
      </c>
      <c r="F280" s="152"/>
      <c r="G280" s="32" t="s">
        <v>1000</v>
      </c>
      <c r="H280" s="34" t="s">
        <v>380</v>
      </c>
      <c r="I280" s="32" t="s">
        <v>170</v>
      </c>
      <c r="J280" s="32" t="s">
        <v>1019</v>
      </c>
      <c r="K280" s="32" t="s">
        <v>104</v>
      </c>
      <c r="L280" s="68" t="s">
        <v>383</v>
      </c>
      <c r="M280" s="73" t="s">
        <v>332</v>
      </c>
      <c r="N280" s="73" t="s">
        <v>1260</v>
      </c>
      <c r="O280" s="73" t="s">
        <v>1020</v>
      </c>
      <c r="P280" s="70">
        <v>2</v>
      </c>
      <c r="Q280" s="41">
        <v>2</v>
      </c>
      <c r="R280" s="33">
        <f t="shared" si="31"/>
        <v>4</v>
      </c>
      <c r="S280" s="33" t="str">
        <f t="shared" si="40"/>
        <v>BAJO</v>
      </c>
      <c r="T280" s="33">
        <v>10</v>
      </c>
      <c r="U280" s="75">
        <f t="shared" si="41"/>
        <v>40</v>
      </c>
      <c r="V280" s="33" t="str">
        <f t="shared" ref="V280:V342" si="43">IF(AND(U280&gt;=0,U280&lt;=20),"IV ",IF(AND(U280&gt;=40,U280&lt;=120),"lll",IF(AND(U280&gt;=150,U280&lt;=500),"ll",IF(AND(U280&gt;=600,U280&lt;=4000),"l"))))</f>
        <v>lll</v>
      </c>
      <c r="W280" s="74" t="str">
        <f t="shared" si="42"/>
        <v>SI</v>
      </c>
      <c r="X280" s="33">
        <v>45</v>
      </c>
      <c r="Y280" s="31" t="s">
        <v>385</v>
      </c>
      <c r="Z280" s="33" t="s">
        <v>87</v>
      </c>
      <c r="AA280" s="45"/>
      <c r="AB280" s="32"/>
      <c r="AC280" s="34" t="s">
        <v>1021</v>
      </c>
      <c r="AD280" s="34" t="s">
        <v>1022</v>
      </c>
      <c r="AE280" s="34" t="s">
        <v>1023</v>
      </c>
      <c r="AF280" s="34" t="s">
        <v>1024</v>
      </c>
      <c r="AG280" s="41">
        <v>2</v>
      </c>
      <c r="AH280" s="41">
        <v>3</v>
      </c>
      <c r="AI280" s="33">
        <f t="shared" si="38"/>
        <v>6</v>
      </c>
      <c r="AJ280" s="33" t="str">
        <f t="shared" si="39"/>
        <v>MEDIO</v>
      </c>
      <c r="AK280" s="33">
        <v>10</v>
      </c>
      <c r="AL280" s="33">
        <f t="shared" si="32"/>
        <v>60</v>
      </c>
      <c r="AM280" s="33" t="str">
        <f t="shared" ref="AM280:AM332" si="44">IF(AND(AL280&gt;=0,AL280&lt;=120),"RIESGO ACEPTABLE",IF(AND(AL280&gt;=150,AL280&lt;=500)," RIESGO ACEPTABLE CON CONTROL ESPECIFICO",IF(AND(AL280&gt;=600,AL280&lt;=4000),"RIESGO NO ACEPTABLE")))</f>
        <v>RIESGO ACEPTABLE</v>
      </c>
      <c r="AN280" s="33"/>
      <c r="AO280" s="32"/>
      <c r="AP280" s="34"/>
      <c r="AQ280" s="34" t="s">
        <v>1025</v>
      </c>
      <c r="AR280" s="34" t="s">
        <v>1026</v>
      </c>
      <c r="AS280" s="61" t="s">
        <v>1027</v>
      </c>
      <c r="EQ280" s="15"/>
      <c r="ER280" s="15"/>
      <c r="ES280" s="15"/>
      <c r="ET280" s="15"/>
      <c r="EU280" s="15"/>
      <c r="EV280" s="15"/>
    </row>
    <row r="281" spans="1:152" s="8" customFormat="1" ht="38.4" x14ac:dyDescent="0.25">
      <c r="A281" s="213"/>
      <c r="B281" s="197"/>
      <c r="C281" s="166"/>
      <c r="D281" s="196"/>
      <c r="E281" s="32" t="s">
        <v>87</v>
      </c>
      <c r="F281" s="152"/>
      <c r="G281" s="32" t="s">
        <v>1000</v>
      </c>
      <c r="H281" s="34" t="s">
        <v>246</v>
      </c>
      <c r="I281" s="32" t="s">
        <v>1241</v>
      </c>
      <c r="J281" s="32" t="s">
        <v>1028</v>
      </c>
      <c r="K281" s="32" t="s">
        <v>248</v>
      </c>
      <c r="L281" s="68" t="s">
        <v>249</v>
      </c>
      <c r="M281" s="73" t="s">
        <v>332</v>
      </c>
      <c r="N281" s="73" t="s">
        <v>1260</v>
      </c>
      <c r="O281" s="73" t="s">
        <v>250</v>
      </c>
      <c r="P281" s="70">
        <v>2</v>
      </c>
      <c r="Q281" s="41">
        <v>2</v>
      </c>
      <c r="R281" s="33">
        <f t="shared" si="31"/>
        <v>4</v>
      </c>
      <c r="S281" s="33" t="str">
        <f t="shared" si="40"/>
        <v>BAJO</v>
      </c>
      <c r="T281" s="33">
        <v>10</v>
      </c>
      <c r="U281" s="75">
        <f t="shared" si="41"/>
        <v>40</v>
      </c>
      <c r="V281" s="33" t="str">
        <f t="shared" si="43"/>
        <v>lll</v>
      </c>
      <c r="W281" s="74" t="str">
        <f t="shared" si="42"/>
        <v>SI</v>
      </c>
      <c r="X281" s="33">
        <v>45</v>
      </c>
      <c r="Y281" s="31" t="s">
        <v>251</v>
      </c>
      <c r="Z281" s="33" t="s">
        <v>87</v>
      </c>
      <c r="AA281" s="34"/>
      <c r="AB281" s="40"/>
      <c r="AC281" s="40"/>
      <c r="AD281" s="34" t="s">
        <v>252</v>
      </c>
      <c r="AE281" s="34" t="s">
        <v>1029</v>
      </c>
      <c r="AF281" s="34"/>
      <c r="AG281" s="41">
        <v>2</v>
      </c>
      <c r="AH281" s="41">
        <v>1</v>
      </c>
      <c r="AI281" s="33">
        <f t="shared" si="38"/>
        <v>2</v>
      </c>
      <c r="AJ281" s="33" t="str">
        <f t="shared" si="39"/>
        <v>BAJO</v>
      </c>
      <c r="AK281" s="33">
        <v>25</v>
      </c>
      <c r="AL281" s="33">
        <f t="shared" si="32"/>
        <v>50</v>
      </c>
      <c r="AM281" s="33" t="str">
        <f t="shared" si="44"/>
        <v>RIESGO ACEPTABLE</v>
      </c>
      <c r="AN281" s="34"/>
      <c r="AO281" s="40"/>
      <c r="AP281" s="40"/>
      <c r="AQ281" s="34" t="s">
        <v>1030</v>
      </c>
      <c r="AR281" s="34" t="s">
        <v>1029</v>
      </c>
      <c r="AS281" s="61"/>
      <c r="EQ281" s="15"/>
      <c r="ER281" s="15"/>
      <c r="ES281" s="15"/>
      <c r="ET281" s="15"/>
      <c r="EU281" s="15"/>
      <c r="EV281" s="15"/>
    </row>
    <row r="282" spans="1:152" s="8" customFormat="1" ht="76.8" x14ac:dyDescent="0.25">
      <c r="A282" s="213"/>
      <c r="B282" s="197"/>
      <c r="C282" s="166"/>
      <c r="D282" s="196"/>
      <c r="E282" s="32" t="s">
        <v>87</v>
      </c>
      <c r="F282" s="152"/>
      <c r="G282" s="32" t="s">
        <v>1000</v>
      </c>
      <c r="H282" s="34" t="s">
        <v>79</v>
      </c>
      <c r="I282" s="32" t="s">
        <v>1250</v>
      </c>
      <c r="J282" s="47" t="s">
        <v>447</v>
      </c>
      <c r="K282" s="32" t="s">
        <v>104</v>
      </c>
      <c r="L282" s="68" t="s">
        <v>448</v>
      </c>
      <c r="M282" s="73" t="s">
        <v>332</v>
      </c>
      <c r="N282" s="73" t="s">
        <v>1260</v>
      </c>
      <c r="O282" s="7" t="s">
        <v>85</v>
      </c>
      <c r="P282" s="70">
        <v>2</v>
      </c>
      <c r="Q282" s="41">
        <v>3</v>
      </c>
      <c r="R282" s="33">
        <f t="shared" si="31"/>
        <v>6</v>
      </c>
      <c r="S282" s="33" t="str">
        <f t="shared" si="40"/>
        <v>MEDIO</v>
      </c>
      <c r="T282" s="33">
        <v>10</v>
      </c>
      <c r="U282" s="75">
        <f t="shared" si="41"/>
        <v>60</v>
      </c>
      <c r="V282" s="33" t="str">
        <f t="shared" si="43"/>
        <v>lll</v>
      </c>
      <c r="W282" s="74" t="str">
        <f t="shared" si="42"/>
        <v>SI</v>
      </c>
      <c r="X282" s="33">
        <v>45</v>
      </c>
      <c r="Y282" s="31" t="s">
        <v>86</v>
      </c>
      <c r="Z282" s="33" t="s">
        <v>87</v>
      </c>
      <c r="AA282" s="34"/>
      <c r="AB282" s="40"/>
      <c r="AC282" s="34"/>
      <c r="AD282" s="34" t="s">
        <v>1031</v>
      </c>
      <c r="AE282" s="34" t="s">
        <v>882</v>
      </c>
      <c r="AF282" s="34" t="s">
        <v>883</v>
      </c>
      <c r="AG282" s="41">
        <v>2</v>
      </c>
      <c r="AH282" s="41">
        <v>3</v>
      </c>
      <c r="AI282" s="33">
        <f t="shared" si="38"/>
        <v>6</v>
      </c>
      <c r="AJ282" s="33" t="str">
        <f t="shared" si="39"/>
        <v>MEDIO</v>
      </c>
      <c r="AK282" s="33">
        <v>10</v>
      </c>
      <c r="AL282" s="33">
        <f t="shared" si="32"/>
        <v>60</v>
      </c>
      <c r="AM282" s="33" t="str">
        <f t="shared" si="44"/>
        <v>RIESGO ACEPTABLE</v>
      </c>
      <c r="AN282" s="34"/>
      <c r="AO282" s="40"/>
      <c r="AP282" s="40"/>
      <c r="AQ282" s="34" t="s">
        <v>1032</v>
      </c>
      <c r="AR282" s="34" t="s">
        <v>882</v>
      </c>
      <c r="AS282" s="61" t="s">
        <v>883</v>
      </c>
      <c r="EQ282" s="15"/>
      <c r="ER282" s="15"/>
      <c r="ES282" s="15"/>
      <c r="ET282" s="15"/>
      <c r="EU282" s="15"/>
      <c r="EV282" s="15"/>
    </row>
    <row r="283" spans="1:152" s="8" customFormat="1" ht="48" x14ac:dyDescent="0.25">
      <c r="A283" s="213"/>
      <c r="B283" s="197"/>
      <c r="C283" s="166"/>
      <c r="D283" s="196"/>
      <c r="E283" s="32" t="s">
        <v>87</v>
      </c>
      <c r="F283" s="152"/>
      <c r="G283" s="32" t="s">
        <v>1000</v>
      </c>
      <c r="H283" s="34" t="s">
        <v>246</v>
      </c>
      <c r="I283" s="32" t="s">
        <v>1234</v>
      </c>
      <c r="J283" s="32" t="s">
        <v>435</v>
      </c>
      <c r="K283" s="32" t="s">
        <v>248</v>
      </c>
      <c r="L283" s="68" t="s">
        <v>249</v>
      </c>
      <c r="M283" s="73" t="s">
        <v>332</v>
      </c>
      <c r="N283" s="73" t="s">
        <v>1260</v>
      </c>
      <c r="O283" s="73" t="s">
        <v>250</v>
      </c>
      <c r="P283" s="70">
        <v>2</v>
      </c>
      <c r="Q283" s="41">
        <v>2</v>
      </c>
      <c r="R283" s="33">
        <f t="shared" si="31"/>
        <v>4</v>
      </c>
      <c r="S283" s="33" t="str">
        <f t="shared" si="40"/>
        <v>BAJO</v>
      </c>
      <c r="T283" s="33">
        <v>10</v>
      </c>
      <c r="U283" s="75">
        <f t="shared" si="41"/>
        <v>40</v>
      </c>
      <c r="V283" s="33" t="str">
        <f t="shared" si="43"/>
        <v>lll</v>
      </c>
      <c r="W283" s="74" t="str">
        <f t="shared" si="42"/>
        <v>SI</v>
      </c>
      <c r="X283" s="33">
        <v>45</v>
      </c>
      <c r="Y283" s="31" t="s">
        <v>251</v>
      </c>
      <c r="Z283" s="33" t="s">
        <v>87</v>
      </c>
      <c r="AA283" s="34"/>
      <c r="AB283" s="40"/>
      <c r="AC283" s="40"/>
      <c r="AD283" s="34" t="s">
        <v>1297</v>
      </c>
      <c r="AE283" s="34" t="s">
        <v>1034</v>
      </c>
      <c r="AF283" s="34" t="s">
        <v>707</v>
      </c>
      <c r="AG283" s="41">
        <v>2</v>
      </c>
      <c r="AH283" s="41">
        <v>3</v>
      </c>
      <c r="AI283" s="33">
        <f t="shared" si="38"/>
        <v>6</v>
      </c>
      <c r="AJ283" s="33" t="str">
        <f t="shared" si="39"/>
        <v>MEDIO</v>
      </c>
      <c r="AK283" s="33">
        <v>10</v>
      </c>
      <c r="AL283" s="33">
        <f t="shared" si="32"/>
        <v>60</v>
      </c>
      <c r="AM283" s="33" t="str">
        <f t="shared" si="44"/>
        <v>RIESGO ACEPTABLE</v>
      </c>
      <c r="AN283" s="34"/>
      <c r="AO283" s="40"/>
      <c r="AP283" s="40"/>
      <c r="AQ283" s="34" t="s">
        <v>1035</v>
      </c>
      <c r="AR283" s="34" t="s">
        <v>1034</v>
      </c>
      <c r="AS283" s="61" t="s">
        <v>707</v>
      </c>
      <c r="EQ283" s="15"/>
      <c r="ER283" s="15"/>
      <c r="ES283" s="15"/>
      <c r="ET283" s="15"/>
      <c r="EU283" s="15"/>
      <c r="EV283" s="15"/>
    </row>
    <row r="284" spans="1:152" s="8" customFormat="1" ht="38.4" x14ac:dyDescent="0.25">
      <c r="A284" s="213"/>
      <c r="B284" s="197"/>
      <c r="C284" s="166"/>
      <c r="D284" s="196"/>
      <c r="E284" s="32" t="s">
        <v>87</v>
      </c>
      <c r="F284" s="152"/>
      <c r="G284" s="32" t="s">
        <v>1000</v>
      </c>
      <c r="H284" s="34" t="s">
        <v>863</v>
      </c>
      <c r="I284" s="32" t="s">
        <v>1236</v>
      </c>
      <c r="J284" s="47" t="s">
        <v>1036</v>
      </c>
      <c r="K284" s="32" t="s">
        <v>104</v>
      </c>
      <c r="L284" s="68" t="s">
        <v>141</v>
      </c>
      <c r="M284" s="73" t="s">
        <v>332</v>
      </c>
      <c r="N284" s="73" t="s">
        <v>161</v>
      </c>
      <c r="O284" s="73" t="s">
        <v>152</v>
      </c>
      <c r="P284" s="70">
        <v>2</v>
      </c>
      <c r="Q284" s="41">
        <v>3</v>
      </c>
      <c r="R284" s="33">
        <f t="shared" si="31"/>
        <v>6</v>
      </c>
      <c r="S284" s="33" t="str">
        <f t="shared" si="40"/>
        <v>MEDIO</v>
      </c>
      <c r="T284" s="33">
        <v>10</v>
      </c>
      <c r="U284" s="75">
        <f t="shared" si="41"/>
        <v>60</v>
      </c>
      <c r="V284" s="33" t="str">
        <f t="shared" si="43"/>
        <v>lll</v>
      </c>
      <c r="W284" s="74" t="str">
        <f t="shared" si="42"/>
        <v>SI</v>
      </c>
      <c r="X284" s="33">
        <v>45</v>
      </c>
      <c r="Y284" s="31" t="s">
        <v>218</v>
      </c>
      <c r="Z284" s="33" t="s">
        <v>87</v>
      </c>
      <c r="AA284" s="34"/>
      <c r="AB284" s="40"/>
      <c r="AC284" s="40"/>
      <c r="AD284" s="34" t="s">
        <v>1037</v>
      </c>
      <c r="AE284" s="34" t="s">
        <v>900</v>
      </c>
      <c r="AF284" s="34" t="s">
        <v>1298</v>
      </c>
      <c r="AG284" s="41">
        <v>2</v>
      </c>
      <c r="AH284" s="41">
        <v>3</v>
      </c>
      <c r="AI284" s="33">
        <f t="shared" si="38"/>
        <v>6</v>
      </c>
      <c r="AJ284" s="33" t="str">
        <f t="shared" si="39"/>
        <v>MEDIO</v>
      </c>
      <c r="AK284" s="33">
        <v>10</v>
      </c>
      <c r="AL284" s="33">
        <f t="shared" si="32"/>
        <v>60</v>
      </c>
      <c r="AM284" s="33" t="str">
        <f t="shared" si="44"/>
        <v>RIESGO ACEPTABLE</v>
      </c>
      <c r="AN284" s="34"/>
      <c r="AO284" s="40"/>
      <c r="AP284" s="40"/>
      <c r="AQ284" s="34" t="s">
        <v>1039</v>
      </c>
      <c r="AR284" s="34" t="s">
        <v>900</v>
      </c>
      <c r="AS284" s="61" t="s">
        <v>148</v>
      </c>
      <c r="EQ284" s="15"/>
      <c r="ER284" s="15"/>
      <c r="ES284" s="15"/>
      <c r="ET284" s="15"/>
      <c r="EU284" s="15"/>
      <c r="EV284" s="15"/>
    </row>
    <row r="285" spans="1:152" s="8" customFormat="1" ht="38.4" x14ac:dyDescent="0.25">
      <c r="A285" s="213"/>
      <c r="B285" s="197"/>
      <c r="C285" s="166"/>
      <c r="D285" s="196"/>
      <c r="E285" s="32" t="s">
        <v>87</v>
      </c>
      <c r="F285" s="152"/>
      <c r="G285" s="32" t="s">
        <v>1000</v>
      </c>
      <c r="H285" s="34" t="s">
        <v>138</v>
      </c>
      <c r="I285" s="32" t="s">
        <v>1236</v>
      </c>
      <c r="J285" s="32" t="s">
        <v>858</v>
      </c>
      <c r="K285" s="32" t="s">
        <v>104</v>
      </c>
      <c r="L285" s="68" t="s">
        <v>475</v>
      </c>
      <c r="M285" s="73" t="s">
        <v>332</v>
      </c>
      <c r="N285" s="73" t="s">
        <v>161</v>
      </c>
      <c r="O285" s="73" t="s">
        <v>142</v>
      </c>
      <c r="P285" s="70">
        <v>2</v>
      </c>
      <c r="Q285" s="41">
        <v>2</v>
      </c>
      <c r="R285" s="33">
        <f t="shared" si="31"/>
        <v>4</v>
      </c>
      <c r="S285" s="33" t="str">
        <f t="shared" si="40"/>
        <v>BAJO</v>
      </c>
      <c r="T285" s="33">
        <v>10</v>
      </c>
      <c r="U285" s="75">
        <f t="shared" si="41"/>
        <v>40</v>
      </c>
      <c r="V285" s="33" t="str">
        <f t="shared" si="43"/>
        <v>lll</v>
      </c>
      <c r="W285" s="74" t="str">
        <f t="shared" si="42"/>
        <v>SI</v>
      </c>
      <c r="X285" s="33">
        <v>45</v>
      </c>
      <c r="Y285" s="31" t="s">
        <v>143</v>
      </c>
      <c r="Z285" s="33" t="s">
        <v>87</v>
      </c>
      <c r="AA285" s="34"/>
      <c r="AB285" s="40"/>
      <c r="AC285" s="34" t="s">
        <v>1040</v>
      </c>
      <c r="AD285" s="34" t="s">
        <v>990</v>
      </c>
      <c r="AE285" s="34" t="s">
        <v>900</v>
      </c>
      <c r="AF285" s="34" t="s">
        <v>148</v>
      </c>
      <c r="AG285" s="41">
        <v>2</v>
      </c>
      <c r="AH285" s="41">
        <v>3</v>
      </c>
      <c r="AI285" s="33">
        <f t="shared" si="38"/>
        <v>6</v>
      </c>
      <c r="AJ285" s="33" t="str">
        <f t="shared" si="39"/>
        <v>MEDIO</v>
      </c>
      <c r="AK285" s="33">
        <v>10</v>
      </c>
      <c r="AL285" s="33">
        <f t="shared" si="32"/>
        <v>60</v>
      </c>
      <c r="AM285" s="33" t="str">
        <f t="shared" si="44"/>
        <v>RIESGO ACEPTABLE</v>
      </c>
      <c r="AN285" s="34"/>
      <c r="AO285" s="40"/>
      <c r="AP285" s="40"/>
      <c r="AQ285" s="34" t="s">
        <v>1039</v>
      </c>
      <c r="AR285" s="34" t="s">
        <v>900</v>
      </c>
      <c r="AS285" s="61" t="s">
        <v>148</v>
      </c>
      <c r="EQ285" s="15"/>
      <c r="ER285" s="15"/>
      <c r="ES285" s="15"/>
      <c r="ET285" s="15"/>
      <c r="EU285" s="15"/>
      <c r="EV285" s="15"/>
    </row>
    <row r="286" spans="1:152" s="8" customFormat="1" ht="57.6" x14ac:dyDescent="0.25">
      <c r="A286" s="193" t="s">
        <v>95</v>
      </c>
      <c r="B286" s="208" t="s">
        <v>835</v>
      </c>
      <c r="C286" s="166" t="s">
        <v>1041</v>
      </c>
      <c r="D286" s="196" t="s">
        <v>1042</v>
      </c>
      <c r="E286" s="165" t="s">
        <v>496</v>
      </c>
      <c r="F286" s="152" t="s">
        <v>1043</v>
      </c>
      <c r="G286" s="165" t="s">
        <v>1044</v>
      </c>
      <c r="H286" s="34" t="s">
        <v>172</v>
      </c>
      <c r="I286" s="32" t="s">
        <v>1253</v>
      </c>
      <c r="J286" s="32" t="s">
        <v>1045</v>
      </c>
      <c r="K286" s="34" t="s">
        <v>248</v>
      </c>
      <c r="L286" s="68" t="s">
        <v>175</v>
      </c>
      <c r="M286" s="73" t="s">
        <v>332</v>
      </c>
      <c r="N286" s="73" t="s">
        <v>311</v>
      </c>
      <c r="O286" s="73" t="s">
        <v>177</v>
      </c>
      <c r="P286" s="70">
        <v>2</v>
      </c>
      <c r="Q286" s="41">
        <v>3</v>
      </c>
      <c r="R286" s="33">
        <f t="shared" ref="R286:R305" si="45">P286*Q286</f>
        <v>6</v>
      </c>
      <c r="S286" s="33" t="str">
        <f t="shared" si="40"/>
        <v>MEDIO</v>
      </c>
      <c r="T286" s="33">
        <v>10</v>
      </c>
      <c r="U286" s="75">
        <f t="shared" si="41"/>
        <v>60</v>
      </c>
      <c r="V286" s="33" t="str">
        <f t="shared" si="43"/>
        <v>lll</v>
      </c>
      <c r="W286" s="74" t="str">
        <f t="shared" si="42"/>
        <v>SI</v>
      </c>
      <c r="X286" s="33">
        <v>30</v>
      </c>
      <c r="Y286" s="31" t="s">
        <v>178</v>
      </c>
      <c r="Z286" s="33" t="s">
        <v>87</v>
      </c>
      <c r="AA286" s="34"/>
      <c r="AB286" s="40"/>
      <c r="AC286" s="40"/>
      <c r="AD286" s="34" t="s">
        <v>1046</v>
      </c>
      <c r="AE286" s="34" t="s">
        <v>93</v>
      </c>
      <c r="AF286" s="34" t="s">
        <v>182</v>
      </c>
      <c r="AG286" s="41">
        <v>2</v>
      </c>
      <c r="AH286" s="41">
        <v>3</v>
      </c>
      <c r="AI286" s="33">
        <f t="shared" si="38"/>
        <v>6</v>
      </c>
      <c r="AJ286" s="33" t="str">
        <f t="shared" si="39"/>
        <v>MEDIO</v>
      </c>
      <c r="AK286" s="33">
        <v>25</v>
      </c>
      <c r="AL286" s="33">
        <f t="shared" si="32"/>
        <v>150</v>
      </c>
      <c r="AM286" s="33" t="str">
        <f t="shared" si="44"/>
        <v xml:space="preserve"> RIESGO ACEPTABLE CON CONTROL ESPECIFICO</v>
      </c>
      <c r="AN286" s="34"/>
      <c r="AO286" s="40"/>
      <c r="AP286" s="40"/>
      <c r="AQ286" s="34" t="s">
        <v>1047</v>
      </c>
      <c r="AR286" s="34"/>
      <c r="AS286" s="61" t="s">
        <v>1048</v>
      </c>
    </row>
    <row r="287" spans="1:152" s="8" customFormat="1" ht="67.2" x14ac:dyDescent="0.25">
      <c r="A287" s="193"/>
      <c r="B287" s="208"/>
      <c r="C287" s="166"/>
      <c r="D287" s="200"/>
      <c r="E287" s="165"/>
      <c r="F287" s="152"/>
      <c r="G287" s="165"/>
      <c r="H287" s="34" t="s">
        <v>114</v>
      </c>
      <c r="I287" s="32" t="s">
        <v>1241</v>
      </c>
      <c r="J287" s="34" t="s">
        <v>1049</v>
      </c>
      <c r="K287" s="34" t="s">
        <v>248</v>
      </c>
      <c r="L287" s="68" t="s">
        <v>117</v>
      </c>
      <c r="M287" s="73" t="s">
        <v>332</v>
      </c>
      <c r="N287" s="73" t="s">
        <v>1259</v>
      </c>
      <c r="O287" s="73" t="s">
        <v>264</v>
      </c>
      <c r="P287" s="70">
        <v>2</v>
      </c>
      <c r="Q287" s="41">
        <v>3</v>
      </c>
      <c r="R287" s="33">
        <f t="shared" si="45"/>
        <v>6</v>
      </c>
      <c r="S287" s="33" t="str">
        <f t="shared" si="40"/>
        <v>MEDIO</v>
      </c>
      <c r="T287" s="33">
        <v>10</v>
      </c>
      <c r="U287" s="75">
        <f t="shared" si="41"/>
        <v>60</v>
      </c>
      <c r="V287" s="33" t="str">
        <f t="shared" si="43"/>
        <v>lll</v>
      </c>
      <c r="W287" s="74" t="str">
        <f t="shared" si="42"/>
        <v>SI</v>
      </c>
      <c r="X287" s="33">
        <v>30</v>
      </c>
      <c r="Y287" s="31" t="s">
        <v>119</v>
      </c>
      <c r="Z287" s="33" t="s">
        <v>87</v>
      </c>
      <c r="AA287" s="45"/>
      <c r="AB287" s="32"/>
      <c r="AC287" s="40"/>
      <c r="AD287" s="34" t="s">
        <v>1299</v>
      </c>
      <c r="AE287" s="34" t="s">
        <v>93</v>
      </c>
      <c r="AF287" s="34" t="s">
        <v>1300</v>
      </c>
      <c r="AG287" s="41">
        <v>2</v>
      </c>
      <c r="AH287" s="41">
        <v>3</v>
      </c>
      <c r="AI287" s="33">
        <f t="shared" si="38"/>
        <v>6</v>
      </c>
      <c r="AJ287" s="33" t="str">
        <f t="shared" si="39"/>
        <v>MEDIO</v>
      </c>
      <c r="AK287" s="33">
        <v>10</v>
      </c>
      <c r="AL287" s="33">
        <f t="shared" si="32"/>
        <v>60</v>
      </c>
      <c r="AM287" s="33" t="str">
        <f t="shared" si="44"/>
        <v>RIESGO ACEPTABLE</v>
      </c>
      <c r="AN287" s="33"/>
      <c r="AO287" s="32"/>
      <c r="AP287" s="40"/>
      <c r="AQ287" s="34" t="s">
        <v>1301</v>
      </c>
      <c r="AR287" s="34" t="s">
        <v>1053</v>
      </c>
      <c r="AS287" s="61" t="s">
        <v>1302</v>
      </c>
    </row>
    <row r="288" spans="1:152" s="8" customFormat="1" ht="67.2" x14ac:dyDescent="0.25">
      <c r="A288" s="193"/>
      <c r="B288" s="208"/>
      <c r="C288" s="166"/>
      <c r="D288" s="196"/>
      <c r="E288" s="165"/>
      <c r="F288" s="152"/>
      <c r="G288" s="165"/>
      <c r="H288" s="34" t="s">
        <v>316</v>
      </c>
      <c r="I288" s="32" t="s">
        <v>1233</v>
      </c>
      <c r="J288" s="32" t="s">
        <v>1054</v>
      </c>
      <c r="K288" s="34" t="s">
        <v>248</v>
      </c>
      <c r="L288" s="68" t="s">
        <v>83</v>
      </c>
      <c r="M288" s="73" t="s">
        <v>332</v>
      </c>
      <c r="N288" s="73" t="s">
        <v>106</v>
      </c>
      <c r="O288" s="73" t="s">
        <v>626</v>
      </c>
      <c r="P288" s="70">
        <v>2</v>
      </c>
      <c r="Q288" s="41">
        <v>3</v>
      </c>
      <c r="R288" s="33">
        <f t="shared" si="45"/>
        <v>6</v>
      </c>
      <c r="S288" s="33" t="str">
        <f t="shared" si="40"/>
        <v>MEDIO</v>
      </c>
      <c r="T288" s="33">
        <v>10</v>
      </c>
      <c r="U288" s="75">
        <f t="shared" si="41"/>
        <v>60</v>
      </c>
      <c r="V288" s="33" t="str">
        <f t="shared" si="43"/>
        <v>lll</v>
      </c>
      <c r="W288" s="74" t="str">
        <f t="shared" si="42"/>
        <v>SI</v>
      </c>
      <c r="X288" s="33">
        <v>30</v>
      </c>
      <c r="Y288" s="31" t="s">
        <v>108</v>
      </c>
      <c r="Z288" s="33" t="s">
        <v>87</v>
      </c>
      <c r="AA288" s="34"/>
      <c r="AB288" s="40"/>
      <c r="AC288" s="40"/>
      <c r="AD288" s="34"/>
      <c r="AE288" s="34" t="s">
        <v>471</v>
      </c>
      <c r="AF288" s="34" t="s">
        <v>320</v>
      </c>
      <c r="AG288" s="41">
        <v>2</v>
      </c>
      <c r="AH288" s="41">
        <v>3</v>
      </c>
      <c r="AI288" s="33">
        <f t="shared" si="38"/>
        <v>6</v>
      </c>
      <c r="AJ288" s="33" t="str">
        <f t="shared" si="39"/>
        <v>MEDIO</v>
      </c>
      <c r="AK288" s="33">
        <v>10</v>
      </c>
      <c r="AL288" s="33">
        <f t="shared" si="32"/>
        <v>60</v>
      </c>
      <c r="AM288" s="33" t="str">
        <f t="shared" si="44"/>
        <v>RIESGO ACEPTABLE</v>
      </c>
      <c r="AN288" s="34"/>
      <c r="AO288" s="40"/>
      <c r="AP288" s="40"/>
      <c r="AQ288" s="34"/>
      <c r="AR288" s="34" t="s">
        <v>471</v>
      </c>
      <c r="AS288" s="61" t="s">
        <v>320</v>
      </c>
      <c r="AX288" s="8">
        <v>6108579</v>
      </c>
    </row>
    <row r="289" spans="1:50" s="8" customFormat="1" ht="76.8" x14ac:dyDescent="0.25">
      <c r="A289" s="193"/>
      <c r="B289" s="208"/>
      <c r="C289" s="166"/>
      <c r="D289" s="196"/>
      <c r="E289" s="165"/>
      <c r="F289" s="152"/>
      <c r="G289" s="165"/>
      <c r="H289" s="34" t="s">
        <v>79</v>
      </c>
      <c r="I289" s="32" t="s">
        <v>1250</v>
      </c>
      <c r="J289" s="47" t="s">
        <v>447</v>
      </c>
      <c r="K289" s="34" t="s">
        <v>248</v>
      </c>
      <c r="L289" s="68" t="s">
        <v>448</v>
      </c>
      <c r="M289" s="73" t="s">
        <v>332</v>
      </c>
      <c r="N289" s="73" t="s">
        <v>1259</v>
      </c>
      <c r="O289" s="7" t="s">
        <v>85</v>
      </c>
      <c r="P289" s="70">
        <v>2</v>
      </c>
      <c r="Q289" s="41">
        <v>3</v>
      </c>
      <c r="R289" s="33">
        <f t="shared" si="45"/>
        <v>6</v>
      </c>
      <c r="S289" s="33" t="str">
        <f t="shared" si="40"/>
        <v>MEDIO</v>
      </c>
      <c r="T289" s="33">
        <v>10</v>
      </c>
      <c r="U289" s="75">
        <f t="shared" si="41"/>
        <v>60</v>
      </c>
      <c r="V289" s="33" t="str">
        <f t="shared" si="43"/>
        <v>lll</v>
      </c>
      <c r="W289" s="74" t="str">
        <f t="shared" si="42"/>
        <v>SI</v>
      </c>
      <c r="X289" s="33">
        <v>30</v>
      </c>
      <c r="Y289" s="31" t="s">
        <v>86</v>
      </c>
      <c r="Z289" s="33" t="s">
        <v>87</v>
      </c>
      <c r="AA289" s="45"/>
      <c r="AB289" s="33"/>
      <c r="AC289" s="34"/>
      <c r="AD289" s="34" t="s">
        <v>1055</v>
      </c>
      <c r="AE289" s="34" t="s">
        <v>93</v>
      </c>
      <c r="AF289" s="34" t="s">
        <v>1056</v>
      </c>
      <c r="AG289" s="41">
        <v>2</v>
      </c>
      <c r="AH289" s="41">
        <v>3</v>
      </c>
      <c r="AI289" s="33">
        <f t="shared" si="38"/>
        <v>6</v>
      </c>
      <c r="AJ289" s="33" t="str">
        <f t="shared" si="39"/>
        <v>MEDIO</v>
      </c>
      <c r="AK289" s="33">
        <v>10</v>
      </c>
      <c r="AL289" s="33">
        <f t="shared" si="32"/>
        <v>60</v>
      </c>
      <c r="AM289" s="33" t="str">
        <f t="shared" si="44"/>
        <v>RIESGO ACEPTABLE</v>
      </c>
      <c r="AN289" s="34"/>
      <c r="AO289" s="34"/>
      <c r="AP289" s="34"/>
      <c r="AQ289" s="34" t="s">
        <v>1057</v>
      </c>
      <c r="AR289" s="34" t="s">
        <v>495</v>
      </c>
      <c r="AS289" s="61" t="s">
        <v>1056</v>
      </c>
      <c r="AX289" s="8" t="s">
        <v>1058</v>
      </c>
    </row>
    <row r="290" spans="1:50" s="8" customFormat="1" ht="67.2" x14ac:dyDescent="0.25">
      <c r="A290" s="193"/>
      <c r="B290" s="208"/>
      <c r="C290" s="166"/>
      <c r="D290" s="200"/>
      <c r="E290" s="165"/>
      <c r="F290" s="152"/>
      <c r="G290" s="165"/>
      <c r="H290" s="34" t="s">
        <v>149</v>
      </c>
      <c r="I290" s="32" t="s">
        <v>1236</v>
      </c>
      <c r="J290" s="32" t="s">
        <v>1059</v>
      </c>
      <c r="K290" s="34" t="s">
        <v>248</v>
      </c>
      <c r="L290" s="68" t="s">
        <v>327</v>
      </c>
      <c r="M290" s="73" t="s">
        <v>332</v>
      </c>
      <c r="N290" s="73" t="s">
        <v>1259</v>
      </c>
      <c r="O290" s="73" t="s">
        <v>556</v>
      </c>
      <c r="P290" s="70">
        <v>2</v>
      </c>
      <c r="Q290" s="41">
        <v>3</v>
      </c>
      <c r="R290" s="33">
        <f t="shared" si="45"/>
        <v>6</v>
      </c>
      <c r="S290" s="33" t="str">
        <f t="shared" si="40"/>
        <v>MEDIO</v>
      </c>
      <c r="T290" s="33">
        <v>10</v>
      </c>
      <c r="U290" s="75">
        <f t="shared" si="41"/>
        <v>60</v>
      </c>
      <c r="V290" s="33" t="str">
        <f t="shared" si="43"/>
        <v>lll</v>
      </c>
      <c r="W290" s="74" t="str">
        <f t="shared" si="42"/>
        <v>SI</v>
      </c>
      <c r="X290" s="33">
        <v>30</v>
      </c>
      <c r="Y290" s="31" t="s">
        <v>143</v>
      </c>
      <c r="Z290" s="33" t="s">
        <v>87</v>
      </c>
      <c r="AA290" s="34"/>
      <c r="AB290" s="34"/>
      <c r="AC290" s="42"/>
      <c r="AD290" s="42" t="s">
        <v>1303</v>
      </c>
      <c r="AE290" s="42"/>
      <c r="AF290" s="34" t="s">
        <v>146</v>
      </c>
      <c r="AG290" s="41">
        <v>2</v>
      </c>
      <c r="AH290" s="41">
        <v>3</v>
      </c>
      <c r="AI290" s="33">
        <f t="shared" si="38"/>
        <v>6</v>
      </c>
      <c r="AJ290" s="33" t="str">
        <f t="shared" si="39"/>
        <v>MEDIO</v>
      </c>
      <c r="AK290" s="33">
        <v>10</v>
      </c>
      <c r="AL290" s="33">
        <f t="shared" ref="AL290:AL310" si="46">AI290*AK290</f>
        <v>60</v>
      </c>
      <c r="AM290" s="33" t="str">
        <f t="shared" si="44"/>
        <v>RIESGO ACEPTABLE</v>
      </c>
      <c r="AN290" s="34"/>
      <c r="AO290" s="34"/>
      <c r="AP290" s="42"/>
      <c r="AQ290" s="43" t="s">
        <v>1060</v>
      </c>
      <c r="AR290" s="34"/>
      <c r="AS290" s="61" t="s">
        <v>1061</v>
      </c>
    </row>
    <row r="291" spans="1:50" s="8" customFormat="1" ht="67.2" x14ac:dyDescent="0.25">
      <c r="A291" s="193"/>
      <c r="B291" s="208"/>
      <c r="C291" s="166"/>
      <c r="D291" s="196"/>
      <c r="E291" s="165"/>
      <c r="F291" s="152"/>
      <c r="G291" s="165"/>
      <c r="H291" s="34" t="s">
        <v>1062</v>
      </c>
      <c r="I291" s="32" t="s">
        <v>1235</v>
      </c>
      <c r="J291" s="32" t="s">
        <v>1063</v>
      </c>
      <c r="K291" s="34" t="s">
        <v>248</v>
      </c>
      <c r="L291" s="68" t="s">
        <v>1064</v>
      </c>
      <c r="M291" s="73" t="s">
        <v>332</v>
      </c>
      <c r="N291" s="73" t="s">
        <v>1259</v>
      </c>
      <c r="O291" s="73" t="s">
        <v>132</v>
      </c>
      <c r="P291" s="70">
        <v>2</v>
      </c>
      <c r="Q291" s="41">
        <v>3</v>
      </c>
      <c r="R291" s="33">
        <f t="shared" si="45"/>
        <v>6</v>
      </c>
      <c r="S291" s="33" t="str">
        <f t="shared" si="40"/>
        <v>MEDIO</v>
      </c>
      <c r="T291" s="33">
        <v>10</v>
      </c>
      <c r="U291" s="75">
        <f t="shared" si="41"/>
        <v>60</v>
      </c>
      <c r="V291" s="33" t="str">
        <f t="shared" si="43"/>
        <v>lll</v>
      </c>
      <c r="W291" s="74" t="str">
        <f t="shared" si="42"/>
        <v>SI</v>
      </c>
      <c r="X291" s="33">
        <v>30</v>
      </c>
      <c r="Y291" s="31" t="s">
        <v>133</v>
      </c>
      <c r="Z291" s="33" t="s">
        <v>87</v>
      </c>
      <c r="AA291" s="46"/>
      <c r="AB291" s="33"/>
      <c r="AC291" s="34"/>
      <c r="AD291" s="34" t="s">
        <v>134</v>
      </c>
      <c r="AE291" s="34"/>
      <c r="AF291" s="34" t="s">
        <v>1065</v>
      </c>
      <c r="AG291" s="41">
        <v>2</v>
      </c>
      <c r="AH291" s="41">
        <v>3</v>
      </c>
      <c r="AI291" s="33">
        <f t="shared" si="38"/>
        <v>6</v>
      </c>
      <c r="AJ291" s="33" t="str">
        <f t="shared" si="39"/>
        <v>MEDIO</v>
      </c>
      <c r="AK291" s="33">
        <v>10</v>
      </c>
      <c r="AL291" s="33">
        <f t="shared" si="46"/>
        <v>60</v>
      </c>
      <c r="AM291" s="33" t="str">
        <f t="shared" si="44"/>
        <v>RIESGO ACEPTABLE</v>
      </c>
      <c r="AN291" s="34"/>
      <c r="AO291" s="34"/>
      <c r="AP291" s="34"/>
      <c r="AQ291" s="34" t="s">
        <v>136</v>
      </c>
      <c r="AR291" s="34" t="s">
        <v>93</v>
      </c>
      <c r="AS291" s="61" t="s">
        <v>1066</v>
      </c>
    </row>
    <row r="292" spans="1:50" s="8" customFormat="1" ht="28.8" x14ac:dyDescent="0.25">
      <c r="A292" s="193"/>
      <c r="B292" s="208"/>
      <c r="C292" s="166"/>
      <c r="D292" s="196"/>
      <c r="E292" s="165"/>
      <c r="F292" s="152"/>
      <c r="G292" s="165"/>
      <c r="H292" s="34" t="s">
        <v>157</v>
      </c>
      <c r="I292" s="32" t="s">
        <v>1252</v>
      </c>
      <c r="J292" s="32" t="s">
        <v>1067</v>
      </c>
      <c r="K292" s="34" t="s">
        <v>248</v>
      </c>
      <c r="L292" s="68" t="s">
        <v>160</v>
      </c>
      <c r="M292" s="73" t="s">
        <v>332</v>
      </c>
      <c r="N292" s="73" t="s">
        <v>161</v>
      </c>
      <c r="O292" s="73" t="s">
        <v>1068</v>
      </c>
      <c r="P292" s="70">
        <v>2</v>
      </c>
      <c r="Q292" s="41">
        <v>3</v>
      </c>
      <c r="R292" s="33">
        <f t="shared" si="45"/>
        <v>6</v>
      </c>
      <c r="S292" s="33" t="str">
        <f t="shared" si="40"/>
        <v>MEDIO</v>
      </c>
      <c r="T292" s="33">
        <v>10</v>
      </c>
      <c r="U292" s="75">
        <f t="shared" si="41"/>
        <v>60</v>
      </c>
      <c r="V292" s="33" t="str">
        <f t="shared" si="43"/>
        <v>lll</v>
      </c>
      <c r="W292" s="74" t="str">
        <f t="shared" si="42"/>
        <v>SI</v>
      </c>
      <c r="X292" s="33">
        <v>30</v>
      </c>
      <c r="Y292" s="31" t="s">
        <v>163</v>
      </c>
      <c r="Z292" s="33" t="s">
        <v>87</v>
      </c>
      <c r="AA292" s="46"/>
      <c r="AB292" s="33"/>
      <c r="AC292" s="34"/>
      <c r="AD292" s="34" t="s">
        <v>1069</v>
      </c>
      <c r="AE292" s="34"/>
      <c r="AF292" s="34"/>
      <c r="AG292" s="41">
        <v>2</v>
      </c>
      <c r="AH292" s="41">
        <v>3</v>
      </c>
      <c r="AI292" s="33">
        <f t="shared" si="38"/>
        <v>6</v>
      </c>
      <c r="AJ292" s="33" t="str">
        <f t="shared" si="39"/>
        <v>MEDIO</v>
      </c>
      <c r="AK292" s="33">
        <v>10</v>
      </c>
      <c r="AL292" s="33">
        <f t="shared" si="46"/>
        <v>60</v>
      </c>
      <c r="AM292" s="33" t="str">
        <f t="shared" si="44"/>
        <v>RIESGO ACEPTABLE</v>
      </c>
      <c r="AN292" s="34"/>
      <c r="AO292" s="34"/>
      <c r="AP292" s="34"/>
      <c r="AQ292" s="34" t="s">
        <v>1069</v>
      </c>
      <c r="AR292" s="34"/>
      <c r="AS292" s="61"/>
    </row>
    <row r="293" spans="1:50" s="8" customFormat="1" ht="38.4" x14ac:dyDescent="0.25">
      <c r="A293" s="193"/>
      <c r="B293" s="208"/>
      <c r="C293" s="166"/>
      <c r="D293" s="196"/>
      <c r="E293" s="165"/>
      <c r="F293" s="152"/>
      <c r="G293" s="165"/>
      <c r="H293" s="34" t="s">
        <v>1070</v>
      </c>
      <c r="I293" s="34" t="s">
        <v>1251</v>
      </c>
      <c r="J293" s="32" t="s">
        <v>1071</v>
      </c>
      <c r="K293" s="34" t="s">
        <v>248</v>
      </c>
      <c r="L293" s="68" t="s">
        <v>1072</v>
      </c>
      <c r="M293" s="73" t="s">
        <v>332</v>
      </c>
      <c r="N293" s="73" t="s">
        <v>747</v>
      </c>
      <c r="O293" s="73" t="s">
        <v>748</v>
      </c>
      <c r="P293" s="70">
        <v>2</v>
      </c>
      <c r="Q293" s="41">
        <v>3</v>
      </c>
      <c r="R293" s="33">
        <f t="shared" si="45"/>
        <v>6</v>
      </c>
      <c r="S293" s="33" t="str">
        <f t="shared" si="40"/>
        <v>MEDIO</v>
      </c>
      <c r="T293" s="33">
        <v>10</v>
      </c>
      <c r="U293" s="75">
        <f t="shared" si="41"/>
        <v>60</v>
      </c>
      <c r="V293" s="33" t="str">
        <f t="shared" si="43"/>
        <v>lll</v>
      </c>
      <c r="W293" s="74" t="str">
        <f t="shared" si="42"/>
        <v>SI</v>
      </c>
      <c r="X293" s="33">
        <v>30</v>
      </c>
      <c r="Y293" s="31" t="s">
        <v>1073</v>
      </c>
      <c r="Z293" s="33" t="s">
        <v>87</v>
      </c>
      <c r="AA293" s="34"/>
      <c r="AB293" s="40"/>
      <c r="AC293" s="40"/>
      <c r="AD293" s="34" t="s">
        <v>1074</v>
      </c>
      <c r="AE293" s="34"/>
      <c r="AF293" s="34"/>
      <c r="AG293" s="41">
        <v>2</v>
      </c>
      <c r="AH293" s="41">
        <v>3</v>
      </c>
      <c r="AI293" s="33">
        <f>AG293*AH293</f>
        <v>6</v>
      </c>
      <c r="AJ293" s="33" t="str">
        <f>IF(AND(AI293&gt;=0,AI293&lt;=4),"BAJO",IF(AND(AI293&gt;=6,AI293&lt;=8),"MEDIO",IF(AND(AI293&gt;=10,AI293&lt;=20),"ALTO",IF(AND(AI293&gt;=24,AI293&lt;=40),"MUY ALTO"))))</f>
        <v>MEDIO</v>
      </c>
      <c r="AK293" s="33">
        <v>10</v>
      </c>
      <c r="AL293" s="33">
        <f t="shared" si="46"/>
        <v>60</v>
      </c>
      <c r="AM293" s="33" t="str">
        <f t="shared" si="44"/>
        <v>RIESGO ACEPTABLE</v>
      </c>
      <c r="AN293" s="34"/>
      <c r="AO293" s="40"/>
      <c r="AP293" s="40"/>
      <c r="AQ293" s="34" t="s">
        <v>1074</v>
      </c>
      <c r="AR293" s="34"/>
      <c r="AS293" s="61"/>
    </row>
    <row r="294" spans="1:50" s="8" customFormat="1" ht="67.2" x14ac:dyDescent="0.25">
      <c r="A294" s="193"/>
      <c r="B294" s="208"/>
      <c r="C294" s="166"/>
      <c r="D294" s="196"/>
      <c r="E294" s="165"/>
      <c r="F294" s="152"/>
      <c r="G294" s="165"/>
      <c r="H294" s="34" t="s">
        <v>308</v>
      </c>
      <c r="I294" s="168" t="s">
        <v>1253</v>
      </c>
      <c r="J294" s="47" t="s">
        <v>1075</v>
      </c>
      <c r="K294" s="34" t="s">
        <v>248</v>
      </c>
      <c r="L294" s="68" t="s">
        <v>310</v>
      </c>
      <c r="M294" s="73" t="s">
        <v>332</v>
      </c>
      <c r="N294" s="73" t="s">
        <v>1259</v>
      </c>
      <c r="O294" s="73" t="s">
        <v>312</v>
      </c>
      <c r="P294" s="70">
        <v>2</v>
      </c>
      <c r="Q294" s="41">
        <v>3</v>
      </c>
      <c r="R294" s="33">
        <f t="shared" si="45"/>
        <v>6</v>
      </c>
      <c r="S294" s="33" t="str">
        <f t="shared" si="40"/>
        <v>MEDIO</v>
      </c>
      <c r="T294" s="33">
        <v>25</v>
      </c>
      <c r="U294" s="75">
        <f t="shared" si="41"/>
        <v>150</v>
      </c>
      <c r="V294" s="33" t="str">
        <f t="shared" si="43"/>
        <v>ll</v>
      </c>
      <c r="W294" s="74" t="str">
        <f t="shared" si="42"/>
        <v>NO</v>
      </c>
      <c r="X294" s="33">
        <v>30</v>
      </c>
      <c r="Y294" s="31" t="s">
        <v>313</v>
      </c>
      <c r="Z294" s="33" t="s">
        <v>87</v>
      </c>
      <c r="AA294" s="46"/>
      <c r="AB294" s="33"/>
      <c r="AC294" s="34"/>
      <c r="AD294" s="34" t="s">
        <v>1194</v>
      </c>
      <c r="AE294" s="34"/>
      <c r="AF294" s="34"/>
      <c r="AG294" s="41">
        <v>2</v>
      </c>
      <c r="AH294" s="41">
        <v>3</v>
      </c>
      <c r="AI294" s="33">
        <f t="shared" ref="AI294:AI305" si="47">AG294*AH294</f>
        <v>6</v>
      </c>
      <c r="AJ294" s="33" t="str">
        <f>IF(AND(AI294&gt;=0,AI294&lt;=4),"BAJO",IF(AND(AI294&gt;=6,AI294&lt;=8),"MEDIO",IF(AND(AI294&gt;=10,AI294&lt;=20),"ALTO",IF(AND(AI294&gt;=24,AI294&lt;=40),"MUY ALTO"))))</f>
        <v>MEDIO</v>
      </c>
      <c r="AK294" s="33">
        <v>10</v>
      </c>
      <c r="AL294" s="33">
        <f t="shared" si="46"/>
        <v>60</v>
      </c>
      <c r="AM294" s="33" t="str">
        <f t="shared" si="44"/>
        <v>RIESGO ACEPTABLE</v>
      </c>
      <c r="AN294" s="34"/>
      <c r="AO294" s="34"/>
      <c r="AP294" s="34" t="s">
        <v>1077</v>
      </c>
      <c r="AQ294" s="34" t="s">
        <v>1195</v>
      </c>
      <c r="AR294" s="34"/>
      <c r="AS294" s="61" t="s">
        <v>464</v>
      </c>
    </row>
    <row r="295" spans="1:50" s="8" customFormat="1" ht="67.2" x14ac:dyDescent="0.25">
      <c r="A295" s="193"/>
      <c r="B295" s="208"/>
      <c r="C295" s="166"/>
      <c r="D295" s="196"/>
      <c r="E295" s="165"/>
      <c r="F295" s="152"/>
      <c r="G295" s="165"/>
      <c r="H295" s="34" t="s">
        <v>631</v>
      </c>
      <c r="I295" s="168"/>
      <c r="J295" s="47" t="s">
        <v>1079</v>
      </c>
      <c r="K295" s="34" t="s">
        <v>248</v>
      </c>
      <c r="L295" s="68" t="s">
        <v>633</v>
      </c>
      <c r="M295" s="73" t="s">
        <v>332</v>
      </c>
      <c r="N295" s="73" t="s">
        <v>106</v>
      </c>
      <c r="O295" s="73" t="s">
        <v>294</v>
      </c>
      <c r="P295" s="70">
        <v>2</v>
      </c>
      <c r="Q295" s="41">
        <v>3</v>
      </c>
      <c r="R295" s="33">
        <f t="shared" si="45"/>
        <v>6</v>
      </c>
      <c r="S295" s="33" t="str">
        <f t="shared" si="40"/>
        <v>MEDIO</v>
      </c>
      <c r="T295" s="33">
        <v>10</v>
      </c>
      <c r="U295" s="75">
        <f t="shared" si="41"/>
        <v>60</v>
      </c>
      <c r="V295" s="33" t="str">
        <f t="shared" si="43"/>
        <v>lll</v>
      </c>
      <c r="W295" s="74" t="str">
        <f t="shared" si="42"/>
        <v>SI</v>
      </c>
      <c r="X295" s="33">
        <v>30</v>
      </c>
      <c r="Y295" s="31" t="s">
        <v>634</v>
      </c>
      <c r="Z295" s="33" t="s">
        <v>87</v>
      </c>
      <c r="AA295" s="46"/>
      <c r="AB295" s="33"/>
      <c r="AC295" s="34" t="s">
        <v>351</v>
      </c>
      <c r="AD295" s="34" t="s">
        <v>1080</v>
      </c>
      <c r="AE295" s="34" t="s">
        <v>93</v>
      </c>
      <c r="AF295" s="34"/>
      <c r="AG295" s="41">
        <v>2</v>
      </c>
      <c r="AH295" s="41">
        <v>3</v>
      </c>
      <c r="AI295" s="33">
        <f t="shared" si="47"/>
        <v>6</v>
      </c>
      <c r="AJ295" s="33" t="str">
        <f>IF(AND(AI295&gt;=0,AI295&lt;=4),"BAJO",IF(AND(AI295&gt;=6,AI295&lt;=8),"MEDIO",IF(AND(AI295&gt;=10,AI295&lt;=20),"ALTO",IF(AND(AI295&gt;=24,AI295&lt;=40),"MUY ALTO"))))</f>
        <v>MEDIO</v>
      </c>
      <c r="AK295" s="33">
        <v>10</v>
      </c>
      <c r="AL295" s="33">
        <f t="shared" si="46"/>
        <v>60</v>
      </c>
      <c r="AM295" s="33" t="str">
        <f t="shared" si="44"/>
        <v>RIESGO ACEPTABLE</v>
      </c>
      <c r="AN295" s="34"/>
      <c r="AO295" s="34"/>
      <c r="AP295" s="34" t="s">
        <v>351</v>
      </c>
      <c r="AQ295" s="34" t="s">
        <v>1080</v>
      </c>
      <c r="AR295" s="34" t="s">
        <v>93</v>
      </c>
      <c r="AS295" s="61" t="s">
        <v>182</v>
      </c>
    </row>
    <row r="296" spans="1:50" s="8" customFormat="1" ht="38.4" x14ac:dyDescent="0.25">
      <c r="A296" s="193"/>
      <c r="B296" s="208"/>
      <c r="C296" s="166"/>
      <c r="D296" s="216"/>
      <c r="E296" s="165"/>
      <c r="F296" s="152"/>
      <c r="G296" s="165"/>
      <c r="H296" s="34" t="s">
        <v>354</v>
      </c>
      <c r="I296" s="168"/>
      <c r="J296" s="32" t="s">
        <v>1081</v>
      </c>
      <c r="K296" s="34" t="s">
        <v>248</v>
      </c>
      <c r="L296" s="68" t="s">
        <v>356</v>
      </c>
      <c r="M296" s="73" t="s">
        <v>332</v>
      </c>
      <c r="N296" s="73" t="s">
        <v>1082</v>
      </c>
      <c r="O296" s="73" t="s">
        <v>357</v>
      </c>
      <c r="P296" s="70">
        <v>2</v>
      </c>
      <c r="Q296" s="41">
        <v>3</v>
      </c>
      <c r="R296" s="33">
        <f t="shared" si="45"/>
        <v>6</v>
      </c>
      <c r="S296" s="33" t="str">
        <f t="shared" si="40"/>
        <v>MEDIO</v>
      </c>
      <c r="T296" s="33">
        <v>10</v>
      </c>
      <c r="U296" s="75">
        <f t="shared" si="41"/>
        <v>60</v>
      </c>
      <c r="V296" s="33" t="str">
        <f t="shared" si="43"/>
        <v>lll</v>
      </c>
      <c r="W296" s="74" t="str">
        <f t="shared" si="42"/>
        <v>SI</v>
      </c>
      <c r="X296" s="33">
        <v>30</v>
      </c>
      <c r="Y296" s="31" t="s">
        <v>358</v>
      </c>
      <c r="Z296" s="33" t="s">
        <v>87</v>
      </c>
      <c r="AA296" s="34"/>
      <c r="AB296" s="40"/>
      <c r="AC296" s="40"/>
      <c r="AD296" s="34" t="s">
        <v>1083</v>
      </c>
      <c r="AE296" s="34" t="s">
        <v>93</v>
      </c>
      <c r="AF296" s="34"/>
      <c r="AG296" s="41">
        <v>2</v>
      </c>
      <c r="AH296" s="41">
        <v>3</v>
      </c>
      <c r="AI296" s="33">
        <f t="shared" si="47"/>
        <v>6</v>
      </c>
      <c r="AJ296" s="33" t="str">
        <f>IF(AND(AI296&gt;=0,AI296&lt;=4),"BAJO",IF(AND(AI296&gt;=6,AI296&lt;=8),"MEDIO",IF(AND(AI296&gt;=10,AI296&lt;=20),"ALTO",IF(AND(AI296&gt;=24,AI296&lt;=40),"MUY ALTO"))))</f>
        <v>MEDIO</v>
      </c>
      <c r="AK296" s="33">
        <v>10</v>
      </c>
      <c r="AL296" s="33">
        <f t="shared" si="46"/>
        <v>60</v>
      </c>
      <c r="AM296" s="33" t="str">
        <f t="shared" si="44"/>
        <v>RIESGO ACEPTABLE</v>
      </c>
      <c r="AN296" s="34"/>
      <c r="AO296" s="40"/>
      <c r="AP296" s="40"/>
      <c r="AQ296" s="34" t="s">
        <v>1192</v>
      </c>
      <c r="AR296" s="34"/>
      <c r="AS296" s="61"/>
    </row>
    <row r="297" spans="1:50" s="8" customFormat="1" ht="48" x14ac:dyDescent="0.25">
      <c r="A297" s="193"/>
      <c r="B297" s="208"/>
      <c r="C297" s="214" t="s">
        <v>1085</v>
      </c>
      <c r="D297" s="196" t="s">
        <v>1086</v>
      </c>
      <c r="E297" s="203" t="s">
        <v>496</v>
      </c>
      <c r="F297" s="152" t="s">
        <v>1087</v>
      </c>
      <c r="G297" s="165" t="s">
        <v>1088</v>
      </c>
      <c r="H297" s="34" t="s">
        <v>172</v>
      </c>
      <c r="I297" s="32" t="s">
        <v>1253</v>
      </c>
      <c r="J297" s="32" t="s">
        <v>1089</v>
      </c>
      <c r="K297" s="34" t="s">
        <v>248</v>
      </c>
      <c r="L297" s="68" t="s">
        <v>175</v>
      </c>
      <c r="M297" s="73" t="s">
        <v>332</v>
      </c>
      <c r="N297" s="73" t="s">
        <v>311</v>
      </c>
      <c r="O297" s="73" t="s">
        <v>177</v>
      </c>
      <c r="P297" s="70">
        <v>2</v>
      </c>
      <c r="Q297" s="41">
        <v>3</v>
      </c>
      <c r="R297" s="33">
        <f t="shared" si="45"/>
        <v>6</v>
      </c>
      <c r="S297" s="33" t="str">
        <f t="shared" si="40"/>
        <v>MEDIO</v>
      </c>
      <c r="T297" s="33">
        <v>10</v>
      </c>
      <c r="U297" s="75">
        <f t="shared" si="41"/>
        <v>60</v>
      </c>
      <c r="V297" s="33" t="str">
        <f t="shared" si="43"/>
        <v>lll</v>
      </c>
      <c r="W297" s="74" t="str">
        <f t="shared" si="42"/>
        <v>SI</v>
      </c>
      <c r="X297" s="33">
        <v>30</v>
      </c>
      <c r="Y297" s="31" t="s">
        <v>178</v>
      </c>
      <c r="Z297" s="33" t="s">
        <v>87</v>
      </c>
      <c r="AA297" s="34"/>
      <c r="AB297" s="40"/>
      <c r="AC297" s="40"/>
      <c r="AD297" s="34" t="s">
        <v>1090</v>
      </c>
      <c r="AE297" s="34"/>
      <c r="AF297" s="34" t="s">
        <v>1091</v>
      </c>
      <c r="AG297" s="41">
        <v>2</v>
      </c>
      <c r="AH297" s="41">
        <v>3</v>
      </c>
      <c r="AI297" s="33">
        <f t="shared" si="47"/>
        <v>6</v>
      </c>
      <c r="AJ297" s="33" t="str">
        <f t="shared" ref="AJ297:AJ305" si="48">IF(AND(AI297&gt;=0,AI297&lt;=4),"BAJO",IF(AND(AI297&gt;=6,AI297&lt;=8),"MEDIO",IF(AND(AI297&gt;=10,AI297&lt;=20),"ALTO",IF(AND(AI297&gt;=24,AI297&lt;=40),"MUY ALTO"))))</f>
        <v>MEDIO</v>
      </c>
      <c r="AK297" s="33">
        <v>10</v>
      </c>
      <c r="AL297" s="33">
        <f t="shared" si="46"/>
        <v>60</v>
      </c>
      <c r="AM297" s="33" t="str">
        <f t="shared" si="44"/>
        <v>RIESGO ACEPTABLE</v>
      </c>
      <c r="AN297" s="34"/>
      <c r="AO297" s="40"/>
      <c r="AP297" s="40"/>
      <c r="AQ297" s="34" t="s">
        <v>1092</v>
      </c>
      <c r="AR297" s="34"/>
      <c r="AS297" s="61" t="s">
        <v>1091</v>
      </c>
    </row>
    <row r="298" spans="1:50" s="8" customFormat="1" ht="67.2" x14ac:dyDescent="0.25">
      <c r="A298" s="193"/>
      <c r="B298" s="208"/>
      <c r="C298" s="214"/>
      <c r="D298" s="196"/>
      <c r="E298" s="203"/>
      <c r="F298" s="152"/>
      <c r="G298" s="165"/>
      <c r="H298" s="34" t="s">
        <v>393</v>
      </c>
      <c r="I298" s="32" t="s">
        <v>1241</v>
      </c>
      <c r="J298" s="34" t="s">
        <v>1093</v>
      </c>
      <c r="K298" s="34" t="s">
        <v>104</v>
      </c>
      <c r="L298" s="68" t="s">
        <v>395</v>
      </c>
      <c r="M298" s="73" t="s">
        <v>332</v>
      </c>
      <c r="N298" s="73" t="s">
        <v>1259</v>
      </c>
      <c r="O298" s="73" t="s">
        <v>396</v>
      </c>
      <c r="P298" s="70">
        <v>2</v>
      </c>
      <c r="Q298" s="41">
        <v>1</v>
      </c>
      <c r="R298" s="33">
        <f>P298*Q298</f>
        <v>2</v>
      </c>
      <c r="S298" s="33" t="str">
        <f t="shared" si="40"/>
        <v>BAJO</v>
      </c>
      <c r="T298" s="33">
        <v>10</v>
      </c>
      <c r="U298" s="75">
        <f t="shared" si="41"/>
        <v>20</v>
      </c>
      <c r="V298" s="33" t="str">
        <f t="shared" si="43"/>
        <v xml:space="preserve">IV </v>
      </c>
      <c r="W298" s="74" t="s">
        <v>87</v>
      </c>
      <c r="X298" s="33">
        <v>30</v>
      </c>
      <c r="Y298" s="31" t="s">
        <v>397</v>
      </c>
      <c r="Z298" s="33" t="s">
        <v>87</v>
      </c>
      <c r="AA298" s="45"/>
      <c r="AB298" s="32"/>
      <c r="AC298" s="40"/>
      <c r="AD298" s="34" t="s">
        <v>431</v>
      </c>
      <c r="AE298" s="34"/>
      <c r="AF298" s="34" t="s">
        <v>434</v>
      </c>
      <c r="AG298" s="41">
        <v>2</v>
      </c>
      <c r="AH298" s="41">
        <v>3</v>
      </c>
      <c r="AI298" s="33">
        <f t="shared" si="47"/>
        <v>6</v>
      </c>
      <c r="AJ298" s="33" t="str">
        <f t="shared" si="48"/>
        <v>MEDIO</v>
      </c>
      <c r="AK298" s="33">
        <v>10</v>
      </c>
      <c r="AL298" s="33">
        <f t="shared" si="46"/>
        <v>60</v>
      </c>
      <c r="AM298" s="33" t="str">
        <f t="shared" si="44"/>
        <v>RIESGO ACEPTABLE</v>
      </c>
      <c r="AN298" s="33"/>
      <c r="AO298" s="32"/>
      <c r="AP298" s="40"/>
      <c r="AQ298" s="34" t="s">
        <v>1094</v>
      </c>
      <c r="AR298" s="34"/>
      <c r="AS298" s="61" t="s">
        <v>434</v>
      </c>
    </row>
    <row r="299" spans="1:50" s="8" customFormat="1" ht="67.2" x14ac:dyDescent="0.25">
      <c r="A299" s="193"/>
      <c r="B299" s="208"/>
      <c r="C299" s="214"/>
      <c r="D299" s="196"/>
      <c r="E299" s="203"/>
      <c r="F299" s="152"/>
      <c r="G299" s="165"/>
      <c r="H299" s="34" t="s">
        <v>114</v>
      </c>
      <c r="I299" s="32" t="s">
        <v>1234</v>
      </c>
      <c r="J299" s="34" t="s">
        <v>1095</v>
      </c>
      <c r="K299" s="34" t="s">
        <v>248</v>
      </c>
      <c r="L299" s="68" t="s">
        <v>117</v>
      </c>
      <c r="M299" s="73" t="s">
        <v>332</v>
      </c>
      <c r="N299" s="73" t="s">
        <v>1259</v>
      </c>
      <c r="O299" s="73" t="s">
        <v>264</v>
      </c>
      <c r="P299" s="70">
        <v>2</v>
      </c>
      <c r="Q299" s="41">
        <v>3</v>
      </c>
      <c r="R299" s="33">
        <f t="shared" si="45"/>
        <v>6</v>
      </c>
      <c r="S299" s="33" t="str">
        <f t="shared" si="40"/>
        <v>MEDIO</v>
      </c>
      <c r="T299" s="33">
        <v>10</v>
      </c>
      <c r="U299" s="75">
        <f t="shared" si="41"/>
        <v>60</v>
      </c>
      <c r="V299" s="33" t="str">
        <f t="shared" si="43"/>
        <v>lll</v>
      </c>
      <c r="W299" s="74" t="str">
        <f t="shared" si="42"/>
        <v>SI</v>
      </c>
      <c r="X299" s="33">
        <v>30</v>
      </c>
      <c r="Y299" s="31" t="s">
        <v>119</v>
      </c>
      <c r="Z299" s="33" t="s">
        <v>87</v>
      </c>
      <c r="AA299" s="45"/>
      <c r="AB299" s="32"/>
      <c r="AC299" s="40"/>
      <c r="AD299" s="34" t="s">
        <v>1299</v>
      </c>
      <c r="AE299" s="34" t="s">
        <v>93</v>
      </c>
      <c r="AF299" s="34" t="s">
        <v>1051</v>
      </c>
      <c r="AG299" s="41">
        <v>2</v>
      </c>
      <c r="AH299" s="41">
        <v>3</v>
      </c>
      <c r="AI299" s="33">
        <f t="shared" si="47"/>
        <v>6</v>
      </c>
      <c r="AJ299" s="33" t="str">
        <f t="shared" si="48"/>
        <v>MEDIO</v>
      </c>
      <c r="AK299" s="33">
        <v>10</v>
      </c>
      <c r="AL299" s="33">
        <f t="shared" si="46"/>
        <v>60</v>
      </c>
      <c r="AM299" s="33" t="str">
        <f t="shared" si="44"/>
        <v>RIESGO ACEPTABLE</v>
      </c>
      <c r="AN299" s="33"/>
      <c r="AO299" s="32"/>
      <c r="AP299" s="40"/>
      <c r="AQ299" s="34" t="s">
        <v>1304</v>
      </c>
      <c r="AR299" s="34" t="s">
        <v>1053</v>
      </c>
      <c r="AS299" s="61" t="s">
        <v>1305</v>
      </c>
    </row>
    <row r="300" spans="1:50" s="8" customFormat="1" ht="67.2" x14ac:dyDescent="0.25">
      <c r="A300" s="193"/>
      <c r="B300" s="208"/>
      <c r="C300" s="214"/>
      <c r="D300" s="196"/>
      <c r="E300" s="203"/>
      <c r="F300" s="152"/>
      <c r="G300" s="165"/>
      <c r="H300" s="34" t="s">
        <v>316</v>
      </c>
      <c r="I300" s="165" t="s">
        <v>1242</v>
      </c>
      <c r="J300" s="32" t="s">
        <v>1054</v>
      </c>
      <c r="K300" s="34" t="s">
        <v>248</v>
      </c>
      <c r="L300" s="68" t="s">
        <v>83</v>
      </c>
      <c r="M300" s="73" t="s">
        <v>332</v>
      </c>
      <c r="N300" s="73" t="s">
        <v>106</v>
      </c>
      <c r="O300" s="73" t="s">
        <v>522</v>
      </c>
      <c r="P300" s="70">
        <v>2</v>
      </c>
      <c r="Q300" s="41">
        <v>3</v>
      </c>
      <c r="R300" s="33">
        <f t="shared" si="45"/>
        <v>6</v>
      </c>
      <c r="S300" s="33" t="str">
        <f t="shared" si="40"/>
        <v>MEDIO</v>
      </c>
      <c r="T300" s="33">
        <v>10</v>
      </c>
      <c r="U300" s="75">
        <f t="shared" si="41"/>
        <v>60</v>
      </c>
      <c r="V300" s="33" t="str">
        <f t="shared" si="43"/>
        <v>lll</v>
      </c>
      <c r="W300" s="74" t="str">
        <f t="shared" si="42"/>
        <v>SI</v>
      </c>
      <c r="X300" s="33">
        <v>30</v>
      </c>
      <c r="Y300" s="31" t="s">
        <v>108</v>
      </c>
      <c r="Z300" s="33" t="s">
        <v>87</v>
      </c>
      <c r="AA300" s="34"/>
      <c r="AB300" s="40"/>
      <c r="AC300" s="40"/>
      <c r="AD300" s="34"/>
      <c r="AE300" s="34" t="s">
        <v>471</v>
      </c>
      <c r="AF300" s="34"/>
      <c r="AG300" s="41">
        <v>2</v>
      </c>
      <c r="AH300" s="41">
        <v>3</v>
      </c>
      <c r="AI300" s="33">
        <f t="shared" si="47"/>
        <v>6</v>
      </c>
      <c r="AJ300" s="33" t="str">
        <f t="shared" si="48"/>
        <v>MEDIO</v>
      </c>
      <c r="AK300" s="33">
        <v>10</v>
      </c>
      <c r="AL300" s="33">
        <f t="shared" si="46"/>
        <v>60</v>
      </c>
      <c r="AM300" s="33" t="str">
        <f t="shared" si="44"/>
        <v>RIESGO ACEPTABLE</v>
      </c>
      <c r="AN300" s="34"/>
      <c r="AO300" s="40"/>
      <c r="AP300" s="40"/>
      <c r="AQ300" s="34" t="s">
        <v>113</v>
      </c>
      <c r="AR300" s="34" t="s">
        <v>471</v>
      </c>
      <c r="AS300" s="61"/>
    </row>
    <row r="301" spans="1:50" s="8" customFormat="1" ht="67.2" x14ac:dyDescent="0.25">
      <c r="A301" s="193"/>
      <c r="B301" s="208"/>
      <c r="C301" s="214"/>
      <c r="D301" s="196"/>
      <c r="E301" s="203"/>
      <c r="F301" s="152"/>
      <c r="G301" s="165"/>
      <c r="H301" s="34" t="s">
        <v>205</v>
      </c>
      <c r="I301" s="165"/>
      <c r="J301" s="32" t="s">
        <v>1097</v>
      </c>
      <c r="K301" s="34" t="s">
        <v>248</v>
      </c>
      <c r="L301" s="68" t="s">
        <v>207</v>
      </c>
      <c r="M301" s="73" t="s">
        <v>332</v>
      </c>
      <c r="N301" s="73" t="s">
        <v>1259</v>
      </c>
      <c r="O301" s="73" t="s">
        <v>415</v>
      </c>
      <c r="P301" s="70">
        <v>2</v>
      </c>
      <c r="Q301" s="41">
        <v>3</v>
      </c>
      <c r="R301" s="33">
        <f t="shared" si="45"/>
        <v>6</v>
      </c>
      <c r="S301" s="33" t="str">
        <f t="shared" si="40"/>
        <v>MEDIO</v>
      </c>
      <c r="T301" s="33">
        <v>10</v>
      </c>
      <c r="U301" s="75">
        <f t="shared" si="41"/>
        <v>60</v>
      </c>
      <c r="V301" s="33" t="str">
        <f t="shared" si="43"/>
        <v>lll</v>
      </c>
      <c r="W301" s="74" t="str">
        <f t="shared" si="42"/>
        <v>SI</v>
      </c>
      <c r="X301" s="33">
        <v>30</v>
      </c>
      <c r="Y301" s="31" t="s">
        <v>209</v>
      </c>
      <c r="Z301" s="33" t="s">
        <v>87</v>
      </c>
      <c r="AA301" s="34"/>
      <c r="AB301" s="40"/>
      <c r="AC301" s="40"/>
      <c r="AD301" s="34" t="s">
        <v>1098</v>
      </c>
      <c r="AE301" s="34"/>
      <c r="AF301" s="34" t="s">
        <v>113</v>
      </c>
      <c r="AG301" s="41">
        <v>2</v>
      </c>
      <c r="AH301" s="41">
        <v>3</v>
      </c>
      <c r="AI301" s="33">
        <f t="shared" si="47"/>
        <v>6</v>
      </c>
      <c r="AJ301" s="33" t="str">
        <f t="shared" si="48"/>
        <v>MEDIO</v>
      </c>
      <c r="AK301" s="33">
        <v>10</v>
      </c>
      <c r="AL301" s="33">
        <f t="shared" si="46"/>
        <v>60</v>
      </c>
      <c r="AM301" s="33" t="str">
        <f t="shared" si="44"/>
        <v>RIESGO ACEPTABLE</v>
      </c>
      <c r="AN301" s="34"/>
      <c r="AO301" s="40"/>
      <c r="AP301" s="40"/>
      <c r="AQ301" s="34" t="s">
        <v>1098</v>
      </c>
      <c r="AR301" s="34"/>
      <c r="AS301" s="61" t="s">
        <v>113</v>
      </c>
    </row>
    <row r="302" spans="1:50" s="8" customFormat="1" ht="76.8" x14ac:dyDescent="0.25">
      <c r="A302" s="193"/>
      <c r="B302" s="208"/>
      <c r="C302" s="214"/>
      <c r="D302" s="196"/>
      <c r="E302" s="203"/>
      <c r="F302" s="152"/>
      <c r="G302" s="165"/>
      <c r="H302" s="34" t="s">
        <v>79</v>
      </c>
      <c r="I302" s="32" t="s">
        <v>1248</v>
      </c>
      <c r="J302" s="47" t="s">
        <v>447</v>
      </c>
      <c r="K302" s="34" t="s">
        <v>248</v>
      </c>
      <c r="L302" s="68" t="s">
        <v>448</v>
      </c>
      <c r="M302" s="73" t="s">
        <v>332</v>
      </c>
      <c r="N302" s="73" t="s">
        <v>1259</v>
      </c>
      <c r="O302" s="7" t="s">
        <v>85</v>
      </c>
      <c r="P302" s="70">
        <v>2</v>
      </c>
      <c r="Q302" s="41">
        <v>3</v>
      </c>
      <c r="R302" s="33">
        <f t="shared" si="45"/>
        <v>6</v>
      </c>
      <c r="S302" s="33" t="str">
        <f t="shared" si="40"/>
        <v>MEDIO</v>
      </c>
      <c r="T302" s="33">
        <v>10</v>
      </c>
      <c r="U302" s="75">
        <f t="shared" si="41"/>
        <v>60</v>
      </c>
      <c r="V302" s="33" t="str">
        <f t="shared" si="43"/>
        <v>lll</v>
      </c>
      <c r="W302" s="74" t="str">
        <f t="shared" si="42"/>
        <v>SI</v>
      </c>
      <c r="X302" s="33">
        <v>30</v>
      </c>
      <c r="Y302" s="31" t="s">
        <v>86</v>
      </c>
      <c r="Z302" s="33" t="s">
        <v>87</v>
      </c>
      <c r="AA302" s="45"/>
      <c r="AB302" s="33"/>
      <c r="AC302" s="34" t="s">
        <v>449</v>
      </c>
      <c r="AD302" s="34" t="s">
        <v>450</v>
      </c>
      <c r="AE302" s="34" t="s">
        <v>93</v>
      </c>
      <c r="AF302" s="34"/>
      <c r="AG302" s="41">
        <v>2</v>
      </c>
      <c r="AH302" s="41">
        <v>3</v>
      </c>
      <c r="AI302" s="33">
        <f t="shared" si="47"/>
        <v>6</v>
      </c>
      <c r="AJ302" s="33" t="str">
        <f t="shared" si="48"/>
        <v>MEDIO</v>
      </c>
      <c r="AK302" s="33">
        <v>10</v>
      </c>
      <c r="AL302" s="33">
        <f t="shared" si="46"/>
        <v>60</v>
      </c>
      <c r="AM302" s="33" t="str">
        <f t="shared" si="44"/>
        <v>RIESGO ACEPTABLE</v>
      </c>
      <c r="AN302" s="34"/>
      <c r="AO302" s="34"/>
      <c r="AP302" s="34" t="s">
        <v>449</v>
      </c>
      <c r="AQ302" s="34" t="s">
        <v>452</v>
      </c>
      <c r="AR302" s="34"/>
      <c r="AS302" s="61" t="s">
        <v>453</v>
      </c>
    </row>
    <row r="303" spans="1:50" s="8" customFormat="1" ht="67.2" x14ac:dyDescent="0.25">
      <c r="A303" s="193"/>
      <c r="B303" s="208"/>
      <c r="C303" s="214"/>
      <c r="D303" s="196"/>
      <c r="E303" s="203"/>
      <c r="F303" s="152"/>
      <c r="G303" s="165"/>
      <c r="H303" s="34" t="s">
        <v>149</v>
      </c>
      <c r="I303" s="32" t="s">
        <v>1236</v>
      </c>
      <c r="J303" s="32" t="s">
        <v>1059</v>
      </c>
      <c r="K303" s="34" t="s">
        <v>248</v>
      </c>
      <c r="L303" s="68" t="s">
        <v>327</v>
      </c>
      <c r="M303" s="73" t="s">
        <v>332</v>
      </c>
      <c r="N303" s="73" t="s">
        <v>1259</v>
      </c>
      <c r="O303" s="73" t="s">
        <v>556</v>
      </c>
      <c r="P303" s="70">
        <v>2</v>
      </c>
      <c r="Q303" s="41">
        <v>3</v>
      </c>
      <c r="R303" s="33">
        <f t="shared" si="45"/>
        <v>6</v>
      </c>
      <c r="S303" s="33" t="str">
        <f t="shared" si="40"/>
        <v>MEDIO</v>
      </c>
      <c r="T303" s="33">
        <v>10</v>
      </c>
      <c r="U303" s="75">
        <f t="shared" si="41"/>
        <v>60</v>
      </c>
      <c r="V303" s="33" t="str">
        <f t="shared" si="43"/>
        <v>lll</v>
      </c>
      <c r="W303" s="74" t="str">
        <f t="shared" si="42"/>
        <v>SI</v>
      </c>
      <c r="X303" s="33">
        <v>30</v>
      </c>
      <c r="Y303" s="31" t="s">
        <v>143</v>
      </c>
      <c r="Z303" s="33" t="s">
        <v>87</v>
      </c>
      <c r="AA303" s="34"/>
      <c r="AB303" s="34"/>
      <c r="AC303" s="42"/>
      <c r="AD303" s="42" t="s">
        <v>1306</v>
      </c>
      <c r="AE303" s="42"/>
      <c r="AF303" s="34" t="s">
        <v>146</v>
      </c>
      <c r="AG303" s="41">
        <v>2</v>
      </c>
      <c r="AH303" s="41">
        <v>3</v>
      </c>
      <c r="AI303" s="33">
        <f t="shared" si="47"/>
        <v>6</v>
      </c>
      <c r="AJ303" s="33" t="str">
        <f t="shared" si="48"/>
        <v>MEDIO</v>
      </c>
      <c r="AK303" s="33">
        <v>10</v>
      </c>
      <c r="AL303" s="33">
        <f t="shared" si="46"/>
        <v>60</v>
      </c>
      <c r="AM303" s="33" t="str">
        <f t="shared" si="44"/>
        <v>RIESGO ACEPTABLE</v>
      </c>
      <c r="AN303" s="34"/>
      <c r="AO303" s="34"/>
      <c r="AP303" s="42"/>
      <c r="AQ303" s="43" t="s">
        <v>1060</v>
      </c>
      <c r="AR303" s="34"/>
      <c r="AS303" s="61" t="s">
        <v>1307</v>
      </c>
    </row>
    <row r="304" spans="1:50" s="8" customFormat="1" ht="67.2" x14ac:dyDescent="0.25">
      <c r="A304" s="193"/>
      <c r="B304" s="208"/>
      <c r="C304" s="214"/>
      <c r="D304" s="196"/>
      <c r="E304" s="203"/>
      <c r="F304" s="152"/>
      <c r="G304" s="165"/>
      <c r="H304" s="34" t="s">
        <v>1062</v>
      </c>
      <c r="I304" s="32" t="s">
        <v>1240</v>
      </c>
      <c r="J304" s="32" t="s">
        <v>1099</v>
      </c>
      <c r="K304" s="34" t="s">
        <v>248</v>
      </c>
      <c r="L304" s="68" t="s">
        <v>1064</v>
      </c>
      <c r="M304" s="73" t="s">
        <v>332</v>
      </c>
      <c r="N304" s="73" t="s">
        <v>1259</v>
      </c>
      <c r="O304" s="73" t="s">
        <v>132</v>
      </c>
      <c r="P304" s="70">
        <v>2</v>
      </c>
      <c r="Q304" s="41">
        <v>3</v>
      </c>
      <c r="R304" s="33">
        <f t="shared" si="45"/>
        <v>6</v>
      </c>
      <c r="S304" s="33" t="str">
        <f t="shared" si="40"/>
        <v>MEDIO</v>
      </c>
      <c r="T304" s="33">
        <v>10</v>
      </c>
      <c r="U304" s="75">
        <f t="shared" si="41"/>
        <v>60</v>
      </c>
      <c r="V304" s="33" t="str">
        <f t="shared" si="43"/>
        <v>lll</v>
      </c>
      <c r="W304" s="74" t="str">
        <f t="shared" si="42"/>
        <v>SI</v>
      </c>
      <c r="X304" s="33">
        <v>30</v>
      </c>
      <c r="Y304" s="31" t="s">
        <v>133</v>
      </c>
      <c r="Z304" s="33" t="s">
        <v>87</v>
      </c>
      <c r="AA304" s="46"/>
      <c r="AB304" s="33"/>
      <c r="AC304" s="34"/>
      <c r="AD304" s="34" t="s">
        <v>134</v>
      </c>
      <c r="AE304" s="34"/>
      <c r="AF304" s="34" t="s">
        <v>135</v>
      </c>
      <c r="AG304" s="41">
        <v>2</v>
      </c>
      <c r="AH304" s="41">
        <v>3</v>
      </c>
      <c r="AI304" s="33">
        <f t="shared" si="47"/>
        <v>6</v>
      </c>
      <c r="AJ304" s="33" t="str">
        <f t="shared" si="48"/>
        <v>MEDIO</v>
      </c>
      <c r="AK304" s="33">
        <v>10</v>
      </c>
      <c r="AL304" s="33">
        <f t="shared" si="46"/>
        <v>60</v>
      </c>
      <c r="AM304" s="33" t="str">
        <f t="shared" si="44"/>
        <v>RIESGO ACEPTABLE</v>
      </c>
      <c r="AN304" s="34"/>
      <c r="AO304" s="34"/>
      <c r="AP304" s="34"/>
      <c r="AQ304" s="34" t="s">
        <v>1100</v>
      </c>
      <c r="AR304" s="34" t="s">
        <v>93</v>
      </c>
      <c r="AS304" s="61" t="s">
        <v>1101</v>
      </c>
    </row>
    <row r="305" spans="1:45" s="8" customFormat="1" ht="67.2" x14ac:dyDescent="0.25">
      <c r="A305" s="193"/>
      <c r="B305" s="208"/>
      <c r="C305" s="214"/>
      <c r="D305" s="196"/>
      <c r="E305" s="203"/>
      <c r="F305" s="152"/>
      <c r="G305" s="165"/>
      <c r="H305" s="34" t="s">
        <v>157</v>
      </c>
      <c r="I305" s="32" t="s">
        <v>1253</v>
      </c>
      <c r="J305" s="32" t="s">
        <v>1102</v>
      </c>
      <c r="K305" s="34" t="s">
        <v>248</v>
      </c>
      <c r="L305" s="68" t="s">
        <v>160</v>
      </c>
      <c r="M305" s="73" t="s">
        <v>84</v>
      </c>
      <c r="N305" s="73" t="s">
        <v>1259</v>
      </c>
      <c r="O305" s="73" t="s">
        <v>1103</v>
      </c>
      <c r="P305" s="70">
        <v>2</v>
      </c>
      <c r="Q305" s="41">
        <v>3</v>
      </c>
      <c r="R305" s="33">
        <f t="shared" si="45"/>
        <v>6</v>
      </c>
      <c r="S305" s="33" t="str">
        <f t="shared" si="40"/>
        <v>MEDIO</v>
      </c>
      <c r="T305" s="33">
        <v>10</v>
      </c>
      <c r="U305" s="75">
        <f t="shared" si="41"/>
        <v>60</v>
      </c>
      <c r="V305" s="33" t="str">
        <f t="shared" si="43"/>
        <v>lll</v>
      </c>
      <c r="W305" s="74" t="str">
        <f t="shared" si="42"/>
        <v>SI</v>
      </c>
      <c r="X305" s="33">
        <v>30</v>
      </c>
      <c r="Y305" s="31" t="s">
        <v>163</v>
      </c>
      <c r="Z305" s="33" t="s">
        <v>87</v>
      </c>
      <c r="AA305" s="46"/>
      <c r="AB305" s="33"/>
      <c r="AC305" s="34"/>
      <c r="AD305" s="34" t="s">
        <v>1104</v>
      </c>
      <c r="AE305" s="34"/>
      <c r="AF305" s="34"/>
      <c r="AG305" s="41">
        <v>2</v>
      </c>
      <c r="AH305" s="41">
        <v>3</v>
      </c>
      <c r="AI305" s="33">
        <f t="shared" si="47"/>
        <v>6</v>
      </c>
      <c r="AJ305" s="33" t="str">
        <f t="shared" si="48"/>
        <v>MEDIO</v>
      </c>
      <c r="AK305" s="33">
        <v>10</v>
      </c>
      <c r="AL305" s="33">
        <f t="shared" si="46"/>
        <v>60</v>
      </c>
      <c r="AM305" s="33" t="str">
        <f t="shared" si="44"/>
        <v>RIESGO ACEPTABLE</v>
      </c>
      <c r="AN305" s="34"/>
      <c r="AO305" s="34"/>
      <c r="AP305" s="34"/>
      <c r="AQ305" s="34" t="s">
        <v>1105</v>
      </c>
      <c r="AR305" s="34"/>
      <c r="AS305" s="61"/>
    </row>
    <row r="306" spans="1:45" s="8" customFormat="1" ht="46.2" customHeight="1" x14ac:dyDescent="0.25">
      <c r="A306" s="193"/>
      <c r="B306" s="208"/>
      <c r="C306" s="214"/>
      <c r="D306" s="196"/>
      <c r="E306" s="203"/>
      <c r="F306" s="152"/>
      <c r="G306" s="165"/>
      <c r="H306" s="34" t="s">
        <v>1070</v>
      </c>
      <c r="I306" s="34" t="s">
        <v>1251</v>
      </c>
      <c r="J306" s="32" t="s">
        <v>1071</v>
      </c>
      <c r="K306" s="34" t="s">
        <v>248</v>
      </c>
      <c r="L306" s="68" t="s">
        <v>1072</v>
      </c>
      <c r="M306" s="73" t="s">
        <v>84</v>
      </c>
      <c r="N306" s="73" t="s">
        <v>747</v>
      </c>
      <c r="O306" s="73" t="s">
        <v>748</v>
      </c>
      <c r="P306" s="70">
        <v>2</v>
      </c>
      <c r="Q306" s="41">
        <v>3</v>
      </c>
      <c r="R306" s="33">
        <f t="shared" ref="R306:R342" si="49">P306*Q306</f>
        <v>6</v>
      </c>
      <c r="S306" s="33" t="str">
        <f t="shared" si="40"/>
        <v>MEDIO</v>
      </c>
      <c r="T306" s="33">
        <v>10</v>
      </c>
      <c r="U306" s="75">
        <f t="shared" si="41"/>
        <v>60</v>
      </c>
      <c r="V306" s="33" t="str">
        <f t="shared" si="43"/>
        <v>lll</v>
      </c>
      <c r="W306" s="74" t="str">
        <f t="shared" si="42"/>
        <v>SI</v>
      </c>
      <c r="X306" s="33">
        <v>30</v>
      </c>
      <c r="Y306" s="31" t="s">
        <v>1073</v>
      </c>
      <c r="Z306" s="33" t="s">
        <v>87</v>
      </c>
      <c r="AA306" s="34"/>
      <c r="AB306" s="40"/>
      <c r="AC306" s="40"/>
      <c r="AD306" s="34" t="s">
        <v>1074</v>
      </c>
      <c r="AE306" s="34"/>
      <c r="AF306" s="34"/>
      <c r="AG306" s="41">
        <v>2</v>
      </c>
      <c r="AH306" s="41">
        <v>3</v>
      </c>
      <c r="AI306" s="33">
        <f t="shared" ref="AI306:AI342" si="50">AG306*AH306</f>
        <v>6</v>
      </c>
      <c r="AJ306" s="33" t="str">
        <f t="shared" ref="AJ306:AJ342" si="51">IF(AND(AI306&gt;=0,AI306&lt;=4),"BAJO",IF(AND(AI306&gt;=6,AI306&lt;=8),"MEDIO",IF(AND(AI306&gt;=10,AI306&lt;=20),"ALTO",IF(AND(AI306&gt;=24,AI306&lt;=40),"MUY ALTO"))))</f>
        <v>MEDIO</v>
      </c>
      <c r="AK306" s="33">
        <v>10</v>
      </c>
      <c r="AL306" s="33">
        <f t="shared" si="46"/>
        <v>60</v>
      </c>
      <c r="AM306" s="33" t="str">
        <f t="shared" si="44"/>
        <v>RIESGO ACEPTABLE</v>
      </c>
      <c r="AN306" s="34"/>
      <c r="AO306" s="40"/>
      <c r="AP306" s="40"/>
      <c r="AQ306" s="34" t="s">
        <v>1074</v>
      </c>
      <c r="AR306" s="34"/>
      <c r="AS306" s="61"/>
    </row>
    <row r="307" spans="1:45" s="8" customFormat="1" ht="67.2" x14ac:dyDescent="0.25">
      <c r="A307" s="193"/>
      <c r="B307" s="208"/>
      <c r="C307" s="214"/>
      <c r="D307" s="196"/>
      <c r="E307" s="203"/>
      <c r="F307" s="152"/>
      <c r="G307" s="165"/>
      <c r="H307" s="34" t="s">
        <v>308</v>
      </c>
      <c r="I307" s="168" t="s">
        <v>1253</v>
      </c>
      <c r="J307" s="47" t="s">
        <v>1075</v>
      </c>
      <c r="K307" s="34" t="s">
        <v>248</v>
      </c>
      <c r="L307" s="68" t="s">
        <v>310</v>
      </c>
      <c r="M307" s="73" t="s">
        <v>84</v>
      </c>
      <c r="N307" s="73" t="s">
        <v>1259</v>
      </c>
      <c r="O307" s="73" t="s">
        <v>312</v>
      </c>
      <c r="P307" s="70">
        <v>2</v>
      </c>
      <c r="Q307" s="41">
        <v>3</v>
      </c>
      <c r="R307" s="33">
        <f t="shared" si="49"/>
        <v>6</v>
      </c>
      <c r="S307" s="33" t="str">
        <f t="shared" si="40"/>
        <v>MEDIO</v>
      </c>
      <c r="T307" s="33">
        <v>10</v>
      </c>
      <c r="U307" s="75">
        <f t="shared" si="41"/>
        <v>60</v>
      </c>
      <c r="V307" s="33" t="str">
        <f t="shared" si="43"/>
        <v>lll</v>
      </c>
      <c r="W307" s="74" t="str">
        <f t="shared" si="42"/>
        <v>SI</v>
      </c>
      <c r="X307" s="33">
        <v>30</v>
      </c>
      <c r="Y307" s="31" t="s">
        <v>313</v>
      </c>
      <c r="Z307" s="33" t="s">
        <v>87</v>
      </c>
      <c r="AA307" s="46"/>
      <c r="AB307" s="33"/>
      <c r="AC307" s="34"/>
      <c r="AD307" s="34" t="s">
        <v>1106</v>
      </c>
      <c r="AE307" s="34"/>
      <c r="AF307" s="34" t="s">
        <v>1107</v>
      </c>
      <c r="AG307" s="41">
        <v>2</v>
      </c>
      <c r="AH307" s="41">
        <v>3</v>
      </c>
      <c r="AI307" s="33">
        <f t="shared" si="50"/>
        <v>6</v>
      </c>
      <c r="AJ307" s="33" t="str">
        <f t="shared" si="51"/>
        <v>MEDIO</v>
      </c>
      <c r="AK307" s="33">
        <v>10</v>
      </c>
      <c r="AL307" s="33">
        <f t="shared" si="46"/>
        <v>60</v>
      </c>
      <c r="AM307" s="33" t="str">
        <f t="shared" si="44"/>
        <v>RIESGO ACEPTABLE</v>
      </c>
      <c r="AN307" s="34"/>
      <c r="AO307" s="34"/>
      <c r="AP307" s="34"/>
      <c r="AQ307" s="34" t="s">
        <v>1108</v>
      </c>
      <c r="AR307" s="34"/>
      <c r="AS307" s="61" t="s">
        <v>1107</v>
      </c>
    </row>
    <row r="308" spans="1:45" s="8" customFormat="1" ht="67.2" x14ac:dyDescent="0.25">
      <c r="A308" s="193"/>
      <c r="B308" s="208"/>
      <c r="C308" s="214"/>
      <c r="D308" s="196"/>
      <c r="E308" s="203"/>
      <c r="F308" s="152"/>
      <c r="G308" s="165"/>
      <c r="H308" s="34" t="s">
        <v>631</v>
      </c>
      <c r="I308" s="202"/>
      <c r="J308" s="47" t="s">
        <v>1109</v>
      </c>
      <c r="K308" s="34" t="s">
        <v>248</v>
      </c>
      <c r="L308" s="68" t="s">
        <v>633</v>
      </c>
      <c r="M308" s="73" t="s">
        <v>84</v>
      </c>
      <c r="N308" s="73" t="s">
        <v>106</v>
      </c>
      <c r="O308" s="73" t="s">
        <v>294</v>
      </c>
      <c r="P308" s="70">
        <v>2</v>
      </c>
      <c r="Q308" s="41">
        <v>3</v>
      </c>
      <c r="R308" s="33">
        <f t="shared" si="49"/>
        <v>6</v>
      </c>
      <c r="S308" s="33" t="str">
        <f t="shared" si="40"/>
        <v>MEDIO</v>
      </c>
      <c r="T308" s="33">
        <v>10</v>
      </c>
      <c r="U308" s="75">
        <f t="shared" si="41"/>
        <v>60</v>
      </c>
      <c r="V308" s="33" t="str">
        <f t="shared" si="43"/>
        <v>lll</v>
      </c>
      <c r="W308" s="74" t="str">
        <f t="shared" si="42"/>
        <v>SI</v>
      </c>
      <c r="X308" s="33">
        <v>30</v>
      </c>
      <c r="Y308" s="31" t="s">
        <v>634</v>
      </c>
      <c r="Z308" s="33" t="s">
        <v>87</v>
      </c>
      <c r="AA308" s="46"/>
      <c r="AB308" s="33"/>
      <c r="AC308" s="34" t="s">
        <v>351</v>
      </c>
      <c r="AD308" s="34" t="s">
        <v>1110</v>
      </c>
      <c r="AE308" s="34" t="s">
        <v>93</v>
      </c>
      <c r="AF308" s="34"/>
      <c r="AG308" s="41">
        <v>2</v>
      </c>
      <c r="AH308" s="41">
        <v>3</v>
      </c>
      <c r="AI308" s="33">
        <f t="shared" si="50"/>
        <v>6</v>
      </c>
      <c r="AJ308" s="33" t="str">
        <f t="shared" si="51"/>
        <v>MEDIO</v>
      </c>
      <c r="AK308" s="33">
        <v>10</v>
      </c>
      <c r="AL308" s="33">
        <f t="shared" si="46"/>
        <v>60</v>
      </c>
      <c r="AM308" s="33" t="str">
        <f t="shared" si="44"/>
        <v>RIESGO ACEPTABLE</v>
      </c>
      <c r="AN308" s="34"/>
      <c r="AO308" s="34"/>
      <c r="AP308" s="34" t="s">
        <v>351</v>
      </c>
      <c r="AQ308" s="34" t="s">
        <v>1110</v>
      </c>
      <c r="AR308" s="34" t="s">
        <v>93</v>
      </c>
      <c r="AS308" s="61" t="s">
        <v>182</v>
      </c>
    </row>
    <row r="309" spans="1:45" s="8" customFormat="1" ht="67.2" x14ac:dyDescent="0.25">
      <c r="A309" s="193"/>
      <c r="B309" s="208"/>
      <c r="C309" s="215"/>
      <c r="D309" s="196"/>
      <c r="E309" s="203"/>
      <c r="F309" s="152"/>
      <c r="G309" s="165"/>
      <c r="H309" s="34" t="s">
        <v>354</v>
      </c>
      <c r="I309" s="202"/>
      <c r="J309" s="32" t="s">
        <v>1111</v>
      </c>
      <c r="K309" s="34" t="s">
        <v>248</v>
      </c>
      <c r="L309" s="68" t="s">
        <v>356</v>
      </c>
      <c r="M309" s="73" t="s">
        <v>84</v>
      </c>
      <c r="N309" s="73" t="s">
        <v>1259</v>
      </c>
      <c r="O309" s="73" t="s">
        <v>357</v>
      </c>
      <c r="P309" s="70">
        <v>2</v>
      </c>
      <c r="Q309" s="41">
        <v>3</v>
      </c>
      <c r="R309" s="33">
        <f t="shared" si="49"/>
        <v>6</v>
      </c>
      <c r="S309" s="33" t="str">
        <f t="shared" si="40"/>
        <v>MEDIO</v>
      </c>
      <c r="T309" s="33">
        <v>10</v>
      </c>
      <c r="U309" s="75">
        <f t="shared" si="41"/>
        <v>60</v>
      </c>
      <c r="V309" s="33" t="str">
        <f t="shared" si="43"/>
        <v>lll</v>
      </c>
      <c r="W309" s="74" t="str">
        <f t="shared" si="42"/>
        <v>SI</v>
      </c>
      <c r="X309" s="33">
        <v>30</v>
      </c>
      <c r="Y309" s="31" t="s">
        <v>358</v>
      </c>
      <c r="Z309" s="33" t="s">
        <v>87</v>
      </c>
      <c r="AA309" s="34"/>
      <c r="AB309" s="40"/>
      <c r="AC309" s="40"/>
      <c r="AD309" s="34" t="s">
        <v>1112</v>
      </c>
      <c r="AE309" s="34" t="s">
        <v>93</v>
      </c>
      <c r="AF309" s="34"/>
      <c r="AG309" s="41">
        <v>2</v>
      </c>
      <c r="AH309" s="41">
        <v>3</v>
      </c>
      <c r="AI309" s="33">
        <f t="shared" si="50"/>
        <v>6</v>
      </c>
      <c r="AJ309" s="33" t="str">
        <f t="shared" si="51"/>
        <v>MEDIO</v>
      </c>
      <c r="AK309" s="33">
        <v>10</v>
      </c>
      <c r="AL309" s="33">
        <f t="shared" si="46"/>
        <v>60</v>
      </c>
      <c r="AM309" s="33" t="str">
        <f t="shared" si="44"/>
        <v>RIESGO ACEPTABLE</v>
      </c>
      <c r="AN309" s="34"/>
      <c r="AO309" s="40"/>
      <c r="AP309" s="40"/>
      <c r="AQ309" s="34" t="s">
        <v>1113</v>
      </c>
      <c r="AR309" s="34"/>
      <c r="AS309" s="61"/>
    </row>
    <row r="310" spans="1:45" ht="38.4" x14ac:dyDescent="0.25">
      <c r="A310" s="124" t="s">
        <v>1114</v>
      </c>
      <c r="B310" s="159" t="s">
        <v>1115</v>
      </c>
      <c r="C310" s="121" t="s">
        <v>1116</v>
      </c>
      <c r="D310" s="160" t="s">
        <v>1117</v>
      </c>
      <c r="E310" s="31" t="s">
        <v>1118</v>
      </c>
      <c r="F310" s="138" t="s">
        <v>1119</v>
      </c>
      <c r="G310" s="138" t="s">
        <v>1120</v>
      </c>
      <c r="H310" s="31" t="s">
        <v>1121</v>
      </c>
      <c r="I310" s="31" t="s">
        <v>1254</v>
      </c>
      <c r="J310" s="31" t="s">
        <v>1123</v>
      </c>
      <c r="K310" s="31" t="s">
        <v>1124</v>
      </c>
      <c r="L310" s="68" t="s">
        <v>327</v>
      </c>
      <c r="M310" s="73" t="s">
        <v>84</v>
      </c>
      <c r="N310" s="73" t="s">
        <v>84</v>
      </c>
      <c r="O310" s="73" t="s">
        <v>1125</v>
      </c>
      <c r="P310" s="70">
        <v>2</v>
      </c>
      <c r="Q310" s="41">
        <v>4</v>
      </c>
      <c r="R310" s="33">
        <f t="shared" si="49"/>
        <v>8</v>
      </c>
      <c r="S310" s="33" t="str">
        <f t="shared" si="40"/>
        <v>MEDIO</v>
      </c>
      <c r="T310" s="33">
        <v>10</v>
      </c>
      <c r="U310" s="75">
        <f t="shared" si="41"/>
        <v>80</v>
      </c>
      <c r="V310" s="33" t="str">
        <f t="shared" si="43"/>
        <v>lll</v>
      </c>
      <c r="W310" s="74" t="str">
        <f t="shared" si="42"/>
        <v>SI</v>
      </c>
      <c r="X310" s="33">
        <v>10</v>
      </c>
      <c r="Y310" s="31" t="s">
        <v>133</v>
      </c>
      <c r="Z310" s="33" t="s">
        <v>87</v>
      </c>
      <c r="AA310" s="31"/>
      <c r="AB310" s="31"/>
      <c r="AC310" s="31" t="s">
        <v>1126</v>
      </c>
      <c r="AD310" s="31" t="s">
        <v>1127</v>
      </c>
      <c r="AE310" s="31"/>
      <c r="AF310" s="34" t="s">
        <v>146</v>
      </c>
      <c r="AG310" s="41">
        <v>0</v>
      </c>
      <c r="AH310" s="41">
        <v>4</v>
      </c>
      <c r="AI310" s="33">
        <f t="shared" si="50"/>
        <v>0</v>
      </c>
      <c r="AJ310" s="33" t="str">
        <f t="shared" si="51"/>
        <v>BAJO</v>
      </c>
      <c r="AK310" s="33">
        <v>10</v>
      </c>
      <c r="AL310" s="33">
        <f t="shared" si="46"/>
        <v>0</v>
      </c>
      <c r="AM310" s="33" t="str">
        <f t="shared" si="44"/>
        <v>RIESGO ACEPTABLE</v>
      </c>
      <c r="AN310" s="31" t="s">
        <v>1128</v>
      </c>
      <c r="AO310" s="31"/>
      <c r="AP310" s="31"/>
      <c r="AQ310" s="31" t="s">
        <v>1129</v>
      </c>
      <c r="AR310" s="31"/>
      <c r="AS310" s="63" t="s">
        <v>1130</v>
      </c>
    </row>
    <row r="311" spans="1:45" ht="158.4" customHeight="1" x14ac:dyDescent="0.25">
      <c r="A311" s="124"/>
      <c r="B311" s="159"/>
      <c r="C311" s="121"/>
      <c r="D311" s="161"/>
      <c r="E311" s="31" t="s">
        <v>98</v>
      </c>
      <c r="F311" s="138"/>
      <c r="G311" s="138"/>
      <c r="H311" s="31" t="s">
        <v>1131</v>
      </c>
      <c r="I311" s="32" t="s">
        <v>1240</v>
      </c>
      <c r="J311" s="32" t="s">
        <v>130</v>
      </c>
      <c r="K311" s="32" t="s">
        <v>104</v>
      </c>
      <c r="L311" s="68" t="s">
        <v>131</v>
      </c>
      <c r="M311" s="73" t="s">
        <v>84</v>
      </c>
      <c r="N311" s="73" t="s">
        <v>1132</v>
      </c>
      <c r="O311" s="73" t="s">
        <v>132</v>
      </c>
      <c r="P311" s="70">
        <v>2</v>
      </c>
      <c r="Q311" s="41">
        <v>3</v>
      </c>
      <c r="R311" s="33">
        <f t="shared" si="49"/>
        <v>6</v>
      </c>
      <c r="S311" s="33" t="str">
        <f t="shared" si="40"/>
        <v>MEDIO</v>
      </c>
      <c r="T311" s="33">
        <v>10</v>
      </c>
      <c r="U311" s="75">
        <f t="shared" si="41"/>
        <v>60</v>
      </c>
      <c r="V311" s="33" t="str">
        <f t="shared" si="43"/>
        <v>lll</v>
      </c>
      <c r="W311" s="74" t="str">
        <f t="shared" si="42"/>
        <v>SI</v>
      </c>
      <c r="X311" s="33">
        <v>10</v>
      </c>
      <c r="Y311" s="31" t="s">
        <v>133</v>
      </c>
      <c r="Z311" s="33" t="s">
        <v>87</v>
      </c>
      <c r="AA311" s="31"/>
      <c r="AB311" s="31"/>
      <c r="AC311" s="31"/>
      <c r="AD311" s="31" t="s">
        <v>134</v>
      </c>
      <c r="AE311" s="31"/>
      <c r="AF311" s="34" t="s">
        <v>135</v>
      </c>
      <c r="AG311" s="41">
        <v>2</v>
      </c>
      <c r="AH311" s="41">
        <v>3</v>
      </c>
      <c r="AI311" s="33">
        <f t="shared" si="50"/>
        <v>6</v>
      </c>
      <c r="AJ311" s="33" t="str">
        <f t="shared" si="51"/>
        <v>MEDIO</v>
      </c>
      <c r="AK311" s="33">
        <v>10</v>
      </c>
      <c r="AL311" s="33">
        <f>AI311*AK311</f>
        <v>60</v>
      </c>
      <c r="AM311" s="33" t="str">
        <f t="shared" si="44"/>
        <v>RIESGO ACEPTABLE</v>
      </c>
      <c r="AN311" s="31"/>
      <c r="AO311" s="31"/>
      <c r="AP311" s="31"/>
      <c r="AQ311" s="31" t="s">
        <v>136</v>
      </c>
      <c r="AR311" s="31" t="s">
        <v>93</v>
      </c>
      <c r="AS311" s="63" t="s">
        <v>137</v>
      </c>
    </row>
    <row r="312" spans="1:45" ht="38.4" x14ac:dyDescent="0.25">
      <c r="A312" s="124" t="s">
        <v>1114</v>
      </c>
      <c r="B312" s="123" t="s">
        <v>1133</v>
      </c>
      <c r="C312" s="133" t="s">
        <v>1134</v>
      </c>
      <c r="D312" s="122" t="s">
        <v>1117</v>
      </c>
      <c r="E312" s="31" t="s">
        <v>1118</v>
      </c>
      <c r="F312" s="138" t="s">
        <v>1135</v>
      </c>
      <c r="G312" s="138" t="s">
        <v>1135</v>
      </c>
      <c r="H312" s="31" t="s">
        <v>1121</v>
      </c>
      <c r="I312" s="31" t="s">
        <v>1255</v>
      </c>
      <c r="J312" s="31" t="s">
        <v>1123</v>
      </c>
      <c r="K312" s="31" t="s">
        <v>1124</v>
      </c>
      <c r="L312" s="68" t="s">
        <v>327</v>
      </c>
      <c r="M312" s="73" t="s">
        <v>84</v>
      </c>
      <c r="N312" s="73" t="s">
        <v>84</v>
      </c>
      <c r="O312" s="73" t="s">
        <v>1125</v>
      </c>
      <c r="P312" s="70">
        <v>2</v>
      </c>
      <c r="Q312" s="41">
        <v>4</v>
      </c>
      <c r="R312" s="33">
        <f t="shared" si="49"/>
        <v>8</v>
      </c>
      <c r="S312" s="33" t="str">
        <f t="shared" si="40"/>
        <v>MEDIO</v>
      </c>
      <c r="T312" s="33">
        <v>10</v>
      </c>
      <c r="U312" s="75">
        <f t="shared" si="41"/>
        <v>80</v>
      </c>
      <c r="V312" s="33" t="str">
        <f t="shared" si="43"/>
        <v>lll</v>
      </c>
      <c r="W312" s="74" t="str">
        <f t="shared" si="42"/>
        <v>SI</v>
      </c>
      <c r="X312" s="33">
        <v>10</v>
      </c>
      <c r="Y312" s="31" t="s">
        <v>133</v>
      </c>
      <c r="Z312" s="33" t="s">
        <v>87</v>
      </c>
      <c r="AA312" s="31"/>
      <c r="AB312" s="31"/>
      <c r="AC312" s="31" t="s">
        <v>1126</v>
      </c>
      <c r="AD312" s="31" t="s">
        <v>1127</v>
      </c>
      <c r="AE312" s="31"/>
      <c r="AF312" s="34" t="s">
        <v>146</v>
      </c>
      <c r="AG312" s="41">
        <v>0</v>
      </c>
      <c r="AH312" s="41">
        <v>4</v>
      </c>
      <c r="AI312" s="33">
        <f t="shared" si="50"/>
        <v>0</v>
      </c>
      <c r="AJ312" s="33" t="str">
        <f t="shared" si="51"/>
        <v>BAJO</v>
      </c>
      <c r="AK312" s="33">
        <v>10</v>
      </c>
      <c r="AL312" s="33">
        <f>AI312*AK312</f>
        <v>0</v>
      </c>
      <c r="AM312" s="33" t="str">
        <f t="shared" si="44"/>
        <v>RIESGO ACEPTABLE</v>
      </c>
      <c r="AN312" s="31" t="s">
        <v>1128</v>
      </c>
      <c r="AO312" s="31"/>
      <c r="AP312" s="31"/>
      <c r="AQ312" s="31" t="s">
        <v>1129</v>
      </c>
      <c r="AR312" s="31"/>
      <c r="AS312" s="63" t="s">
        <v>1130</v>
      </c>
    </row>
    <row r="313" spans="1:45" ht="157.19999999999999" customHeight="1" x14ac:dyDescent="0.25">
      <c r="A313" s="124"/>
      <c r="B313" s="123"/>
      <c r="C313" s="121"/>
      <c r="D313" s="122"/>
      <c r="E313" s="31" t="s">
        <v>98</v>
      </c>
      <c r="F313" s="138"/>
      <c r="G313" s="138"/>
      <c r="H313" s="31" t="s">
        <v>1131</v>
      </c>
      <c r="I313" s="32" t="s">
        <v>1240</v>
      </c>
      <c r="J313" s="32" t="s">
        <v>130</v>
      </c>
      <c r="K313" s="32" t="s">
        <v>104</v>
      </c>
      <c r="L313" s="68" t="s">
        <v>131</v>
      </c>
      <c r="M313" s="73" t="s">
        <v>84</v>
      </c>
      <c r="N313" s="73" t="s">
        <v>1132</v>
      </c>
      <c r="O313" s="73" t="s">
        <v>132</v>
      </c>
      <c r="P313" s="70">
        <v>2</v>
      </c>
      <c r="Q313" s="41">
        <v>3</v>
      </c>
      <c r="R313" s="33">
        <f t="shared" si="49"/>
        <v>6</v>
      </c>
      <c r="S313" s="33" t="str">
        <f t="shared" si="40"/>
        <v>MEDIO</v>
      </c>
      <c r="T313" s="33">
        <v>10</v>
      </c>
      <c r="U313" s="75">
        <f t="shared" si="41"/>
        <v>60</v>
      </c>
      <c r="V313" s="33" t="str">
        <f t="shared" si="43"/>
        <v>lll</v>
      </c>
      <c r="W313" s="74" t="str">
        <f t="shared" si="42"/>
        <v>SI</v>
      </c>
      <c r="X313" s="33">
        <v>10</v>
      </c>
      <c r="Y313" s="31" t="s">
        <v>133</v>
      </c>
      <c r="Z313" s="33" t="s">
        <v>87</v>
      </c>
      <c r="AA313" s="31"/>
      <c r="AB313" s="31"/>
      <c r="AC313" s="31"/>
      <c r="AD313" s="31" t="s">
        <v>134</v>
      </c>
      <c r="AE313" s="31"/>
      <c r="AF313" s="34" t="s">
        <v>135</v>
      </c>
      <c r="AG313" s="41">
        <v>2</v>
      </c>
      <c r="AH313" s="41">
        <v>3</v>
      </c>
      <c r="AI313" s="33">
        <f t="shared" si="50"/>
        <v>6</v>
      </c>
      <c r="AJ313" s="33" t="str">
        <f t="shared" si="51"/>
        <v>MEDIO</v>
      </c>
      <c r="AK313" s="33">
        <v>10</v>
      </c>
      <c r="AL313" s="33">
        <f>AI313*AK313</f>
        <v>60</v>
      </c>
      <c r="AM313" s="33" t="str">
        <f t="shared" si="44"/>
        <v>RIESGO ACEPTABLE</v>
      </c>
      <c r="AN313" s="31"/>
      <c r="AO313" s="31"/>
      <c r="AP313" s="31"/>
      <c r="AQ313" s="31" t="s">
        <v>136</v>
      </c>
      <c r="AR313" s="31" t="s">
        <v>93</v>
      </c>
      <c r="AS313" s="63" t="s">
        <v>137</v>
      </c>
    </row>
    <row r="314" spans="1:45" ht="38.4" x14ac:dyDescent="0.25">
      <c r="A314" s="124" t="s">
        <v>1114</v>
      </c>
      <c r="B314" s="123" t="s">
        <v>1133</v>
      </c>
      <c r="C314" s="121" t="s">
        <v>1136</v>
      </c>
      <c r="D314" s="122" t="s">
        <v>1117</v>
      </c>
      <c r="E314" s="31" t="s">
        <v>1118</v>
      </c>
      <c r="F314" s="138" t="s">
        <v>1137</v>
      </c>
      <c r="G314" s="138" t="s">
        <v>1138</v>
      </c>
      <c r="H314" s="31" t="s">
        <v>1121</v>
      </c>
      <c r="I314" s="31" t="s">
        <v>1254</v>
      </c>
      <c r="J314" s="31" t="s">
        <v>1123</v>
      </c>
      <c r="K314" s="31" t="s">
        <v>1124</v>
      </c>
      <c r="L314" s="68" t="s">
        <v>327</v>
      </c>
      <c r="M314" s="73" t="s">
        <v>84</v>
      </c>
      <c r="N314" s="73" t="s">
        <v>84</v>
      </c>
      <c r="O314" s="73" t="s">
        <v>1125</v>
      </c>
      <c r="P314" s="70">
        <v>2</v>
      </c>
      <c r="Q314" s="41">
        <v>4</v>
      </c>
      <c r="R314" s="33">
        <f t="shared" si="49"/>
        <v>8</v>
      </c>
      <c r="S314" s="33" t="str">
        <f t="shared" si="40"/>
        <v>MEDIO</v>
      </c>
      <c r="T314" s="33">
        <v>10</v>
      </c>
      <c r="U314" s="75">
        <f t="shared" si="41"/>
        <v>80</v>
      </c>
      <c r="V314" s="33" t="str">
        <f t="shared" si="43"/>
        <v>lll</v>
      </c>
      <c r="W314" s="74" t="str">
        <f t="shared" si="42"/>
        <v>SI</v>
      </c>
      <c r="X314" s="33">
        <v>10</v>
      </c>
      <c r="Y314" s="31" t="s">
        <v>133</v>
      </c>
      <c r="Z314" s="33" t="s">
        <v>87</v>
      </c>
      <c r="AA314" s="31"/>
      <c r="AB314" s="31"/>
      <c r="AC314" s="31" t="s">
        <v>1126</v>
      </c>
      <c r="AD314" s="31" t="s">
        <v>1127</v>
      </c>
      <c r="AE314" s="31"/>
      <c r="AF314" s="34" t="s">
        <v>146</v>
      </c>
      <c r="AG314" s="41">
        <v>0</v>
      </c>
      <c r="AH314" s="41">
        <v>4</v>
      </c>
      <c r="AI314" s="33">
        <f t="shared" si="50"/>
        <v>0</v>
      </c>
      <c r="AJ314" s="33" t="str">
        <f t="shared" si="51"/>
        <v>BAJO</v>
      </c>
      <c r="AK314" s="33">
        <v>10</v>
      </c>
      <c r="AL314" s="33">
        <f t="shared" ref="AL314" si="52">AI314*AK314</f>
        <v>0</v>
      </c>
      <c r="AM314" s="33" t="str">
        <f t="shared" si="44"/>
        <v>RIESGO ACEPTABLE</v>
      </c>
      <c r="AN314" s="31" t="s">
        <v>1128</v>
      </c>
      <c r="AO314" s="31"/>
      <c r="AP314" s="31"/>
      <c r="AQ314" s="31" t="s">
        <v>1129</v>
      </c>
      <c r="AR314" s="31"/>
      <c r="AS314" s="63" t="s">
        <v>1130</v>
      </c>
    </row>
    <row r="315" spans="1:45" ht="123" customHeight="1" x14ac:dyDescent="0.25">
      <c r="A315" s="124"/>
      <c r="B315" s="123"/>
      <c r="C315" s="121"/>
      <c r="D315" s="122"/>
      <c r="E315" s="31" t="s">
        <v>98</v>
      </c>
      <c r="F315" s="138"/>
      <c r="G315" s="138"/>
      <c r="H315" s="31" t="s">
        <v>1131</v>
      </c>
      <c r="I315" s="32" t="s">
        <v>1240</v>
      </c>
      <c r="J315" s="32" t="s">
        <v>130</v>
      </c>
      <c r="K315" s="32" t="s">
        <v>104</v>
      </c>
      <c r="L315" s="68" t="s">
        <v>131</v>
      </c>
      <c r="M315" s="73" t="s">
        <v>84</v>
      </c>
      <c r="N315" s="73" t="s">
        <v>1139</v>
      </c>
      <c r="O315" s="73" t="s">
        <v>132</v>
      </c>
      <c r="P315" s="70">
        <v>2</v>
      </c>
      <c r="Q315" s="41">
        <v>3</v>
      </c>
      <c r="R315" s="33">
        <f t="shared" si="49"/>
        <v>6</v>
      </c>
      <c r="S315" s="33" t="str">
        <f t="shared" si="40"/>
        <v>MEDIO</v>
      </c>
      <c r="T315" s="33">
        <v>10</v>
      </c>
      <c r="U315" s="75">
        <f t="shared" si="41"/>
        <v>60</v>
      </c>
      <c r="V315" s="33" t="str">
        <f t="shared" si="43"/>
        <v>lll</v>
      </c>
      <c r="W315" s="74" t="str">
        <f t="shared" si="42"/>
        <v>SI</v>
      </c>
      <c r="X315" s="33">
        <v>10</v>
      </c>
      <c r="Y315" s="31" t="s">
        <v>133</v>
      </c>
      <c r="Z315" s="33" t="s">
        <v>87</v>
      </c>
      <c r="AA315" s="31"/>
      <c r="AB315" s="31"/>
      <c r="AC315" s="31"/>
      <c r="AD315" s="31" t="s">
        <v>134</v>
      </c>
      <c r="AE315" s="31"/>
      <c r="AF315" s="34" t="s">
        <v>135</v>
      </c>
      <c r="AG315" s="41">
        <v>2</v>
      </c>
      <c r="AH315" s="41">
        <v>3</v>
      </c>
      <c r="AI315" s="33">
        <f t="shared" si="50"/>
        <v>6</v>
      </c>
      <c r="AJ315" s="33" t="str">
        <f t="shared" si="51"/>
        <v>MEDIO</v>
      </c>
      <c r="AK315" s="33">
        <v>10</v>
      </c>
      <c r="AL315" s="33">
        <f t="shared" ref="AL315:AL342" si="53">AI315*AK315</f>
        <v>60</v>
      </c>
      <c r="AM315" s="33" t="str">
        <f t="shared" si="44"/>
        <v>RIESGO ACEPTABLE</v>
      </c>
      <c r="AN315" s="31"/>
      <c r="AO315" s="31"/>
      <c r="AP315" s="31"/>
      <c r="AQ315" s="31" t="s">
        <v>136</v>
      </c>
      <c r="AR315" s="31" t="s">
        <v>93</v>
      </c>
      <c r="AS315" s="63" t="s">
        <v>137</v>
      </c>
    </row>
    <row r="316" spans="1:45" ht="38.4" x14ac:dyDescent="0.25">
      <c r="A316" s="124" t="s">
        <v>1114</v>
      </c>
      <c r="B316" s="123" t="s">
        <v>1133</v>
      </c>
      <c r="C316" s="121" t="s">
        <v>1140</v>
      </c>
      <c r="D316" s="122" t="s">
        <v>1117</v>
      </c>
      <c r="E316" s="31" t="s">
        <v>1118</v>
      </c>
      <c r="F316" s="138" t="s">
        <v>1141</v>
      </c>
      <c r="G316" s="138" t="s">
        <v>1141</v>
      </c>
      <c r="H316" s="31" t="s">
        <v>1121</v>
      </c>
      <c r="I316" s="31" t="s">
        <v>1255</v>
      </c>
      <c r="J316" s="31" t="s">
        <v>1123</v>
      </c>
      <c r="K316" s="31" t="s">
        <v>1124</v>
      </c>
      <c r="L316" s="68" t="s">
        <v>327</v>
      </c>
      <c r="M316" s="73" t="s">
        <v>84</v>
      </c>
      <c r="N316" s="73" t="s">
        <v>84</v>
      </c>
      <c r="O316" s="73" t="s">
        <v>1125</v>
      </c>
      <c r="P316" s="70">
        <v>2</v>
      </c>
      <c r="Q316" s="41">
        <v>4</v>
      </c>
      <c r="R316" s="33">
        <f t="shared" si="49"/>
        <v>8</v>
      </c>
      <c r="S316" s="33" t="str">
        <f t="shared" si="40"/>
        <v>MEDIO</v>
      </c>
      <c r="T316" s="33">
        <v>10</v>
      </c>
      <c r="U316" s="75">
        <f t="shared" si="41"/>
        <v>80</v>
      </c>
      <c r="V316" s="33" t="str">
        <f t="shared" si="43"/>
        <v>lll</v>
      </c>
      <c r="W316" s="74" t="str">
        <f t="shared" si="42"/>
        <v>SI</v>
      </c>
      <c r="X316" s="33">
        <v>10</v>
      </c>
      <c r="Y316" s="31" t="s">
        <v>133</v>
      </c>
      <c r="Z316" s="33" t="s">
        <v>87</v>
      </c>
      <c r="AA316" s="31"/>
      <c r="AB316" s="31"/>
      <c r="AC316" s="31" t="s">
        <v>1126</v>
      </c>
      <c r="AD316" s="31" t="s">
        <v>1127</v>
      </c>
      <c r="AE316" s="31"/>
      <c r="AF316" s="34" t="s">
        <v>146</v>
      </c>
      <c r="AG316" s="41">
        <v>0</v>
      </c>
      <c r="AH316" s="41">
        <v>4</v>
      </c>
      <c r="AI316" s="33">
        <f t="shared" si="50"/>
        <v>0</v>
      </c>
      <c r="AJ316" s="33" t="str">
        <f t="shared" si="51"/>
        <v>BAJO</v>
      </c>
      <c r="AK316" s="33">
        <v>10</v>
      </c>
      <c r="AL316" s="33">
        <f t="shared" si="53"/>
        <v>0</v>
      </c>
      <c r="AM316" s="33" t="str">
        <f t="shared" si="44"/>
        <v>RIESGO ACEPTABLE</v>
      </c>
      <c r="AN316" s="31" t="s">
        <v>1128</v>
      </c>
      <c r="AO316" s="31"/>
      <c r="AP316" s="31"/>
      <c r="AQ316" s="31" t="s">
        <v>1129</v>
      </c>
      <c r="AR316" s="31"/>
      <c r="AS316" s="63" t="s">
        <v>1130</v>
      </c>
    </row>
    <row r="317" spans="1:45" ht="137.4" customHeight="1" x14ac:dyDescent="0.25">
      <c r="A317" s="124"/>
      <c r="B317" s="123"/>
      <c r="C317" s="121"/>
      <c r="D317" s="122"/>
      <c r="E317" s="31" t="s">
        <v>98</v>
      </c>
      <c r="F317" s="138"/>
      <c r="G317" s="138"/>
      <c r="H317" s="31" t="s">
        <v>1131</v>
      </c>
      <c r="I317" s="32" t="s">
        <v>1240</v>
      </c>
      <c r="J317" s="32" t="s">
        <v>130</v>
      </c>
      <c r="K317" s="32" t="s">
        <v>104</v>
      </c>
      <c r="L317" s="68" t="s">
        <v>131</v>
      </c>
      <c r="M317" s="73" t="s">
        <v>84</v>
      </c>
      <c r="N317" s="73" t="s">
        <v>84</v>
      </c>
      <c r="O317" s="73" t="s">
        <v>132</v>
      </c>
      <c r="P317" s="70">
        <v>2</v>
      </c>
      <c r="Q317" s="41">
        <v>3</v>
      </c>
      <c r="R317" s="33">
        <f t="shared" si="49"/>
        <v>6</v>
      </c>
      <c r="S317" s="33" t="str">
        <f t="shared" si="40"/>
        <v>MEDIO</v>
      </c>
      <c r="T317" s="33">
        <v>10</v>
      </c>
      <c r="U317" s="75">
        <f t="shared" si="41"/>
        <v>60</v>
      </c>
      <c r="V317" s="33" t="str">
        <f t="shared" si="43"/>
        <v>lll</v>
      </c>
      <c r="W317" s="74" t="str">
        <f t="shared" si="42"/>
        <v>SI</v>
      </c>
      <c r="X317" s="33">
        <v>10</v>
      </c>
      <c r="Y317" s="31" t="s">
        <v>133</v>
      </c>
      <c r="Z317" s="33" t="s">
        <v>87</v>
      </c>
      <c r="AA317" s="31"/>
      <c r="AB317" s="31"/>
      <c r="AC317" s="31"/>
      <c r="AD317" s="31" t="s">
        <v>134</v>
      </c>
      <c r="AE317" s="31"/>
      <c r="AF317" s="34" t="s">
        <v>135</v>
      </c>
      <c r="AG317" s="41">
        <v>2</v>
      </c>
      <c r="AH317" s="41">
        <v>3</v>
      </c>
      <c r="AI317" s="33">
        <f t="shared" si="50"/>
        <v>6</v>
      </c>
      <c r="AJ317" s="33" t="str">
        <f t="shared" si="51"/>
        <v>MEDIO</v>
      </c>
      <c r="AK317" s="33">
        <v>10</v>
      </c>
      <c r="AL317" s="33">
        <f t="shared" si="53"/>
        <v>60</v>
      </c>
      <c r="AM317" s="33" t="str">
        <f t="shared" si="44"/>
        <v>RIESGO ACEPTABLE</v>
      </c>
      <c r="AN317" s="31"/>
      <c r="AO317" s="31"/>
      <c r="AP317" s="31"/>
      <c r="AQ317" s="31" t="s">
        <v>136</v>
      </c>
      <c r="AR317" s="31" t="s">
        <v>93</v>
      </c>
      <c r="AS317" s="63" t="s">
        <v>137</v>
      </c>
    </row>
    <row r="318" spans="1:45" ht="38.4" x14ac:dyDescent="0.25">
      <c r="A318" s="124" t="s">
        <v>1114</v>
      </c>
      <c r="B318" s="123" t="s">
        <v>1133</v>
      </c>
      <c r="C318" s="121" t="s">
        <v>1142</v>
      </c>
      <c r="D318" s="122" t="s">
        <v>1117</v>
      </c>
      <c r="E318" s="31" t="s">
        <v>1118</v>
      </c>
      <c r="F318" s="138" t="s">
        <v>1143</v>
      </c>
      <c r="G318" s="138" t="s">
        <v>1143</v>
      </c>
      <c r="H318" s="31" t="s">
        <v>1121</v>
      </c>
      <c r="I318" s="31" t="s">
        <v>1254</v>
      </c>
      <c r="J318" s="31" t="s">
        <v>1123</v>
      </c>
      <c r="K318" s="31" t="s">
        <v>1124</v>
      </c>
      <c r="L318" s="68" t="s">
        <v>327</v>
      </c>
      <c r="M318" s="73" t="s">
        <v>84</v>
      </c>
      <c r="N318" s="73" t="s">
        <v>84</v>
      </c>
      <c r="O318" s="73" t="s">
        <v>1125</v>
      </c>
      <c r="P318" s="70">
        <v>2</v>
      </c>
      <c r="Q318" s="41">
        <v>4</v>
      </c>
      <c r="R318" s="33">
        <f t="shared" si="49"/>
        <v>8</v>
      </c>
      <c r="S318" s="33" t="str">
        <f t="shared" si="40"/>
        <v>MEDIO</v>
      </c>
      <c r="T318" s="33">
        <v>10</v>
      </c>
      <c r="U318" s="75">
        <f t="shared" si="41"/>
        <v>80</v>
      </c>
      <c r="V318" s="33" t="str">
        <f t="shared" si="43"/>
        <v>lll</v>
      </c>
      <c r="W318" s="74" t="str">
        <f t="shared" si="42"/>
        <v>SI</v>
      </c>
      <c r="X318" s="33">
        <v>10</v>
      </c>
      <c r="Y318" s="31" t="s">
        <v>133</v>
      </c>
      <c r="Z318" s="33" t="s">
        <v>87</v>
      </c>
      <c r="AA318" s="31"/>
      <c r="AB318" s="31"/>
      <c r="AC318" s="31" t="s">
        <v>1126</v>
      </c>
      <c r="AD318" s="31" t="s">
        <v>1127</v>
      </c>
      <c r="AE318" s="31"/>
      <c r="AF318" s="34" t="s">
        <v>146</v>
      </c>
      <c r="AG318" s="41">
        <v>0</v>
      </c>
      <c r="AH318" s="41">
        <v>4</v>
      </c>
      <c r="AI318" s="33">
        <f t="shared" si="50"/>
        <v>0</v>
      </c>
      <c r="AJ318" s="33" t="str">
        <f t="shared" si="51"/>
        <v>BAJO</v>
      </c>
      <c r="AK318" s="33">
        <v>10</v>
      </c>
      <c r="AL318" s="33">
        <f t="shared" si="53"/>
        <v>0</v>
      </c>
      <c r="AM318" s="33" t="str">
        <f t="shared" si="44"/>
        <v>RIESGO ACEPTABLE</v>
      </c>
      <c r="AN318" s="31" t="s">
        <v>1128</v>
      </c>
      <c r="AO318" s="31"/>
      <c r="AP318" s="31"/>
      <c r="AQ318" s="31" t="s">
        <v>1129</v>
      </c>
      <c r="AR318" s="31"/>
      <c r="AS318" s="63" t="s">
        <v>1130</v>
      </c>
    </row>
    <row r="319" spans="1:45" ht="121.8" customHeight="1" x14ac:dyDescent="0.25">
      <c r="A319" s="124"/>
      <c r="B319" s="123"/>
      <c r="C319" s="121"/>
      <c r="D319" s="122"/>
      <c r="E319" s="31" t="s">
        <v>98</v>
      </c>
      <c r="F319" s="138"/>
      <c r="G319" s="138"/>
      <c r="H319" s="31" t="s">
        <v>1131</v>
      </c>
      <c r="I319" s="32" t="s">
        <v>1235</v>
      </c>
      <c r="J319" s="32" t="s">
        <v>130</v>
      </c>
      <c r="K319" s="32" t="s">
        <v>104</v>
      </c>
      <c r="L319" s="68" t="s">
        <v>131</v>
      </c>
      <c r="M319" s="73" t="s">
        <v>84</v>
      </c>
      <c r="N319" s="73" t="s">
        <v>1144</v>
      </c>
      <c r="O319" s="73" t="s">
        <v>132</v>
      </c>
      <c r="P319" s="70">
        <v>2</v>
      </c>
      <c r="Q319" s="41">
        <v>3</v>
      </c>
      <c r="R319" s="33">
        <f t="shared" si="49"/>
        <v>6</v>
      </c>
      <c r="S319" s="33" t="str">
        <f t="shared" si="40"/>
        <v>MEDIO</v>
      </c>
      <c r="T319" s="33">
        <v>10</v>
      </c>
      <c r="U319" s="75">
        <f t="shared" si="41"/>
        <v>60</v>
      </c>
      <c r="V319" s="33" t="str">
        <f t="shared" si="43"/>
        <v>lll</v>
      </c>
      <c r="W319" s="74" t="str">
        <f t="shared" si="42"/>
        <v>SI</v>
      </c>
      <c r="X319" s="33">
        <v>10</v>
      </c>
      <c r="Y319" s="31" t="s">
        <v>133</v>
      </c>
      <c r="Z319" s="33" t="s">
        <v>87</v>
      </c>
      <c r="AA319" s="31"/>
      <c r="AB319" s="31"/>
      <c r="AC319" s="31"/>
      <c r="AD319" s="31" t="s">
        <v>134</v>
      </c>
      <c r="AE319" s="31"/>
      <c r="AF319" s="34" t="s">
        <v>135</v>
      </c>
      <c r="AG319" s="41">
        <v>2</v>
      </c>
      <c r="AH319" s="41">
        <v>3</v>
      </c>
      <c r="AI319" s="33">
        <f t="shared" si="50"/>
        <v>6</v>
      </c>
      <c r="AJ319" s="33" t="str">
        <f t="shared" si="51"/>
        <v>MEDIO</v>
      </c>
      <c r="AK319" s="33">
        <v>10</v>
      </c>
      <c r="AL319" s="33">
        <f t="shared" si="53"/>
        <v>60</v>
      </c>
      <c r="AM319" s="33" t="str">
        <f t="shared" si="44"/>
        <v>RIESGO ACEPTABLE</v>
      </c>
      <c r="AN319" s="31"/>
      <c r="AO319" s="31"/>
      <c r="AP319" s="31"/>
      <c r="AQ319" s="31" t="s">
        <v>136</v>
      </c>
      <c r="AR319" s="31" t="s">
        <v>93</v>
      </c>
      <c r="AS319" s="63" t="s">
        <v>137</v>
      </c>
    </row>
    <row r="320" spans="1:45" ht="38.4" x14ac:dyDescent="0.25">
      <c r="A320" s="124" t="s">
        <v>1114</v>
      </c>
      <c r="B320" s="123" t="s">
        <v>1133</v>
      </c>
      <c r="C320" s="121" t="s">
        <v>1145</v>
      </c>
      <c r="D320" s="122" t="s">
        <v>1117</v>
      </c>
      <c r="E320" s="31" t="s">
        <v>1118</v>
      </c>
      <c r="F320" s="138" t="s">
        <v>1146</v>
      </c>
      <c r="G320" s="138" t="s">
        <v>1146</v>
      </c>
      <c r="H320" s="31" t="s">
        <v>1121</v>
      </c>
      <c r="I320" s="31" t="s">
        <v>1255</v>
      </c>
      <c r="J320" s="31" t="s">
        <v>1123</v>
      </c>
      <c r="K320" s="31" t="s">
        <v>1124</v>
      </c>
      <c r="L320" s="68" t="s">
        <v>327</v>
      </c>
      <c r="M320" s="73" t="s">
        <v>84</v>
      </c>
      <c r="N320" s="73" t="s">
        <v>84</v>
      </c>
      <c r="O320" s="73" t="s">
        <v>1125</v>
      </c>
      <c r="P320" s="70">
        <v>2</v>
      </c>
      <c r="Q320" s="41">
        <v>4</v>
      </c>
      <c r="R320" s="33">
        <f t="shared" si="49"/>
        <v>8</v>
      </c>
      <c r="S320" s="33" t="str">
        <f t="shared" si="40"/>
        <v>MEDIO</v>
      </c>
      <c r="T320" s="33">
        <v>10</v>
      </c>
      <c r="U320" s="75">
        <f t="shared" si="41"/>
        <v>80</v>
      </c>
      <c r="V320" s="33" t="str">
        <f t="shared" si="43"/>
        <v>lll</v>
      </c>
      <c r="W320" s="74" t="str">
        <f t="shared" si="42"/>
        <v>SI</v>
      </c>
      <c r="X320" s="33">
        <v>10</v>
      </c>
      <c r="Y320" s="31" t="s">
        <v>133</v>
      </c>
      <c r="Z320" s="33" t="s">
        <v>87</v>
      </c>
      <c r="AA320" s="31"/>
      <c r="AB320" s="31"/>
      <c r="AC320" s="31" t="s">
        <v>1126</v>
      </c>
      <c r="AD320" s="31" t="s">
        <v>1127</v>
      </c>
      <c r="AE320" s="31"/>
      <c r="AF320" s="34" t="s">
        <v>146</v>
      </c>
      <c r="AG320" s="41">
        <v>0</v>
      </c>
      <c r="AH320" s="41">
        <v>4</v>
      </c>
      <c r="AI320" s="33">
        <f t="shared" si="50"/>
        <v>0</v>
      </c>
      <c r="AJ320" s="33" t="str">
        <f t="shared" si="51"/>
        <v>BAJO</v>
      </c>
      <c r="AK320" s="33">
        <v>10</v>
      </c>
      <c r="AL320" s="33">
        <f t="shared" si="53"/>
        <v>0</v>
      </c>
      <c r="AM320" s="33" t="str">
        <f t="shared" si="44"/>
        <v>RIESGO ACEPTABLE</v>
      </c>
      <c r="AN320" s="31" t="s">
        <v>1128</v>
      </c>
      <c r="AO320" s="31"/>
      <c r="AP320" s="31"/>
      <c r="AQ320" s="31" t="s">
        <v>1129</v>
      </c>
      <c r="AR320" s="31"/>
      <c r="AS320" s="63" t="s">
        <v>1130</v>
      </c>
    </row>
    <row r="321" spans="1:45" ht="129" customHeight="1" x14ac:dyDescent="0.25">
      <c r="A321" s="124"/>
      <c r="B321" s="123"/>
      <c r="C321" s="121"/>
      <c r="D321" s="122"/>
      <c r="E321" s="31" t="s">
        <v>98</v>
      </c>
      <c r="F321" s="138"/>
      <c r="G321" s="138"/>
      <c r="H321" s="31" t="s">
        <v>1131</v>
      </c>
      <c r="I321" s="32" t="s">
        <v>1235</v>
      </c>
      <c r="J321" s="32" t="s">
        <v>130</v>
      </c>
      <c r="K321" s="32" t="s">
        <v>104</v>
      </c>
      <c r="L321" s="68" t="s">
        <v>131</v>
      </c>
      <c r="M321" s="73" t="s">
        <v>84</v>
      </c>
      <c r="N321" s="73" t="s">
        <v>1147</v>
      </c>
      <c r="O321" s="73" t="s">
        <v>132</v>
      </c>
      <c r="P321" s="70">
        <v>2</v>
      </c>
      <c r="Q321" s="41">
        <v>3</v>
      </c>
      <c r="R321" s="33">
        <f t="shared" si="49"/>
        <v>6</v>
      </c>
      <c r="S321" s="33" t="str">
        <f t="shared" si="40"/>
        <v>MEDIO</v>
      </c>
      <c r="T321" s="33">
        <v>10</v>
      </c>
      <c r="U321" s="75">
        <f t="shared" si="41"/>
        <v>60</v>
      </c>
      <c r="V321" s="33" t="str">
        <f t="shared" si="43"/>
        <v>lll</v>
      </c>
      <c r="W321" s="74" t="str">
        <f t="shared" si="42"/>
        <v>SI</v>
      </c>
      <c r="X321" s="33">
        <v>10</v>
      </c>
      <c r="Y321" s="31" t="s">
        <v>133</v>
      </c>
      <c r="Z321" s="33" t="s">
        <v>87</v>
      </c>
      <c r="AA321" s="31"/>
      <c r="AB321" s="31"/>
      <c r="AC321" s="31"/>
      <c r="AD321" s="31" t="s">
        <v>134</v>
      </c>
      <c r="AE321" s="31"/>
      <c r="AF321" s="34" t="s">
        <v>135</v>
      </c>
      <c r="AG321" s="41">
        <v>2</v>
      </c>
      <c r="AH321" s="41">
        <v>3</v>
      </c>
      <c r="AI321" s="33">
        <f t="shared" si="50"/>
        <v>6</v>
      </c>
      <c r="AJ321" s="33" t="str">
        <f t="shared" si="51"/>
        <v>MEDIO</v>
      </c>
      <c r="AK321" s="33">
        <v>10</v>
      </c>
      <c r="AL321" s="33">
        <f t="shared" si="53"/>
        <v>60</v>
      </c>
      <c r="AM321" s="33" t="str">
        <f t="shared" si="44"/>
        <v>RIESGO ACEPTABLE</v>
      </c>
      <c r="AN321" s="31"/>
      <c r="AO321" s="31"/>
      <c r="AP321" s="31"/>
      <c r="AQ321" s="31" t="s">
        <v>136</v>
      </c>
      <c r="AR321" s="31" t="s">
        <v>93</v>
      </c>
      <c r="AS321" s="63" t="s">
        <v>137</v>
      </c>
    </row>
    <row r="322" spans="1:45" ht="38.4" x14ac:dyDescent="0.25">
      <c r="A322" s="124" t="s">
        <v>1148</v>
      </c>
      <c r="B322" s="123" t="s">
        <v>1133</v>
      </c>
      <c r="C322" s="121" t="s">
        <v>1149</v>
      </c>
      <c r="D322" s="122" t="s">
        <v>1117</v>
      </c>
      <c r="E322" s="31" t="s">
        <v>1118</v>
      </c>
      <c r="F322" s="138" t="s">
        <v>1150</v>
      </c>
      <c r="G322" s="138" t="s">
        <v>1150</v>
      </c>
      <c r="H322" s="31" t="s">
        <v>1121</v>
      </c>
      <c r="I322" s="31" t="s">
        <v>1255</v>
      </c>
      <c r="J322" s="31" t="s">
        <v>1123</v>
      </c>
      <c r="K322" s="31" t="s">
        <v>1124</v>
      </c>
      <c r="L322" s="68" t="s">
        <v>327</v>
      </c>
      <c r="M322" s="73" t="s">
        <v>84</v>
      </c>
      <c r="N322" s="73" t="s">
        <v>84</v>
      </c>
      <c r="O322" s="73" t="s">
        <v>1125</v>
      </c>
      <c r="P322" s="70">
        <v>2</v>
      </c>
      <c r="Q322" s="41">
        <v>4</v>
      </c>
      <c r="R322" s="33">
        <f t="shared" si="49"/>
        <v>8</v>
      </c>
      <c r="S322" s="33" t="str">
        <f t="shared" si="40"/>
        <v>MEDIO</v>
      </c>
      <c r="T322" s="33">
        <v>10</v>
      </c>
      <c r="U322" s="75">
        <f t="shared" si="41"/>
        <v>80</v>
      </c>
      <c r="V322" s="33" t="str">
        <f t="shared" si="43"/>
        <v>lll</v>
      </c>
      <c r="W322" s="74" t="str">
        <f t="shared" si="42"/>
        <v>SI</v>
      </c>
      <c r="X322" s="31">
        <v>15</v>
      </c>
      <c r="Y322" s="31" t="s">
        <v>133</v>
      </c>
      <c r="Z322" s="33" t="s">
        <v>87</v>
      </c>
      <c r="AA322" s="31"/>
      <c r="AB322" s="31"/>
      <c r="AC322" s="31" t="s">
        <v>1126</v>
      </c>
      <c r="AD322" s="31" t="s">
        <v>1127</v>
      </c>
      <c r="AE322" s="31"/>
      <c r="AF322" s="34" t="s">
        <v>146</v>
      </c>
      <c r="AG322" s="41">
        <v>0</v>
      </c>
      <c r="AH322" s="41">
        <v>4</v>
      </c>
      <c r="AI322" s="33">
        <f t="shared" si="50"/>
        <v>0</v>
      </c>
      <c r="AJ322" s="33" t="str">
        <f t="shared" si="51"/>
        <v>BAJO</v>
      </c>
      <c r="AK322" s="33">
        <v>10</v>
      </c>
      <c r="AL322" s="33">
        <f t="shared" si="53"/>
        <v>0</v>
      </c>
      <c r="AM322" s="33" t="str">
        <f t="shared" si="44"/>
        <v>RIESGO ACEPTABLE</v>
      </c>
      <c r="AN322" s="31" t="s">
        <v>1128</v>
      </c>
      <c r="AO322" s="31"/>
      <c r="AP322" s="31"/>
      <c r="AQ322" s="31" t="s">
        <v>1129</v>
      </c>
      <c r="AR322" s="31"/>
      <c r="AS322" s="63" t="s">
        <v>1130</v>
      </c>
    </row>
    <row r="323" spans="1:45" ht="38.4" x14ac:dyDescent="0.25">
      <c r="A323" s="124"/>
      <c r="B323" s="123"/>
      <c r="C323" s="121"/>
      <c r="D323" s="122"/>
      <c r="E323" s="31" t="s">
        <v>98</v>
      </c>
      <c r="F323" s="138"/>
      <c r="G323" s="138"/>
      <c r="H323" s="31" t="s">
        <v>1131</v>
      </c>
      <c r="I323" s="32" t="s">
        <v>1240</v>
      </c>
      <c r="J323" s="32" t="s">
        <v>130</v>
      </c>
      <c r="K323" s="32" t="s">
        <v>104</v>
      </c>
      <c r="L323" s="68" t="s">
        <v>131</v>
      </c>
      <c r="M323" s="73" t="s">
        <v>84</v>
      </c>
      <c r="N323" s="73" t="s">
        <v>1139</v>
      </c>
      <c r="O323" s="73" t="s">
        <v>132</v>
      </c>
      <c r="P323" s="70">
        <v>2</v>
      </c>
      <c r="Q323" s="41">
        <v>3</v>
      </c>
      <c r="R323" s="33">
        <f t="shared" si="49"/>
        <v>6</v>
      </c>
      <c r="S323" s="33" t="str">
        <f t="shared" si="40"/>
        <v>MEDIO</v>
      </c>
      <c r="T323" s="33">
        <v>10</v>
      </c>
      <c r="U323" s="75">
        <f t="shared" si="41"/>
        <v>60</v>
      </c>
      <c r="V323" s="33" t="str">
        <f t="shared" si="43"/>
        <v>lll</v>
      </c>
      <c r="W323" s="74" t="str">
        <f t="shared" si="42"/>
        <v>SI</v>
      </c>
      <c r="X323" s="31">
        <v>15</v>
      </c>
      <c r="Y323" s="31" t="s">
        <v>133</v>
      </c>
      <c r="Z323" s="33" t="s">
        <v>87</v>
      </c>
      <c r="AA323" s="31"/>
      <c r="AB323" s="31"/>
      <c r="AC323" s="31"/>
      <c r="AD323" s="31" t="s">
        <v>134</v>
      </c>
      <c r="AE323" s="31"/>
      <c r="AF323" s="34" t="s">
        <v>135</v>
      </c>
      <c r="AG323" s="41">
        <v>2</v>
      </c>
      <c r="AH323" s="41">
        <v>3</v>
      </c>
      <c r="AI323" s="33">
        <f t="shared" si="50"/>
        <v>6</v>
      </c>
      <c r="AJ323" s="33" t="str">
        <f t="shared" si="51"/>
        <v>MEDIO</v>
      </c>
      <c r="AK323" s="33">
        <v>10</v>
      </c>
      <c r="AL323" s="33">
        <f t="shared" si="53"/>
        <v>60</v>
      </c>
      <c r="AM323" s="33" t="str">
        <f t="shared" si="44"/>
        <v>RIESGO ACEPTABLE</v>
      </c>
      <c r="AN323" s="31"/>
      <c r="AO323" s="31"/>
      <c r="AP323" s="31"/>
      <c r="AQ323" s="31" t="s">
        <v>136</v>
      </c>
      <c r="AR323" s="31" t="s">
        <v>93</v>
      </c>
      <c r="AS323" s="63" t="s">
        <v>137</v>
      </c>
    </row>
    <row r="324" spans="1:45" ht="38.4" x14ac:dyDescent="0.25">
      <c r="A324" s="124" t="s">
        <v>1151</v>
      </c>
      <c r="B324" s="123" t="s">
        <v>1152</v>
      </c>
      <c r="C324" s="121" t="s">
        <v>1153</v>
      </c>
      <c r="D324" s="122" t="s">
        <v>1117</v>
      </c>
      <c r="E324" s="31" t="s">
        <v>1118</v>
      </c>
      <c r="F324" s="138" t="s">
        <v>1154</v>
      </c>
      <c r="G324" s="138" t="s">
        <v>1154</v>
      </c>
      <c r="H324" s="31" t="s">
        <v>1121</v>
      </c>
      <c r="I324" s="31" t="s">
        <v>1254</v>
      </c>
      <c r="J324" s="31" t="s">
        <v>1123</v>
      </c>
      <c r="K324" s="31" t="s">
        <v>1124</v>
      </c>
      <c r="L324" s="68" t="s">
        <v>327</v>
      </c>
      <c r="M324" s="73" t="s">
        <v>84</v>
      </c>
      <c r="N324" s="73" t="s">
        <v>84</v>
      </c>
      <c r="O324" s="73" t="s">
        <v>1125</v>
      </c>
      <c r="P324" s="70">
        <v>2</v>
      </c>
      <c r="Q324" s="41">
        <v>4</v>
      </c>
      <c r="R324" s="33">
        <f t="shared" si="49"/>
        <v>8</v>
      </c>
      <c r="S324" s="33" t="str">
        <f t="shared" si="40"/>
        <v>MEDIO</v>
      </c>
      <c r="T324" s="33">
        <v>10</v>
      </c>
      <c r="U324" s="75">
        <f t="shared" si="41"/>
        <v>80</v>
      </c>
      <c r="V324" s="33" t="str">
        <f t="shared" si="43"/>
        <v>lll</v>
      </c>
      <c r="W324" s="74" t="str">
        <f t="shared" si="42"/>
        <v>SI</v>
      </c>
      <c r="X324" s="31">
        <v>20</v>
      </c>
      <c r="Y324" s="31" t="s">
        <v>133</v>
      </c>
      <c r="Z324" s="33" t="s">
        <v>87</v>
      </c>
      <c r="AA324" s="31"/>
      <c r="AB324" s="31"/>
      <c r="AC324" s="31" t="s">
        <v>1126</v>
      </c>
      <c r="AD324" s="31" t="s">
        <v>1127</v>
      </c>
      <c r="AE324" s="31"/>
      <c r="AF324" s="34" t="s">
        <v>146</v>
      </c>
      <c r="AG324" s="41">
        <v>0</v>
      </c>
      <c r="AH324" s="41">
        <v>4</v>
      </c>
      <c r="AI324" s="33">
        <f t="shared" si="50"/>
        <v>0</v>
      </c>
      <c r="AJ324" s="33" t="str">
        <f t="shared" si="51"/>
        <v>BAJO</v>
      </c>
      <c r="AK324" s="33">
        <v>10</v>
      </c>
      <c r="AL324" s="33">
        <f t="shared" si="53"/>
        <v>0</v>
      </c>
      <c r="AM324" s="33" t="str">
        <f t="shared" si="44"/>
        <v>RIESGO ACEPTABLE</v>
      </c>
      <c r="AN324" s="31" t="s">
        <v>1128</v>
      </c>
      <c r="AO324" s="31"/>
      <c r="AP324" s="31"/>
      <c r="AQ324" s="31" t="s">
        <v>1129</v>
      </c>
      <c r="AR324" s="31"/>
      <c r="AS324" s="63" t="s">
        <v>1130</v>
      </c>
    </row>
    <row r="325" spans="1:45" ht="151.80000000000001" customHeight="1" x14ac:dyDescent="0.25">
      <c r="A325" s="124"/>
      <c r="B325" s="123"/>
      <c r="C325" s="121"/>
      <c r="D325" s="122"/>
      <c r="E325" s="31" t="s">
        <v>98</v>
      </c>
      <c r="F325" s="138"/>
      <c r="G325" s="138"/>
      <c r="H325" s="31" t="s">
        <v>1131</v>
      </c>
      <c r="I325" s="32" t="s">
        <v>1240</v>
      </c>
      <c r="J325" s="32" t="s">
        <v>130</v>
      </c>
      <c r="K325" s="32" t="s">
        <v>104</v>
      </c>
      <c r="L325" s="68" t="s">
        <v>131</v>
      </c>
      <c r="M325" s="73" t="s">
        <v>84</v>
      </c>
      <c r="N325" s="73" t="s">
        <v>1155</v>
      </c>
      <c r="O325" s="73" t="s">
        <v>132</v>
      </c>
      <c r="P325" s="70">
        <v>2</v>
      </c>
      <c r="Q325" s="41">
        <v>3</v>
      </c>
      <c r="R325" s="33">
        <f t="shared" si="49"/>
        <v>6</v>
      </c>
      <c r="S325" s="33" t="str">
        <f t="shared" si="40"/>
        <v>MEDIO</v>
      </c>
      <c r="T325" s="33">
        <v>10</v>
      </c>
      <c r="U325" s="75">
        <f t="shared" si="41"/>
        <v>60</v>
      </c>
      <c r="V325" s="33" t="str">
        <f t="shared" si="43"/>
        <v>lll</v>
      </c>
      <c r="W325" s="74" t="str">
        <f t="shared" si="42"/>
        <v>SI</v>
      </c>
      <c r="X325" s="31">
        <v>20</v>
      </c>
      <c r="Y325" s="31" t="s">
        <v>133</v>
      </c>
      <c r="Z325" s="33" t="s">
        <v>87</v>
      </c>
      <c r="AA325" s="31"/>
      <c r="AB325" s="31"/>
      <c r="AC325" s="31"/>
      <c r="AD325" s="31" t="s">
        <v>134</v>
      </c>
      <c r="AE325" s="31"/>
      <c r="AF325" s="34" t="s">
        <v>135</v>
      </c>
      <c r="AG325" s="41">
        <v>2</v>
      </c>
      <c r="AH325" s="41">
        <v>3</v>
      </c>
      <c r="AI325" s="33">
        <f t="shared" si="50"/>
        <v>6</v>
      </c>
      <c r="AJ325" s="33" t="str">
        <f t="shared" si="51"/>
        <v>MEDIO</v>
      </c>
      <c r="AK325" s="33">
        <v>10</v>
      </c>
      <c r="AL325" s="33">
        <f t="shared" si="53"/>
        <v>60</v>
      </c>
      <c r="AM325" s="33" t="str">
        <f t="shared" si="44"/>
        <v>RIESGO ACEPTABLE</v>
      </c>
      <c r="AN325" s="31"/>
      <c r="AO325" s="31"/>
      <c r="AP325" s="31"/>
      <c r="AQ325" s="31" t="s">
        <v>136</v>
      </c>
      <c r="AR325" s="31" t="s">
        <v>93</v>
      </c>
      <c r="AS325" s="63" t="s">
        <v>137</v>
      </c>
    </row>
    <row r="326" spans="1:45" ht="38.4" x14ac:dyDescent="0.25">
      <c r="A326" s="124" t="s">
        <v>1151</v>
      </c>
      <c r="B326" s="123" t="s">
        <v>1156</v>
      </c>
      <c r="C326" s="121" t="s">
        <v>1157</v>
      </c>
      <c r="D326" s="122" t="s">
        <v>1158</v>
      </c>
      <c r="E326" s="31" t="s">
        <v>1118</v>
      </c>
      <c r="F326" s="138" t="s">
        <v>1159</v>
      </c>
      <c r="G326" s="138" t="s">
        <v>1154</v>
      </c>
      <c r="H326" s="31" t="s">
        <v>1121</v>
      </c>
      <c r="I326" s="31" t="s">
        <v>1255</v>
      </c>
      <c r="J326" s="31" t="s">
        <v>1123</v>
      </c>
      <c r="K326" s="31" t="s">
        <v>1124</v>
      </c>
      <c r="L326" s="68" t="s">
        <v>327</v>
      </c>
      <c r="M326" s="73" t="s">
        <v>84</v>
      </c>
      <c r="N326" s="73" t="s">
        <v>84</v>
      </c>
      <c r="O326" s="73" t="s">
        <v>1125</v>
      </c>
      <c r="P326" s="70">
        <v>2</v>
      </c>
      <c r="Q326" s="41">
        <v>4</v>
      </c>
      <c r="R326" s="33">
        <f t="shared" si="49"/>
        <v>8</v>
      </c>
      <c r="S326" s="33" t="str">
        <f t="shared" si="40"/>
        <v>MEDIO</v>
      </c>
      <c r="T326" s="33">
        <v>10</v>
      </c>
      <c r="U326" s="75">
        <f t="shared" si="41"/>
        <v>80</v>
      </c>
      <c r="V326" s="33" t="str">
        <f t="shared" si="43"/>
        <v>lll</v>
      </c>
      <c r="W326" s="74" t="str">
        <f t="shared" si="42"/>
        <v>SI</v>
      </c>
      <c r="X326" s="31">
        <v>20</v>
      </c>
      <c r="Y326" s="31" t="s">
        <v>133</v>
      </c>
      <c r="Z326" s="33" t="s">
        <v>87</v>
      </c>
      <c r="AA326" s="31"/>
      <c r="AB326" s="31"/>
      <c r="AC326" s="31" t="s">
        <v>1126</v>
      </c>
      <c r="AD326" s="31" t="s">
        <v>1127</v>
      </c>
      <c r="AE326" s="31"/>
      <c r="AF326" s="34" t="s">
        <v>146</v>
      </c>
      <c r="AG326" s="41">
        <v>0</v>
      </c>
      <c r="AH326" s="41">
        <v>4</v>
      </c>
      <c r="AI326" s="33">
        <f t="shared" si="50"/>
        <v>0</v>
      </c>
      <c r="AJ326" s="33" t="str">
        <f t="shared" si="51"/>
        <v>BAJO</v>
      </c>
      <c r="AK326" s="33">
        <v>10</v>
      </c>
      <c r="AL326" s="33">
        <f t="shared" si="53"/>
        <v>0</v>
      </c>
      <c r="AM326" s="33" t="str">
        <f t="shared" si="44"/>
        <v>RIESGO ACEPTABLE</v>
      </c>
      <c r="AN326" s="31" t="s">
        <v>1128</v>
      </c>
      <c r="AO326" s="31"/>
      <c r="AP326" s="31"/>
      <c r="AQ326" s="31" t="s">
        <v>1129</v>
      </c>
      <c r="AR326" s="31"/>
      <c r="AS326" s="63" t="s">
        <v>1130</v>
      </c>
    </row>
    <row r="327" spans="1:45" ht="165.6" customHeight="1" x14ac:dyDescent="0.25">
      <c r="A327" s="124"/>
      <c r="B327" s="123"/>
      <c r="C327" s="121"/>
      <c r="D327" s="122"/>
      <c r="E327" s="31" t="s">
        <v>98</v>
      </c>
      <c r="F327" s="138"/>
      <c r="G327" s="138"/>
      <c r="H327" s="31" t="s">
        <v>1131</v>
      </c>
      <c r="I327" s="32" t="s">
        <v>1235</v>
      </c>
      <c r="J327" s="32" t="s">
        <v>130</v>
      </c>
      <c r="K327" s="32" t="s">
        <v>104</v>
      </c>
      <c r="L327" s="68" t="s">
        <v>131</v>
      </c>
      <c r="M327" s="73" t="s">
        <v>84</v>
      </c>
      <c r="N327" s="73" t="s">
        <v>1155</v>
      </c>
      <c r="O327" s="73" t="s">
        <v>132</v>
      </c>
      <c r="P327" s="70">
        <v>2</v>
      </c>
      <c r="Q327" s="41">
        <v>3</v>
      </c>
      <c r="R327" s="33">
        <f t="shared" si="49"/>
        <v>6</v>
      </c>
      <c r="S327" s="33" t="str">
        <f t="shared" si="40"/>
        <v>MEDIO</v>
      </c>
      <c r="T327" s="33">
        <v>10</v>
      </c>
      <c r="U327" s="75">
        <f t="shared" si="41"/>
        <v>60</v>
      </c>
      <c r="V327" s="33" t="str">
        <f t="shared" si="43"/>
        <v>lll</v>
      </c>
      <c r="W327" s="74" t="str">
        <f t="shared" si="42"/>
        <v>SI</v>
      </c>
      <c r="X327" s="31">
        <v>20</v>
      </c>
      <c r="Y327" s="31" t="s">
        <v>133</v>
      </c>
      <c r="Z327" s="33" t="s">
        <v>87</v>
      </c>
      <c r="AA327" s="31"/>
      <c r="AB327" s="31"/>
      <c r="AC327" s="31"/>
      <c r="AD327" s="31" t="s">
        <v>134</v>
      </c>
      <c r="AE327" s="31"/>
      <c r="AF327" s="34" t="s">
        <v>135</v>
      </c>
      <c r="AG327" s="41">
        <v>2</v>
      </c>
      <c r="AH327" s="41">
        <v>3</v>
      </c>
      <c r="AI327" s="33">
        <f t="shared" si="50"/>
        <v>6</v>
      </c>
      <c r="AJ327" s="33" t="str">
        <f t="shared" si="51"/>
        <v>MEDIO</v>
      </c>
      <c r="AK327" s="33">
        <v>10</v>
      </c>
      <c r="AL327" s="33">
        <f t="shared" si="53"/>
        <v>60</v>
      </c>
      <c r="AM327" s="33" t="str">
        <f t="shared" si="44"/>
        <v>RIESGO ACEPTABLE</v>
      </c>
      <c r="AN327" s="31"/>
      <c r="AO327" s="31"/>
      <c r="AP327" s="31"/>
      <c r="AQ327" s="31" t="s">
        <v>136</v>
      </c>
      <c r="AR327" s="31" t="s">
        <v>93</v>
      </c>
      <c r="AS327" s="63" t="s">
        <v>137</v>
      </c>
    </row>
    <row r="328" spans="1:45" ht="38.4" x14ac:dyDescent="0.25">
      <c r="A328" s="124" t="s">
        <v>1151</v>
      </c>
      <c r="B328" s="123" t="s">
        <v>1160</v>
      </c>
      <c r="C328" s="121" t="s">
        <v>1161</v>
      </c>
      <c r="D328" s="122" t="s">
        <v>1158</v>
      </c>
      <c r="E328" s="31" t="s">
        <v>1118</v>
      </c>
      <c r="F328" s="138" t="s">
        <v>1162</v>
      </c>
      <c r="G328" s="138" t="s">
        <v>1154</v>
      </c>
      <c r="H328" s="31" t="s">
        <v>1121</v>
      </c>
      <c r="I328" s="31" t="s">
        <v>1255</v>
      </c>
      <c r="J328" s="31" t="s">
        <v>1123</v>
      </c>
      <c r="K328" s="31" t="s">
        <v>1124</v>
      </c>
      <c r="L328" s="68" t="s">
        <v>327</v>
      </c>
      <c r="M328" s="73" t="s">
        <v>84</v>
      </c>
      <c r="N328" s="73" t="s">
        <v>84</v>
      </c>
      <c r="O328" s="73" t="s">
        <v>1125</v>
      </c>
      <c r="P328" s="70">
        <v>2</v>
      </c>
      <c r="Q328" s="41">
        <v>4</v>
      </c>
      <c r="R328" s="33">
        <f t="shared" si="49"/>
        <v>8</v>
      </c>
      <c r="S328" s="33" t="str">
        <f t="shared" si="40"/>
        <v>MEDIO</v>
      </c>
      <c r="T328" s="33">
        <v>10</v>
      </c>
      <c r="U328" s="75">
        <f t="shared" si="41"/>
        <v>80</v>
      </c>
      <c r="V328" s="33" t="str">
        <f t="shared" si="43"/>
        <v>lll</v>
      </c>
      <c r="W328" s="74" t="str">
        <f t="shared" si="42"/>
        <v>SI</v>
      </c>
      <c r="X328" s="31">
        <v>20</v>
      </c>
      <c r="Y328" s="31" t="s">
        <v>133</v>
      </c>
      <c r="Z328" s="33" t="s">
        <v>87</v>
      </c>
      <c r="AA328" s="31"/>
      <c r="AB328" s="31"/>
      <c r="AC328" s="31" t="s">
        <v>1126</v>
      </c>
      <c r="AD328" s="31" t="s">
        <v>1127</v>
      </c>
      <c r="AE328" s="31"/>
      <c r="AF328" s="34" t="s">
        <v>146</v>
      </c>
      <c r="AG328" s="41">
        <v>0</v>
      </c>
      <c r="AH328" s="41">
        <v>4</v>
      </c>
      <c r="AI328" s="33">
        <f t="shared" si="50"/>
        <v>0</v>
      </c>
      <c r="AJ328" s="33" t="str">
        <f t="shared" si="51"/>
        <v>BAJO</v>
      </c>
      <c r="AK328" s="33">
        <v>10</v>
      </c>
      <c r="AL328" s="33">
        <f t="shared" si="53"/>
        <v>0</v>
      </c>
      <c r="AM328" s="33" t="str">
        <f t="shared" si="44"/>
        <v>RIESGO ACEPTABLE</v>
      </c>
      <c r="AN328" s="31" t="s">
        <v>1128</v>
      </c>
      <c r="AO328" s="31"/>
      <c r="AP328" s="31"/>
      <c r="AQ328" s="31" t="s">
        <v>1129</v>
      </c>
      <c r="AR328" s="31"/>
      <c r="AS328" s="63" t="s">
        <v>1130</v>
      </c>
    </row>
    <row r="329" spans="1:45" ht="160.19999999999999" customHeight="1" x14ac:dyDescent="0.25">
      <c r="A329" s="124"/>
      <c r="B329" s="123"/>
      <c r="C329" s="121"/>
      <c r="D329" s="122"/>
      <c r="E329" s="31" t="s">
        <v>98</v>
      </c>
      <c r="F329" s="138"/>
      <c r="G329" s="138"/>
      <c r="H329" s="31" t="s">
        <v>1131</v>
      </c>
      <c r="I329" s="32" t="s">
        <v>1240</v>
      </c>
      <c r="J329" s="32" t="s">
        <v>130</v>
      </c>
      <c r="K329" s="32" t="s">
        <v>104</v>
      </c>
      <c r="L329" s="68" t="s">
        <v>131</v>
      </c>
      <c r="M329" s="73" t="s">
        <v>84</v>
      </c>
      <c r="N329" s="73" t="s">
        <v>1155</v>
      </c>
      <c r="O329" s="73" t="s">
        <v>132</v>
      </c>
      <c r="P329" s="70">
        <v>2</v>
      </c>
      <c r="Q329" s="41">
        <v>3</v>
      </c>
      <c r="R329" s="33">
        <f t="shared" si="49"/>
        <v>6</v>
      </c>
      <c r="S329" s="33" t="str">
        <f t="shared" si="40"/>
        <v>MEDIO</v>
      </c>
      <c r="T329" s="33">
        <v>10</v>
      </c>
      <c r="U329" s="75">
        <f t="shared" si="41"/>
        <v>60</v>
      </c>
      <c r="V329" s="33" t="str">
        <f t="shared" si="43"/>
        <v>lll</v>
      </c>
      <c r="W329" s="74" t="str">
        <f t="shared" si="42"/>
        <v>SI</v>
      </c>
      <c r="X329" s="31">
        <v>20</v>
      </c>
      <c r="Y329" s="31" t="s">
        <v>133</v>
      </c>
      <c r="Z329" s="33" t="s">
        <v>87</v>
      </c>
      <c r="AA329" s="31"/>
      <c r="AB329" s="31"/>
      <c r="AC329" s="31"/>
      <c r="AD329" s="31" t="s">
        <v>134</v>
      </c>
      <c r="AE329" s="31"/>
      <c r="AF329" s="34" t="s">
        <v>135</v>
      </c>
      <c r="AG329" s="41">
        <v>2</v>
      </c>
      <c r="AH329" s="41">
        <v>3</v>
      </c>
      <c r="AI329" s="33">
        <f t="shared" si="50"/>
        <v>6</v>
      </c>
      <c r="AJ329" s="33" t="str">
        <f t="shared" si="51"/>
        <v>MEDIO</v>
      </c>
      <c r="AK329" s="33">
        <v>10</v>
      </c>
      <c r="AL329" s="33">
        <f t="shared" si="53"/>
        <v>60</v>
      </c>
      <c r="AM329" s="33" t="str">
        <f t="shared" si="44"/>
        <v>RIESGO ACEPTABLE</v>
      </c>
      <c r="AN329" s="31"/>
      <c r="AO329" s="31"/>
      <c r="AP329" s="31"/>
      <c r="AQ329" s="31" t="s">
        <v>136</v>
      </c>
      <c r="AR329" s="31" t="s">
        <v>93</v>
      </c>
      <c r="AS329" s="63" t="s">
        <v>137</v>
      </c>
    </row>
    <row r="330" spans="1:45" ht="38.4" x14ac:dyDescent="0.25">
      <c r="A330" s="124" t="s">
        <v>1163</v>
      </c>
      <c r="B330" s="123" t="s">
        <v>1133</v>
      </c>
      <c r="C330" s="121" t="s">
        <v>1164</v>
      </c>
      <c r="D330" s="122" t="s">
        <v>1117</v>
      </c>
      <c r="E330" s="31" t="s">
        <v>1118</v>
      </c>
      <c r="F330" s="138" t="s">
        <v>1165</v>
      </c>
      <c r="G330" s="138" t="s">
        <v>1165</v>
      </c>
      <c r="H330" s="31" t="s">
        <v>1121</v>
      </c>
      <c r="I330" s="31" t="s">
        <v>1254</v>
      </c>
      <c r="J330" s="31" t="s">
        <v>1123</v>
      </c>
      <c r="K330" s="31" t="s">
        <v>1124</v>
      </c>
      <c r="L330" s="68" t="s">
        <v>327</v>
      </c>
      <c r="M330" s="73" t="s">
        <v>84</v>
      </c>
      <c r="N330" s="73" t="s">
        <v>84</v>
      </c>
      <c r="O330" s="73" t="s">
        <v>1125</v>
      </c>
      <c r="P330" s="70">
        <v>2</v>
      </c>
      <c r="Q330" s="41">
        <v>4</v>
      </c>
      <c r="R330" s="33">
        <f t="shared" si="49"/>
        <v>8</v>
      </c>
      <c r="S330" s="33" t="str">
        <f t="shared" ref="S330:S342" si="54">IF(AND(R330&gt;=0,R330&lt;=4),"BAJO",IF(AND(R330&gt;=6,R330&lt;=8),"MEDIO",IF(AND(R330&gt;=10,R330&lt;=20),"ALTO",IF(AND(R330&gt;=24,R330&lt;=40),"MUY ALTO"))))</f>
        <v>MEDIO</v>
      </c>
      <c r="T330" s="33">
        <v>10</v>
      </c>
      <c r="U330" s="75">
        <f t="shared" ref="U330:U342" si="55">R330*T330</f>
        <v>80</v>
      </c>
      <c r="V330" s="33" t="str">
        <f t="shared" si="43"/>
        <v>lll</v>
      </c>
      <c r="W330" s="74" t="str">
        <f t="shared" ref="W330:W342" si="56">IF(AND(V330="lV"),"SI",IF(AND(V330="lll"),"SI",IF(AND(V330="ll"),"NO",IF(AND(V330="l"),"NO"))))</f>
        <v>SI</v>
      </c>
      <c r="X330" s="31">
        <v>10</v>
      </c>
      <c r="Y330" s="31" t="s">
        <v>133</v>
      </c>
      <c r="Z330" s="33" t="s">
        <v>87</v>
      </c>
      <c r="AA330" s="31"/>
      <c r="AB330" s="31"/>
      <c r="AC330" s="31" t="s">
        <v>1126</v>
      </c>
      <c r="AD330" s="31" t="s">
        <v>1127</v>
      </c>
      <c r="AE330" s="31"/>
      <c r="AF330" s="34" t="s">
        <v>146</v>
      </c>
      <c r="AG330" s="41">
        <v>0</v>
      </c>
      <c r="AH330" s="41">
        <v>4</v>
      </c>
      <c r="AI330" s="33">
        <f t="shared" si="50"/>
        <v>0</v>
      </c>
      <c r="AJ330" s="33" t="str">
        <f t="shared" si="51"/>
        <v>BAJO</v>
      </c>
      <c r="AK330" s="33">
        <v>10</v>
      </c>
      <c r="AL330" s="33">
        <f t="shared" si="53"/>
        <v>0</v>
      </c>
      <c r="AM330" s="33" t="str">
        <f t="shared" si="44"/>
        <v>RIESGO ACEPTABLE</v>
      </c>
      <c r="AN330" s="31" t="s">
        <v>1128</v>
      </c>
      <c r="AO330" s="31"/>
      <c r="AP330" s="31"/>
      <c r="AQ330" s="31" t="s">
        <v>1129</v>
      </c>
      <c r="AR330" s="31"/>
      <c r="AS330" s="63" t="s">
        <v>1130</v>
      </c>
    </row>
    <row r="331" spans="1:45" ht="211.2" customHeight="1" x14ac:dyDescent="0.25">
      <c r="A331" s="124"/>
      <c r="B331" s="123"/>
      <c r="C331" s="121"/>
      <c r="D331" s="122"/>
      <c r="E331" s="31" t="s">
        <v>98</v>
      </c>
      <c r="F331" s="138"/>
      <c r="G331" s="138"/>
      <c r="H331" s="31" t="s">
        <v>1131</v>
      </c>
      <c r="I331" s="32" t="s">
        <v>1240</v>
      </c>
      <c r="J331" s="32" t="s">
        <v>130</v>
      </c>
      <c r="K331" s="32" t="s">
        <v>104</v>
      </c>
      <c r="L331" s="68" t="s">
        <v>131</v>
      </c>
      <c r="M331" s="73" t="s">
        <v>84</v>
      </c>
      <c r="N331" s="73" t="s">
        <v>1166</v>
      </c>
      <c r="O331" s="73" t="s">
        <v>132</v>
      </c>
      <c r="P331" s="70">
        <v>2</v>
      </c>
      <c r="Q331" s="41">
        <v>3</v>
      </c>
      <c r="R331" s="33">
        <f t="shared" si="49"/>
        <v>6</v>
      </c>
      <c r="S331" s="33" t="str">
        <f t="shared" si="54"/>
        <v>MEDIO</v>
      </c>
      <c r="T331" s="33">
        <v>10</v>
      </c>
      <c r="U331" s="75">
        <f t="shared" si="55"/>
        <v>60</v>
      </c>
      <c r="V331" s="33" t="str">
        <f t="shared" si="43"/>
        <v>lll</v>
      </c>
      <c r="W331" s="74" t="str">
        <f t="shared" si="56"/>
        <v>SI</v>
      </c>
      <c r="X331" s="31">
        <v>10</v>
      </c>
      <c r="Y331" s="31" t="s">
        <v>133</v>
      </c>
      <c r="Z331" s="33" t="s">
        <v>87</v>
      </c>
      <c r="AA331" s="31"/>
      <c r="AB331" s="31"/>
      <c r="AC331" s="31"/>
      <c r="AD331" s="31" t="s">
        <v>134</v>
      </c>
      <c r="AE331" s="31"/>
      <c r="AF331" s="34" t="s">
        <v>135</v>
      </c>
      <c r="AG331" s="41">
        <v>2</v>
      </c>
      <c r="AH331" s="41">
        <v>3</v>
      </c>
      <c r="AI331" s="33">
        <f t="shared" si="50"/>
        <v>6</v>
      </c>
      <c r="AJ331" s="33" t="str">
        <f t="shared" si="51"/>
        <v>MEDIO</v>
      </c>
      <c r="AK331" s="33">
        <v>10</v>
      </c>
      <c r="AL331" s="33">
        <f t="shared" si="53"/>
        <v>60</v>
      </c>
      <c r="AM331" s="33" t="str">
        <f t="shared" si="44"/>
        <v>RIESGO ACEPTABLE</v>
      </c>
      <c r="AN331" s="31"/>
      <c r="AO331" s="31"/>
      <c r="AP331" s="31"/>
      <c r="AQ331" s="31" t="s">
        <v>136</v>
      </c>
      <c r="AR331" s="31" t="s">
        <v>93</v>
      </c>
      <c r="AS331" s="63" t="s">
        <v>137</v>
      </c>
    </row>
    <row r="332" spans="1:45" ht="38.4" x14ac:dyDescent="0.25">
      <c r="A332" s="124" t="s">
        <v>1163</v>
      </c>
      <c r="B332" s="123" t="s">
        <v>1133</v>
      </c>
      <c r="C332" s="121" t="s">
        <v>1167</v>
      </c>
      <c r="D332" s="122" t="s">
        <v>1168</v>
      </c>
      <c r="E332" s="31" t="s">
        <v>1118</v>
      </c>
      <c r="F332" s="138" t="s">
        <v>1169</v>
      </c>
      <c r="G332" s="138" t="s">
        <v>1169</v>
      </c>
      <c r="H332" s="31" t="s">
        <v>1121</v>
      </c>
      <c r="I332" s="31" t="s">
        <v>1254</v>
      </c>
      <c r="J332" s="31" t="s">
        <v>1123</v>
      </c>
      <c r="K332" s="31" t="s">
        <v>1124</v>
      </c>
      <c r="L332" s="68" t="s">
        <v>327</v>
      </c>
      <c r="M332" s="73" t="s">
        <v>84</v>
      </c>
      <c r="N332" s="73" t="s">
        <v>84</v>
      </c>
      <c r="O332" s="73" t="s">
        <v>1125</v>
      </c>
      <c r="P332" s="70">
        <v>2</v>
      </c>
      <c r="Q332" s="41">
        <v>4</v>
      </c>
      <c r="R332" s="33">
        <f t="shared" si="49"/>
        <v>8</v>
      </c>
      <c r="S332" s="33" t="str">
        <f t="shared" si="54"/>
        <v>MEDIO</v>
      </c>
      <c r="T332" s="33">
        <v>10</v>
      </c>
      <c r="U332" s="75">
        <f t="shared" si="55"/>
        <v>80</v>
      </c>
      <c r="V332" s="33" t="str">
        <f t="shared" si="43"/>
        <v>lll</v>
      </c>
      <c r="W332" s="74" t="str">
        <f t="shared" si="56"/>
        <v>SI</v>
      </c>
      <c r="X332" s="31">
        <v>10</v>
      </c>
      <c r="Y332" s="31" t="s">
        <v>133</v>
      </c>
      <c r="Z332" s="33" t="s">
        <v>87</v>
      </c>
      <c r="AA332" s="31"/>
      <c r="AB332" s="31"/>
      <c r="AC332" s="31" t="s">
        <v>1126</v>
      </c>
      <c r="AD332" s="31" t="s">
        <v>1127</v>
      </c>
      <c r="AE332" s="31"/>
      <c r="AF332" s="34" t="s">
        <v>146</v>
      </c>
      <c r="AG332" s="41">
        <v>0</v>
      </c>
      <c r="AH332" s="41">
        <v>4</v>
      </c>
      <c r="AI332" s="33">
        <f t="shared" si="50"/>
        <v>0</v>
      </c>
      <c r="AJ332" s="33" t="str">
        <f t="shared" si="51"/>
        <v>BAJO</v>
      </c>
      <c r="AK332" s="33">
        <v>10</v>
      </c>
      <c r="AL332" s="33">
        <f t="shared" si="53"/>
        <v>0</v>
      </c>
      <c r="AM332" s="33" t="str">
        <f t="shared" si="44"/>
        <v>RIESGO ACEPTABLE</v>
      </c>
      <c r="AN332" s="31" t="s">
        <v>1128</v>
      </c>
      <c r="AO332" s="31"/>
      <c r="AP332" s="31"/>
      <c r="AQ332" s="31" t="s">
        <v>1129</v>
      </c>
      <c r="AR332" s="31"/>
      <c r="AS332" s="63" t="s">
        <v>1130</v>
      </c>
    </row>
    <row r="333" spans="1:45" ht="214.2" customHeight="1" x14ac:dyDescent="0.25">
      <c r="A333" s="124"/>
      <c r="B333" s="123"/>
      <c r="C333" s="121"/>
      <c r="D333" s="122"/>
      <c r="E333" s="31" t="s">
        <v>98</v>
      </c>
      <c r="F333" s="138"/>
      <c r="G333" s="138"/>
      <c r="H333" s="31" t="s">
        <v>1131</v>
      </c>
      <c r="I333" s="32" t="s">
        <v>1240</v>
      </c>
      <c r="J333" s="32" t="s">
        <v>130</v>
      </c>
      <c r="K333" s="32" t="s">
        <v>104</v>
      </c>
      <c r="L333" s="68" t="s">
        <v>131</v>
      </c>
      <c r="M333" s="73" t="s">
        <v>84</v>
      </c>
      <c r="N333" s="73" t="s">
        <v>1166</v>
      </c>
      <c r="O333" s="73" t="s">
        <v>132</v>
      </c>
      <c r="P333" s="70">
        <v>2</v>
      </c>
      <c r="Q333" s="41">
        <v>3</v>
      </c>
      <c r="R333" s="33">
        <f t="shared" si="49"/>
        <v>6</v>
      </c>
      <c r="S333" s="33" t="str">
        <f t="shared" si="54"/>
        <v>MEDIO</v>
      </c>
      <c r="T333" s="33">
        <v>10</v>
      </c>
      <c r="U333" s="75">
        <f t="shared" si="55"/>
        <v>60</v>
      </c>
      <c r="V333" s="33" t="str">
        <f t="shared" si="43"/>
        <v>lll</v>
      </c>
      <c r="W333" s="74" t="str">
        <f t="shared" si="56"/>
        <v>SI</v>
      </c>
      <c r="X333" s="31">
        <v>10</v>
      </c>
      <c r="Y333" s="31" t="s">
        <v>133</v>
      </c>
      <c r="Z333" s="33" t="s">
        <v>87</v>
      </c>
      <c r="AA333" s="31"/>
      <c r="AB333" s="31"/>
      <c r="AC333" s="31"/>
      <c r="AD333" s="31" t="s">
        <v>134</v>
      </c>
      <c r="AE333" s="31"/>
      <c r="AF333" s="34" t="s">
        <v>135</v>
      </c>
      <c r="AG333" s="41">
        <v>2</v>
      </c>
      <c r="AH333" s="41">
        <v>3</v>
      </c>
      <c r="AI333" s="33">
        <f t="shared" si="50"/>
        <v>6</v>
      </c>
      <c r="AJ333" s="33" t="str">
        <f t="shared" si="51"/>
        <v>MEDIO</v>
      </c>
      <c r="AK333" s="33">
        <v>10</v>
      </c>
      <c r="AL333" s="33">
        <f t="shared" si="53"/>
        <v>60</v>
      </c>
      <c r="AM333" s="33" t="str">
        <f t="shared" ref="AM333:AM344" si="57">IF(AND(AL333&gt;=0,AL333&lt;=120),"RIESGO ACEPTABLE",IF(AND(AL333&gt;=150,AL333&lt;=500)," RIESGO ACEPTABLE CON CONTROL ESPECIFICO",IF(AND(AL333&gt;=600,AL333&lt;=4000),"RIESGO NO ACEPTABLE")))</f>
        <v>RIESGO ACEPTABLE</v>
      </c>
      <c r="AN333" s="31"/>
      <c r="AO333" s="31"/>
      <c r="AP333" s="31"/>
      <c r="AQ333" s="31" t="s">
        <v>136</v>
      </c>
      <c r="AR333" s="31" t="s">
        <v>93</v>
      </c>
      <c r="AS333" s="63" t="s">
        <v>137</v>
      </c>
    </row>
    <row r="334" spans="1:45" ht="38.4" x14ac:dyDescent="0.25">
      <c r="A334" s="137" t="s">
        <v>1163</v>
      </c>
      <c r="B334" s="123" t="s">
        <v>835</v>
      </c>
      <c r="C334" s="121" t="s">
        <v>1170</v>
      </c>
      <c r="D334" s="122" t="s">
        <v>1171</v>
      </c>
      <c r="E334" s="31" t="s">
        <v>1118</v>
      </c>
      <c r="F334" s="138" t="s">
        <v>1198</v>
      </c>
      <c r="G334" s="138" t="s">
        <v>1172</v>
      </c>
      <c r="H334" s="31" t="s">
        <v>1121</v>
      </c>
      <c r="I334" s="31" t="s">
        <v>1255</v>
      </c>
      <c r="J334" s="31" t="s">
        <v>1123</v>
      </c>
      <c r="K334" s="31" t="s">
        <v>1124</v>
      </c>
      <c r="L334" s="68" t="s">
        <v>327</v>
      </c>
      <c r="M334" s="73" t="s">
        <v>84</v>
      </c>
      <c r="N334" s="73" t="s">
        <v>84</v>
      </c>
      <c r="O334" s="73" t="s">
        <v>1125</v>
      </c>
      <c r="P334" s="70">
        <v>2</v>
      </c>
      <c r="Q334" s="41">
        <v>4</v>
      </c>
      <c r="R334" s="33">
        <f t="shared" si="49"/>
        <v>8</v>
      </c>
      <c r="S334" s="33" t="str">
        <f t="shared" si="54"/>
        <v>MEDIO</v>
      </c>
      <c r="T334" s="33">
        <v>10</v>
      </c>
      <c r="U334" s="75">
        <f t="shared" si="55"/>
        <v>80</v>
      </c>
      <c r="V334" s="33" t="str">
        <f t="shared" si="43"/>
        <v>lll</v>
      </c>
      <c r="W334" s="74" t="str">
        <f t="shared" si="56"/>
        <v>SI</v>
      </c>
      <c r="X334" s="31">
        <v>10</v>
      </c>
      <c r="Y334" s="31" t="s">
        <v>133</v>
      </c>
      <c r="Z334" s="33" t="s">
        <v>87</v>
      </c>
      <c r="AA334" s="31"/>
      <c r="AB334" s="31"/>
      <c r="AC334" s="31" t="s">
        <v>1126</v>
      </c>
      <c r="AD334" s="31" t="s">
        <v>1127</v>
      </c>
      <c r="AE334" s="31"/>
      <c r="AF334" s="34" t="s">
        <v>146</v>
      </c>
      <c r="AG334" s="41">
        <v>0</v>
      </c>
      <c r="AH334" s="41">
        <v>4</v>
      </c>
      <c r="AI334" s="33">
        <f t="shared" si="50"/>
        <v>0</v>
      </c>
      <c r="AJ334" s="33" t="str">
        <f t="shared" si="51"/>
        <v>BAJO</v>
      </c>
      <c r="AK334" s="33">
        <v>10</v>
      </c>
      <c r="AL334" s="33">
        <f t="shared" si="53"/>
        <v>0</v>
      </c>
      <c r="AM334" s="33" t="str">
        <f t="shared" si="57"/>
        <v>RIESGO ACEPTABLE</v>
      </c>
      <c r="AN334" s="31" t="s">
        <v>1128</v>
      </c>
      <c r="AO334" s="31"/>
      <c r="AP334" s="31"/>
      <c r="AQ334" s="31" t="s">
        <v>1129</v>
      </c>
      <c r="AR334" s="31"/>
      <c r="AS334" s="31" t="s">
        <v>1130</v>
      </c>
    </row>
    <row r="335" spans="1:45" ht="211.8" customHeight="1" x14ac:dyDescent="0.25">
      <c r="A335" s="137"/>
      <c r="B335" s="123"/>
      <c r="C335" s="121"/>
      <c r="D335" s="122"/>
      <c r="E335" s="31" t="s">
        <v>98</v>
      </c>
      <c r="F335" s="138"/>
      <c r="G335" s="138"/>
      <c r="H335" s="31" t="s">
        <v>1131</v>
      </c>
      <c r="I335" s="32" t="s">
        <v>1240</v>
      </c>
      <c r="J335" s="32" t="s">
        <v>130</v>
      </c>
      <c r="K335" s="32" t="s">
        <v>104</v>
      </c>
      <c r="L335" s="68" t="s">
        <v>131</v>
      </c>
      <c r="M335" s="73" t="s">
        <v>84</v>
      </c>
      <c r="N335" s="73" t="s">
        <v>1173</v>
      </c>
      <c r="O335" s="73" t="s">
        <v>132</v>
      </c>
      <c r="P335" s="70">
        <v>2</v>
      </c>
      <c r="Q335" s="41">
        <v>3</v>
      </c>
      <c r="R335" s="33">
        <f t="shared" si="49"/>
        <v>6</v>
      </c>
      <c r="S335" s="33" t="str">
        <f t="shared" si="54"/>
        <v>MEDIO</v>
      </c>
      <c r="T335" s="33">
        <v>10</v>
      </c>
      <c r="U335" s="75">
        <f t="shared" si="55"/>
        <v>60</v>
      </c>
      <c r="V335" s="33" t="str">
        <f t="shared" si="43"/>
        <v>lll</v>
      </c>
      <c r="W335" s="74" t="str">
        <f t="shared" si="56"/>
        <v>SI</v>
      </c>
      <c r="X335" s="31">
        <v>10</v>
      </c>
      <c r="Y335" s="31" t="s">
        <v>133</v>
      </c>
      <c r="Z335" s="33" t="s">
        <v>87</v>
      </c>
      <c r="AA335" s="31"/>
      <c r="AB335" s="31"/>
      <c r="AC335" s="31"/>
      <c r="AD335" s="31" t="s">
        <v>134</v>
      </c>
      <c r="AE335" s="31"/>
      <c r="AF335" s="34" t="s">
        <v>135</v>
      </c>
      <c r="AG335" s="41">
        <v>2</v>
      </c>
      <c r="AH335" s="41">
        <v>3</v>
      </c>
      <c r="AI335" s="33">
        <f t="shared" si="50"/>
        <v>6</v>
      </c>
      <c r="AJ335" s="33" t="str">
        <f t="shared" si="51"/>
        <v>MEDIO</v>
      </c>
      <c r="AK335" s="33">
        <v>10</v>
      </c>
      <c r="AL335" s="33">
        <f t="shared" si="53"/>
        <v>60</v>
      </c>
      <c r="AM335" s="33" t="str">
        <f t="shared" si="57"/>
        <v>RIESGO ACEPTABLE</v>
      </c>
      <c r="AN335" s="31"/>
      <c r="AO335" s="31"/>
      <c r="AP335" s="31"/>
      <c r="AQ335" s="31" t="s">
        <v>136</v>
      </c>
      <c r="AR335" s="31" t="s">
        <v>93</v>
      </c>
      <c r="AS335" s="31" t="s">
        <v>137</v>
      </c>
    </row>
    <row r="336" spans="1:45" ht="160.80000000000001" customHeight="1" x14ac:dyDescent="0.25">
      <c r="A336" s="114" t="s">
        <v>1199</v>
      </c>
      <c r="B336" s="109" t="s">
        <v>1200</v>
      </c>
      <c r="C336" s="110" t="s">
        <v>1202</v>
      </c>
      <c r="D336" s="111" t="s">
        <v>1201</v>
      </c>
      <c r="E336" s="31" t="s">
        <v>87</v>
      </c>
      <c r="F336" s="31" t="s">
        <v>1203</v>
      </c>
      <c r="G336" s="31" t="s">
        <v>1203</v>
      </c>
      <c r="H336" s="31" t="s">
        <v>1131</v>
      </c>
      <c r="I336" s="32" t="s">
        <v>1240</v>
      </c>
      <c r="J336" s="32" t="s">
        <v>130</v>
      </c>
      <c r="K336" s="32" t="s">
        <v>104</v>
      </c>
      <c r="L336" s="68" t="s">
        <v>131</v>
      </c>
      <c r="M336" s="73" t="s">
        <v>84</v>
      </c>
      <c r="N336" s="73" t="s">
        <v>1173</v>
      </c>
      <c r="O336" s="73" t="s">
        <v>1204</v>
      </c>
      <c r="P336" s="70">
        <v>2</v>
      </c>
      <c r="Q336" s="41">
        <v>3</v>
      </c>
      <c r="R336" s="33">
        <f t="shared" si="49"/>
        <v>6</v>
      </c>
      <c r="S336" s="33" t="str">
        <f t="shared" si="54"/>
        <v>MEDIO</v>
      </c>
      <c r="T336" s="33">
        <v>10</v>
      </c>
      <c r="U336" s="75">
        <f t="shared" si="55"/>
        <v>60</v>
      </c>
      <c r="V336" s="33" t="str">
        <f t="shared" si="43"/>
        <v>lll</v>
      </c>
      <c r="W336" s="74" t="str">
        <f t="shared" si="56"/>
        <v>SI</v>
      </c>
      <c r="X336" s="31">
        <v>1</v>
      </c>
      <c r="Y336" s="31" t="s">
        <v>133</v>
      </c>
      <c r="Z336" s="33" t="s">
        <v>87</v>
      </c>
      <c r="AA336" s="31"/>
      <c r="AB336" s="31"/>
      <c r="AC336" s="31" t="s">
        <v>1126</v>
      </c>
      <c r="AD336" s="31" t="s">
        <v>134</v>
      </c>
      <c r="AE336" s="31"/>
      <c r="AF336" s="34" t="s">
        <v>146</v>
      </c>
      <c r="AG336" s="41">
        <v>2</v>
      </c>
      <c r="AH336" s="41">
        <v>3</v>
      </c>
      <c r="AI336" s="33">
        <f t="shared" si="50"/>
        <v>6</v>
      </c>
      <c r="AJ336" s="33" t="str">
        <f t="shared" si="51"/>
        <v>MEDIO</v>
      </c>
      <c r="AK336" s="33">
        <v>10</v>
      </c>
      <c r="AL336" s="33">
        <f t="shared" si="53"/>
        <v>60</v>
      </c>
      <c r="AM336" s="33" t="str">
        <f t="shared" si="57"/>
        <v>RIESGO ACEPTABLE</v>
      </c>
      <c r="AN336" s="31"/>
      <c r="AO336" s="31"/>
      <c r="AP336" s="31"/>
      <c r="AQ336" s="31" t="s">
        <v>1205</v>
      </c>
      <c r="AR336" s="31"/>
      <c r="AS336" s="31" t="s">
        <v>1206</v>
      </c>
    </row>
    <row r="337" spans="1:45" ht="129" customHeight="1" x14ac:dyDescent="0.25">
      <c r="A337" s="125" t="s">
        <v>1209</v>
      </c>
      <c r="B337" s="128" t="s">
        <v>1200</v>
      </c>
      <c r="C337" s="131" t="s">
        <v>1202</v>
      </c>
      <c r="D337" s="134" t="s">
        <v>1201</v>
      </c>
      <c r="E337" s="31" t="s">
        <v>87</v>
      </c>
      <c r="F337" s="31" t="s">
        <v>1207</v>
      </c>
      <c r="G337" s="31" t="s">
        <v>1207</v>
      </c>
      <c r="H337" s="31" t="s">
        <v>1208</v>
      </c>
      <c r="I337" s="32" t="s">
        <v>1240</v>
      </c>
      <c r="J337" s="32" t="s">
        <v>130</v>
      </c>
      <c r="K337" s="32" t="s">
        <v>104</v>
      </c>
      <c r="L337" s="68" t="s">
        <v>131</v>
      </c>
      <c r="M337" s="73" t="s">
        <v>84</v>
      </c>
      <c r="N337" s="73" t="s">
        <v>1173</v>
      </c>
      <c r="O337" s="73" t="s">
        <v>1204</v>
      </c>
      <c r="P337" s="70">
        <v>2</v>
      </c>
      <c r="Q337" s="41">
        <v>3</v>
      </c>
      <c r="R337" s="33">
        <f t="shared" ref="R337:R339" si="58">P337*Q337</f>
        <v>6</v>
      </c>
      <c r="S337" s="33" t="str">
        <f t="shared" ref="S337:S339" si="59">IF(AND(R337&gt;=0,R337&lt;=4),"BAJO",IF(AND(R337&gt;=6,R337&lt;=8),"MEDIO",IF(AND(R337&gt;=10,R337&lt;=20),"ALTO",IF(AND(R337&gt;=24,R337&lt;=40),"MUY ALTO"))))</f>
        <v>MEDIO</v>
      </c>
      <c r="T337" s="33">
        <v>10</v>
      </c>
      <c r="U337" s="75">
        <f t="shared" ref="U337:U339" si="60">R337*T337</f>
        <v>60</v>
      </c>
      <c r="V337" s="33" t="str">
        <f t="shared" si="43"/>
        <v>lll</v>
      </c>
      <c r="W337" s="74" t="str">
        <f t="shared" ref="W337:W339" si="61">IF(AND(V337="lV"),"SI",IF(AND(V337="lll"),"SI",IF(AND(V337="ll"),"NO",IF(AND(V337="l"),"NO"))))</f>
        <v>SI</v>
      </c>
      <c r="X337" s="31">
        <v>2</v>
      </c>
      <c r="Y337" s="31" t="s">
        <v>133</v>
      </c>
      <c r="Z337" s="33" t="s">
        <v>87</v>
      </c>
      <c r="AA337" s="31"/>
      <c r="AB337" s="31"/>
      <c r="AC337" s="31" t="s">
        <v>1126</v>
      </c>
      <c r="AD337" s="31" t="s">
        <v>134</v>
      </c>
      <c r="AE337" s="31"/>
      <c r="AF337" s="34" t="s">
        <v>146</v>
      </c>
      <c r="AG337" s="41">
        <v>2</v>
      </c>
      <c r="AH337" s="41">
        <v>3</v>
      </c>
      <c r="AI337" s="33">
        <f t="shared" ref="AI337:AI338" si="62">AG337*AH337</f>
        <v>6</v>
      </c>
      <c r="AJ337" s="33" t="str">
        <f t="shared" ref="AJ337:AJ339" si="63">IF(AND(AI337&gt;=0,AI337&lt;=4),"BAJO",IF(AND(AI337&gt;=6,AI337&lt;=8),"MEDIO",IF(AND(AI337&gt;=10,AI337&lt;=20),"ALTO",IF(AND(AI337&gt;=24,AI337&lt;=40),"MUY ALTO"))))</f>
        <v>MEDIO</v>
      </c>
      <c r="AK337" s="33">
        <v>10</v>
      </c>
      <c r="AL337" s="33">
        <f t="shared" ref="AL337:AL339" si="64">AI337*AK337</f>
        <v>60</v>
      </c>
      <c r="AM337" s="33" t="str">
        <f t="shared" ref="AM337:AM339" si="65">IF(AND(AL337&gt;=0,AL337&lt;=120),"RIESGO ACEPTABLE",IF(AND(AL337&gt;=150,AL337&lt;=500)," RIESGO ACEPTABLE CON CONTROL ESPECIFICO",IF(AND(AL337&gt;=600,AL337&lt;=4000),"RIESGO NO ACEPTABLE")))</f>
        <v>RIESGO ACEPTABLE</v>
      </c>
      <c r="AN337" s="31"/>
      <c r="AO337" s="31"/>
      <c r="AP337" s="31"/>
      <c r="AQ337" s="31" t="s">
        <v>1205</v>
      </c>
      <c r="AR337" s="31"/>
      <c r="AS337" s="31" t="s">
        <v>1206</v>
      </c>
    </row>
    <row r="338" spans="1:45" ht="129" customHeight="1" x14ac:dyDescent="0.25">
      <c r="A338" s="126"/>
      <c r="B338" s="129"/>
      <c r="C338" s="132"/>
      <c r="D338" s="135"/>
      <c r="E338" s="31" t="s">
        <v>87</v>
      </c>
      <c r="F338" s="31" t="s">
        <v>1207</v>
      </c>
      <c r="G338" s="31" t="s">
        <v>1207</v>
      </c>
      <c r="H338" s="31" t="s">
        <v>1121</v>
      </c>
      <c r="I338" s="31" t="s">
        <v>1254</v>
      </c>
      <c r="J338" s="31" t="s">
        <v>1123</v>
      </c>
      <c r="K338" s="31" t="s">
        <v>1124</v>
      </c>
      <c r="L338" s="68" t="s">
        <v>327</v>
      </c>
      <c r="M338" s="73" t="s">
        <v>84</v>
      </c>
      <c r="N338" s="73" t="s">
        <v>84</v>
      </c>
      <c r="O338" s="73" t="s">
        <v>1125</v>
      </c>
      <c r="P338" s="70">
        <v>2</v>
      </c>
      <c r="Q338" s="41">
        <v>4</v>
      </c>
      <c r="R338" s="33">
        <f t="shared" si="58"/>
        <v>8</v>
      </c>
      <c r="S338" s="33" t="str">
        <f t="shared" si="59"/>
        <v>MEDIO</v>
      </c>
      <c r="T338" s="33">
        <v>10</v>
      </c>
      <c r="U338" s="75">
        <f t="shared" si="60"/>
        <v>80</v>
      </c>
      <c r="V338" s="33" t="str">
        <f t="shared" si="43"/>
        <v>lll</v>
      </c>
      <c r="W338" s="74" t="str">
        <f t="shared" si="61"/>
        <v>SI</v>
      </c>
      <c r="X338" s="31">
        <v>2</v>
      </c>
      <c r="Y338" s="31" t="s">
        <v>133</v>
      </c>
      <c r="Z338" s="33" t="s">
        <v>87</v>
      </c>
      <c r="AA338" s="31"/>
      <c r="AB338" s="31"/>
      <c r="AC338" s="31" t="s">
        <v>1126</v>
      </c>
      <c r="AD338" s="31" t="s">
        <v>1127</v>
      </c>
      <c r="AE338" s="31"/>
      <c r="AF338" s="34" t="s">
        <v>146</v>
      </c>
      <c r="AG338" s="41">
        <v>0</v>
      </c>
      <c r="AH338" s="41">
        <v>4</v>
      </c>
      <c r="AI338" s="33">
        <f t="shared" si="62"/>
        <v>0</v>
      </c>
      <c r="AJ338" s="33" t="str">
        <f t="shared" si="63"/>
        <v>BAJO</v>
      </c>
      <c r="AK338" s="33">
        <v>10</v>
      </c>
      <c r="AL338" s="33">
        <f t="shared" si="64"/>
        <v>0</v>
      </c>
      <c r="AM338" s="33" t="str">
        <f t="shared" si="65"/>
        <v>RIESGO ACEPTABLE</v>
      </c>
      <c r="AN338" s="31" t="s">
        <v>1128</v>
      </c>
      <c r="AO338" s="31"/>
      <c r="AP338" s="31"/>
      <c r="AQ338" s="31" t="s">
        <v>1129</v>
      </c>
      <c r="AR338" s="31"/>
      <c r="AS338" s="31" t="s">
        <v>1130</v>
      </c>
    </row>
    <row r="339" spans="1:45" ht="129" customHeight="1" x14ac:dyDescent="0.25">
      <c r="A339" s="127"/>
      <c r="B339" s="130"/>
      <c r="C339" s="133"/>
      <c r="D339" s="136"/>
      <c r="E339" s="31" t="s">
        <v>87</v>
      </c>
      <c r="F339" s="31" t="s">
        <v>1207</v>
      </c>
      <c r="G339" s="31" t="s">
        <v>1207</v>
      </c>
      <c r="H339" s="34" t="s">
        <v>205</v>
      </c>
      <c r="I339" s="34" t="s">
        <v>1242</v>
      </c>
      <c r="J339" s="47" t="s">
        <v>268</v>
      </c>
      <c r="K339" s="32" t="s">
        <v>104</v>
      </c>
      <c r="L339" s="68" t="s">
        <v>207</v>
      </c>
      <c r="M339" s="73" t="s">
        <v>84</v>
      </c>
      <c r="N339" s="73" t="s">
        <v>106</v>
      </c>
      <c r="O339" s="73" t="s">
        <v>132</v>
      </c>
      <c r="P339" s="70">
        <v>6</v>
      </c>
      <c r="Q339" s="41">
        <v>3</v>
      </c>
      <c r="R339" s="33">
        <f t="shared" si="58"/>
        <v>18</v>
      </c>
      <c r="S339" s="105" t="str">
        <f t="shared" si="59"/>
        <v>ALTO</v>
      </c>
      <c r="T339" s="33">
        <v>10</v>
      </c>
      <c r="U339" s="75">
        <f t="shared" si="60"/>
        <v>180</v>
      </c>
      <c r="V339" s="33" t="str">
        <f t="shared" si="43"/>
        <v>ll</v>
      </c>
      <c r="W339" s="74" t="str">
        <f t="shared" si="61"/>
        <v>NO</v>
      </c>
      <c r="X339" s="33">
        <v>2</v>
      </c>
      <c r="Y339" s="31" t="s">
        <v>209</v>
      </c>
      <c r="Z339" s="33" t="s">
        <v>87</v>
      </c>
      <c r="AA339" s="45"/>
      <c r="AB339" s="33"/>
      <c r="AC339" s="34"/>
      <c r="AD339" s="34" t="s">
        <v>210</v>
      </c>
      <c r="AE339" s="34" t="s">
        <v>93</v>
      </c>
      <c r="AF339" s="34"/>
      <c r="AG339" s="41">
        <v>2</v>
      </c>
      <c r="AH339" s="41">
        <v>3</v>
      </c>
      <c r="AI339" s="33">
        <f>AG339*AH339</f>
        <v>6</v>
      </c>
      <c r="AJ339" s="33" t="str">
        <f t="shared" si="63"/>
        <v>MEDIO</v>
      </c>
      <c r="AK339" s="33">
        <v>10</v>
      </c>
      <c r="AL339" s="33">
        <f t="shared" si="64"/>
        <v>60</v>
      </c>
      <c r="AM339" s="33" t="str">
        <f t="shared" si="65"/>
        <v>RIESGO ACEPTABLE</v>
      </c>
      <c r="AN339" s="34"/>
      <c r="AO339" s="34"/>
      <c r="AP339" s="34" t="s">
        <v>211</v>
      </c>
      <c r="AQ339" s="34" t="s">
        <v>269</v>
      </c>
      <c r="AR339" s="34" t="s">
        <v>212</v>
      </c>
      <c r="AS339" s="61" t="s">
        <v>113</v>
      </c>
    </row>
    <row r="340" spans="1:45" ht="38.4" x14ac:dyDescent="0.25">
      <c r="A340" s="119" t="s">
        <v>1174</v>
      </c>
      <c r="B340" s="120" t="s">
        <v>1175</v>
      </c>
      <c r="C340" s="121" t="s">
        <v>1176</v>
      </c>
      <c r="D340" s="122" t="s">
        <v>1177</v>
      </c>
      <c r="E340" s="31" t="s">
        <v>1118</v>
      </c>
      <c r="F340" s="138" t="s">
        <v>1178</v>
      </c>
      <c r="G340" s="138" t="s">
        <v>1179</v>
      </c>
      <c r="H340" s="31" t="s">
        <v>1121</v>
      </c>
      <c r="I340" s="31" t="s">
        <v>1254</v>
      </c>
      <c r="J340" s="31" t="s">
        <v>1123</v>
      </c>
      <c r="K340" s="31" t="s">
        <v>1124</v>
      </c>
      <c r="L340" s="68" t="s">
        <v>327</v>
      </c>
      <c r="M340" s="73" t="s">
        <v>84</v>
      </c>
      <c r="N340" s="73" t="s">
        <v>84</v>
      </c>
      <c r="O340" s="73" t="s">
        <v>1125</v>
      </c>
      <c r="P340" s="70">
        <v>2</v>
      </c>
      <c r="Q340" s="41">
        <v>4</v>
      </c>
      <c r="R340" s="33">
        <f t="shared" si="49"/>
        <v>8</v>
      </c>
      <c r="S340" s="33" t="str">
        <f t="shared" si="54"/>
        <v>MEDIO</v>
      </c>
      <c r="T340" s="33">
        <v>10</v>
      </c>
      <c r="U340" s="75">
        <f t="shared" si="55"/>
        <v>80</v>
      </c>
      <c r="V340" s="33" t="str">
        <f t="shared" si="43"/>
        <v>lll</v>
      </c>
      <c r="W340" s="74" t="str">
        <f t="shared" si="56"/>
        <v>SI</v>
      </c>
      <c r="X340" s="31">
        <v>5</v>
      </c>
      <c r="Y340" s="31" t="s">
        <v>133</v>
      </c>
      <c r="Z340" s="33" t="s">
        <v>87</v>
      </c>
      <c r="AA340" s="31"/>
      <c r="AB340" s="31"/>
      <c r="AC340" s="31" t="s">
        <v>1126</v>
      </c>
      <c r="AD340" s="31" t="s">
        <v>1127</v>
      </c>
      <c r="AE340" s="31"/>
      <c r="AF340" s="34" t="s">
        <v>146</v>
      </c>
      <c r="AG340" s="41">
        <v>0</v>
      </c>
      <c r="AH340" s="41">
        <v>4</v>
      </c>
      <c r="AI340" s="33">
        <f t="shared" si="50"/>
        <v>0</v>
      </c>
      <c r="AJ340" s="33" t="str">
        <f t="shared" si="51"/>
        <v>BAJO</v>
      </c>
      <c r="AK340" s="33">
        <v>10</v>
      </c>
      <c r="AL340" s="33">
        <f t="shared" si="53"/>
        <v>0</v>
      </c>
      <c r="AM340" s="33" t="str">
        <f t="shared" si="57"/>
        <v>RIESGO ACEPTABLE</v>
      </c>
      <c r="AN340" s="31" t="s">
        <v>1128</v>
      </c>
      <c r="AO340" s="31"/>
      <c r="AP340" s="31"/>
      <c r="AQ340" s="31" t="s">
        <v>1129</v>
      </c>
      <c r="AR340" s="31"/>
      <c r="AS340" s="31" t="s">
        <v>1130</v>
      </c>
    </row>
    <row r="341" spans="1:45" ht="38.4" x14ac:dyDescent="0.25">
      <c r="A341" s="119"/>
      <c r="B341" s="120"/>
      <c r="C341" s="121"/>
      <c r="D341" s="122"/>
      <c r="E341" s="31" t="s">
        <v>98</v>
      </c>
      <c r="F341" s="138"/>
      <c r="G341" s="138"/>
      <c r="H341" s="31" t="s">
        <v>1131</v>
      </c>
      <c r="I341" s="32" t="s">
        <v>1240</v>
      </c>
      <c r="J341" s="32" t="s">
        <v>130</v>
      </c>
      <c r="K341" s="32" t="s">
        <v>104</v>
      </c>
      <c r="L341" s="68" t="s">
        <v>131</v>
      </c>
      <c r="M341" s="73" t="s">
        <v>84</v>
      </c>
      <c r="N341" s="73" t="s">
        <v>84</v>
      </c>
      <c r="O341" s="73" t="s">
        <v>132</v>
      </c>
      <c r="P341" s="70">
        <v>2</v>
      </c>
      <c r="Q341" s="41">
        <v>3</v>
      </c>
      <c r="R341" s="33">
        <f t="shared" si="49"/>
        <v>6</v>
      </c>
      <c r="S341" s="33" t="str">
        <f t="shared" si="54"/>
        <v>MEDIO</v>
      </c>
      <c r="T341" s="33">
        <v>10</v>
      </c>
      <c r="U341" s="75">
        <f t="shared" si="55"/>
        <v>60</v>
      </c>
      <c r="V341" s="33" t="str">
        <f t="shared" si="43"/>
        <v>lll</v>
      </c>
      <c r="W341" s="74" t="str">
        <f t="shared" si="56"/>
        <v>SI</v>
      </c>
      <c r="X341" s="31">
        <v>5</v>
      </c>
      <c r="Y341" s="31" t="s">
        <v>133</v>
      </c>
      <c r="Z341" s="33" t="s">
        <v>87</v>
      </c>
      <c r="AA341" s="31"/>
      <c r="AB341" s="31"/>
      <c r="AC341" s="31"/>
      <c r="AD341" s="31" t="s">
        <v>134</v>
      </c>
      <c r="AE341" s="31"/>
      <c r="AF341" s="34" t="s">
        <v>135</v>
      </c>
      <c r="AG341" s="41">
        <v>2</v>
      </c>
      <c r="AH341" s="41">
        <v>3</v>
      </c>
      <c r="AI341" s="33">
        <f t="shared" si="50"/>
        <v>6</v>
      </c>
      <c r="AJ341" s="33" t="str">
        <f t="shared" si="51"/>
        <v>MEDIO</v>
      </c>
      <c r="AK341" s="33">
        <v>10</v>
      </c>
      <c r="AL341" s="33">
        <f t="shared" si="53"/>
        <v>60</v>
      </c>
      <c r="AM341" s="33" t="str">
        <f t="shared" si="57"/>
        <v>RIESGO ACEPTABLE</v>
      </c>
      <c r="AN341" s="31"/>
      <c r="AO341" s="31"/>
      <c r="AP341" s="31"/>
      <c r="AQ341" s="31" t="s">
        <v>136</v>
      </c>
      <c r="AR341" s="31" t="s">
        <v>93</v>
      </c>
      <c r="AS341" s="31" t="s">
        <v>137</v>
      </c>
    </row>
    <row r="342" spans="1:45" ht="112.8" customHeight="1" x14ac:dyDescent="0.25">
      <c r="A342" s="119"/>
      <c r="B342" s="120"/>
      <c r="C342" s="121"/>
      <c r="D342" s="122"/>
      <c r="E342" s="31" t="s">
        <v>98</v>
      </c>
      <c r="F342" s="138"/>
      <c r="G342" s="138"/>
      <c r="H342" s="31" t="s">
        <v>79</v>
      </c>
      <c r="I342" s="31" t="s">
        <v>1248</v>
      </c>
      <c r="J342" s="31" t="s">
        <v>81</v>
      </c>
      <c r="K342" s="31" t="s">
        <v>82</v>
      </c>
      <c r="L342" s="68" t="s">
        <v>83</v>
      </c>
      <c r="M342" s="73" t="s">
        <v>84</v>
      </c>
      <c r="N342" s="73" t="s">
        <v>84</v>
      </c>
      <c r="O342" s="7" t="s">
        <v>85</v>
      </c>
      <c r="P342" s="70">
        <v>2</v>
      </c>
      <c r="Q342" s="41">
        <v>2</v>
      </c>
      <c r="R342" s="33">
        <f t="shared" si="49"/>
        <v>4</v>
      </c>
      <c r="S342" s="33" t="str">
        <f t="shared" si="54"/>
        <v>BAJO</v>
      </c>
      <c r="T342" s="33">
        <v>10</v>
      </c>
      <c r="U342" s="75">
        <f t="shared" si="55"/>
        <v>40</v>
      </c>
      <c r="V342" s="33" t="str">
        <f t="shared" si="43"/>
        <v>lll</v>
      </c>
      <c r="W342" s="13" t="str">
        <f t="shared" si="56"/>
        <v>SI</v>
      </c>
      <c r="X342" s="72">
        <v>5</v>
      </c>
      <c r="Y342" s="31" t="s">
        <v>86</v>
      </c>
      <c r="Z342" s="33" t="s">
        <v>87</v>
      </c>
      <c r="AA342" s="31"/>
      <c r="AB342" s="31"/>
      <c r="AC342" s="31"/>
      <c r="AD342" s="31"/>
      <c r="AE342" s="31" t="s">
        <v>88</v>
      </c>
      <c r="AF342" s="34" t="s">
        <v>89</v>
      </c>
      <c r="AG342" s="41">
        <v>2</v>
      </c>
      <c r="AH342" s="41">
        <v>2</v>
      </c>
      <c r="AI342" s="33">
        <f t="shared" si="50"/>
        <v>4</v>
      </c>
      <c r="AJ342" s="33" t="str">
        <f t="shared" si="51"/>
        <v>BAJO</v>
      </c>
      <c r="AK342" s="33">
        <v>10</v>
      </c>
      <c r="AL342" s="33">
        <f t="shared" si="53"/>
        <v>40</v>
      </c>
      <c r="AM342" s="33" t="str">
        <f t="shared" si="57"/>
        <v>RIESGO ACEPTABLE</v>
      </c>
      <c r="AN342" s="31"/>
      <c r="AO342" s="31"/>
      <c r="AP342" s="31"/>
      <c r="AQ342" s="31"/>
      <c r="AR342" s="31" t="s">
        <v>93</v>
      </c>
      <c r="AS342" s="31" t="s">
        <v>94</v>
      </c>
    </row>
    <row r="343" spans="1:45" ht="38.4" x14ac:dyDescent="0.25">
      <c r="A343" s="119" t="s">
        <v>1180</v>
      </c>
      <c r="B343" s="120" t="s">
        <v>1175</v>
      </c>
      <c r="C343" s="121" t="s">
        <v>1181</v>
      </c>
      <c r="D343" s="122" t="s">
        <v>1182</v>
      </c>
      <c r="E343" s="31" t="s">
        <v>1118</v>
      </c>
      <c r="F343" s="138" t="s">
        <v>1178</v>
      </c>
      <c r="G343" s="138" t="s">
        <v>1179</v>
      </c>
      <c r="H343" s="31" t="s">
        <v>1121</v>
      </c>
      <c r="I343" s="31" t="s">
        <v>1255</v>
      </c>
      <c r="J343" s="31" t="s">
        <v>1123</v>
      </c>
      <c r="K343" s="31" t="s">
        <v>1124</v>
      </c>
      <c r="L343" s="68" t="s">
        <v>327</v>
      </c>
      <c r="M343" s="73" t="s">
        <v>84</v>
      </c>
      <c r="N343" s="73" t="s">
        <v>84</v>
      </c>
      <c r="O343" s="73" t="s">
        <v>1125</v>
      </c>
      <c r="P343" s="70">
        <v>2</v>
      </c>
      <c r="Q343" s="41">
        <v>4</v>
      </c>
      <c r="R343" s="33">
        <f t="shared" ref="R343:R344" si="66">P343*Q343</f>
        <v>8</v>
      </c>
      <c r="S343" s="33" t="str">
        <f t="shared" ref="S343:S344" si="67">IF(AND(R343&gt;=0,R343&lt;=4),"BAJO",IF(AND(R343&gt;=6,R343&lt;=8),"MEDIO",IF(AND(R343&gt;=10,R343&lt;=20),"ALTO",IF(AND(R343&gt;=24,R343&lt;=40),"MUY ALTO"))))</f>
        <v>MEDIO</v>
      </c>
      <c r="T343" s="33">
        <v>10</v>
      </c>
      <c r="U343" s="75">
        <f t="shared" ref="U343:U344" si="68">R343*T343</f>
        <v>80</v>
      </c>
      <c r="V343" s="33" t="str">
        <f t="shared" ref="V343:V344" si="69">IF(AND(U343&gt;=0,U343&lt;=20),"IV ",IF(AND(U343&gt;=40,U343&lt;=120),"lll",IF(AND(U343&gt;=150,U343&lt;=500),"ll",IF(AND(U343&gt;=600,U343&lt;=4000),"l"))))</f>
        <v>lll</v>
      </c>
      <c r="W343" s="74" t="str">
        <f t="shared" ref="W343:W344" si="70">IF(AND(V343="lV"),"SI",IF(AND(V343="lll"),"SI",IF(AND(V343="ll"),"NO",IF(AND(V343="l"),"NO"))))</f>
        <v>SI</v>
      </c>
      <c r="X343" s="31">
        <v>5</v>
      </c>
      <c r="Y343" s="31" t="s">
        <v>133</v>
      </c>
      <c r="Z343" s="33" t="s">
        <v>87</v>
      </c>
      <c r="AA343" s="31"/>
      <c r="AB343" s="31"/>
      <c r="AC343" s="31" t="s">
        <v>1126</v>
      </c>
      <c r="AD343" s="31" t="s">
        <v>1127</v>
      </c>
      <c r="AE343" s="31"/>
      <c r="AF343" s="34" t="s">
        <v>146</v>
      </c>
      <c r="AG343" s="41">
        <v>0</v>
      </c>
      <c r="AH343" s="41">
        <v>4</v>
      </c>
      <c r="AI343" s="33">
        <f t="shared" ref="AI343:AI344" si="71">AG343*AH343</f>
        <v>0</v>
      </c>
      <c r="AJ343" s="33" t="str">
        <f t="shared" ref="AJ343:AJ344" si="72">IF(AND(AI343&gt;=0,AI343&lt;=4),"BAJO",IF(AND(AI343&gt;=6,AI343&lt;=8),"MEDIO",IF(AND(AI343&gt;=10,AI343&lt;=20),"ALTO",IF(AND(AI343&gt;=24,AI343&lt;=40),"MUY ALTO"))))</f>
        <v>BAJO</v>
      </c>
      <c r="AK343" s="33">
        <v>10</v>
      </c>
      <c r="AL343" s="33">
        <f t="shared" ref="AL343:AL344" si="73">AI343*AK343</f>
        <v>0</v>
      </c>
      <c r="AM343" s="33" t="str">
        <f t="shared" si="57"/>
        <v>RIESGO ACEPTABLE</v>
      </c>
      <c r="AN343" s="31" t="s">
        <v>1128</v>
      </c>
      <c r="AO343" s="31"/>
      <c r="AP343" s="31"/>
      <c r="AQ343" s="31" t="s">
        <v>1129</v>
      </c>
      <c r="AR343" s="31"/>
      <c r="AS343" s="31" t="s">
        <v>1130</v>
      </c>
    </row>
    <row r="344" spans="1:45" ht="122.4" customHeight="1" x14ac:dyDescent="0.25">
      <c r="A344" s="119"/>
      <c r="B344" s="120"/>
      <c r="C344" s="121"/>
      <c r="D344" s="122"/>
      <c r="E344" s="31" t="s">
        <v>98</v>
      </c>
      <c r="F344" s="138"/>
      <c r="G344" s="138"/>
      <c r="H344" s="31" t="s">
        <v>1131</v>
      </c>
      <c r="I344" s="32" t="s">
        <v>1235</v>
      </c>
      <c r="J344" s="32" t="s">
        <v>130</v>
      </c>
      <c r="K344" s="32" t="s">
        <v>104</v>
      </c>
      <c r="L344" s="68" t="s">
        <v>131</v>
      </c>
      <c r="M344" s="73" t="s">
        <v>84</v>
      </c>
      <c r="N344" s="73" t="s">
        <v>84</v>
      </c>
      <c r="O344" s="73" t="s">
        <v>132</v>
      </c>
      <c r="P344" s="70">
        <v>2</v>
      </c>
      <c r="Q344" s="41">
        <v>3</v>
      </c>
      <c r="R344" s="33">
        <f t="shared" si="66"/>
        <v>6</v>
      </c>
      <c r="S344" s="33" t="str">
        <f t="shared" si="67"/>
        <v>MEDIO</v>
      </c>
      <c r="T344" s="33">
        <v>10</v>
      </c>
      <c r="U344" s="75">
        <f t="shared" si="68"/>
        <v>60</v>
      </c>
      <c r="V344" s="33" t="str">
        <f t="shared" si="69"/>
        <v>lll</v>
      </c>
      <c r="W344" s="13" t="str">
        <f t="shared" si="70"/>
        <v>SI</v>
      </c>
      <c r="X344" s="72">
        <v>5</v>
      </c>
      <c r="Y344" s="31" t="s">
        <v>133</v>
      </c>
      <c r="Z344" s="33" t="s">
        <v>87</v>
      </c>
      <c r="AA344" s="31"/>
      <c r="AB344" s="31"/>
      <c r="AC344" s="31"/>
      <c r="AD344" s="31" t="s">
        <v>134</v>
      </c>
      <c r="AE344" s="31"/>
      <c r="AF344" s="34" t="s">
        <v>135</v>
      </c>
      <c r="AG344" s="41">
        <v>2</v>
      </c>
      <c r="AH344" s="41">
        <v>3</v>
      </c>
      <c r="AI344" s="33">
        <f t="shared" si="71"/>
        <v>6</v>
      </c>
      <c r="AJ344" s="33" t="str">
        <f t="shared" si="72"/>
        <v>MEDIO</v>
      </c>
      <c r="AK344" s="33">
        <v>10</v>
      </c>
      <c r="AL344" s="33">
        <f t="shared" si="73"/>
        <v>60</v>
      </c>
      <c r="AM344" s="33" t="str">
        <f t="shared" si="57"/>
        <v>RIESGO ACEPTABLE</v>
      </c>
      <c r="AN344" s="31"/>
      <c r="AO344" s="31"/>
      <c r="AP344" s="31"/>
      <c r="AQ344" s="31" t="s">
        <v>136</v>
      </c>
      <c r="AR344" s="31" t="s">
        <v>93</v>
      </c>
      <c r="AS344" s="31" t="s">
        <v>137</v>
      </c>
    </row>
    <row r="345" spans="1:45" ht="21" x14ac:dyDescent="0.25">
      <c r="A345" s="29"/>
      <c r="B345" s="17"/>
      <c r="C345" s="4"/>
      <c r="D345" s="21"/>
    </row>
    <row r="346" spans="1:45" ht="21" x14ac:dyDescent="0.25">
      <c r="A346" s="29"/>
      <c r="B346" s="17"/>
      <c r="C346" s="4"/>
      <c r="D346" s="21"/>
    </row>
    <row r="347" spans="1:45" ht="21" x14ac:dyDescent="0.25">
      <c r="A347" s="29"/>
      <c r="B347" s="17"/>
      <c r="C347" s="4"/>
      <c r="D347" s="21"/>
    </row>
    <row r="348" spans="1:45" ht="21" x14ac:dyDescent="0.25">
      <c r="A348" s="29"/>
      <c r="B348" s="17"/>
      <c r="C348" s="4"/>
      <c r="D348" s="21"/>
    </row>
    <row r="349" spans="1:45" ht="21" x14ac:dyDescent="0.25">
      <c r="A349" s="17"/>
      <c r="B349" s="17"/>
      <c r="C349" s="4"/>
      <c r="D349" s="21"/>
    </row>
    <row r="350" spans="1:45" ht="21" x14ac:dyDescent="0.25">
      <c r="A350" s="17"/>
      <c r="B350" s="17"/>
      <c r="C350" s="4"/>
      <c r="D350" s="21"/>
    </row>
    <row r="351" spans="1:45" ht="21" x14ac:dyDescent="0.25">
      <c r="A351" s="17"/>
      <c r="B351" s="17"/>
      <c r="C351" s="4"/>
      <c r="D351" s="21"/>
    </row>
    <row r="352" spans="1:45" ht="21" x14ac:dyDescent="0.25">
      <c r="A352" s="17"/>
      <c r="B352" s="17"/>
      <c r="C352" s="4"/>
      <c r="D352" s="21"/>
    </row>
    <row r="353" spans="1:4" ht="21" x14ac:dyDescent="0.25">
      <c r="A353" s="17"/>
      <c r="B353" s="17"/>
      <c r="C353" s="4"/>
      <c r="D353" s="21"/>
    </row>
    <row r="354" spans="1:4" ht="21" x14ac:dyDescent="0.25">
      <c r="A354" s="17"/>
      <c r="B354" s="17"/>
      <c r="C354" s="4"/>
      <c r="D354" s="21"/>
    </row>
    <row r="355" spans="1:4" ht="21" x14ac:dyDescent="0.25">
      <c r="A355" s="17"/>
      <c r="B355" s="17"/>
      <c r="C355" s="4"/>
      <c r="D355" s="21"/>
    </row>
    <row r="356" spans="1:4" ht="21" x14ac:dyDescent="0.25">
      <c r="A356" s="17"/>
      <c r="B356" s="17"/>
      <c r="C356" s="4"/>
      <c r="D356" s="21"/>
    </row>
    <row r="357" spans="1:4" ht="21" x14ac:dyDescent="0.25">
      <c r="A357" s="17"/>
      <c r="B357" s="17"/>
      <c r="C357" s="4"/>
      <c r="D357" s="21"/>
    </row>
    <row r="358" spans="1:4" ht="21" x14ac:dyDescent="0.25">
      <c r="A358" s="17"/>
      <c r="B358" s="17"/>
      <c r="C358" s="4"/>
      <c r="D358" s="21"/>
    </row>
    <row r="359" spans="1:4" ht="21" x14ac:dyDescent="0.25">
      <c r="A359" s="17"/>
      <c r="B359" s="17"/>
      <c r="C359" s="4"/>
      <c r="D359" s="21"/>
    </row>
    <row r="360" spans="1:4" ht="21" x14ac:dyDescent="0.25">
      <c r="A360" s="17"/>
      <c r="B360" s="17"/>
      <c r="C360" s="4"/>
      <c r="D360" s="21"/>
    </row>
    <row r="361" spans="1:4" ht="21" x14ac:dyDescent="0.25">
      <c r="A361" s="17"/>
      <c r="B361" s="17"/>
      <c r="C361" s="4"/>
      <c r="D361" s="21"/>
    </row>
    <row r="362" spans="1:4" ht="21" x14ac:dyDescent="0.25">
      <c r="A362" s="17"/>
      <c r="B362" s="17"/>
      <c r="C362" s="4"/>
      <c r="D362" s="21"/>
    </row>
    <row r="363" spans="1:4" ht="21" x14ac:dyDescent="0.25">
      <c r="A363" s="17"/>
      <c r="B363" s="17"/>
      <c r="C363" s="4"/>
      <c r="D363" s="21"/>
    </row>
    <row r="364" spans="1:4" ht="21" x14ac:dyDescent="0.25">
      <c r="A364" s="17"/>
      <c r="B364" s="17"/>
      <c r="C364" s="4"/>
      <c r="D364" s="21"/>
    </row>
    <row r="365" spans="1:4" ht="21" x14ac:dyDescent="0.25">
      <c r="A365" s="17"/>
      <c r="B365" s="17"/>
      <c r="C365" s="4"/>
      <c r="D365" s="21"/>
    </row>
    <row r="366" spans="1:4" ht="21" x14ac:dyDescent="0.25">
      <c r="A366" s="17"/>
      <c r="B366" s="17"/>
      <c r="C366" s="4"/>
      <c r="D366" s="21"/>
    </row>
    <row r="367" spans="1:4" ht="21" x14ac:dyDescent="0.25">
      <c r="A367" s="17"/>
      <c r="B367" s="17"/>
      <c r="C367" s="4"/>
      <c r="D367" s="21"/>
    </row>
    <row r="368" spans="1:4" ht="21" x14ac:dyDescent="0.25">
      <c r="A368" s="17"/>
      <c r="B368" s="17"/>
      <c r="C368" s="4"/>
      <c r="D368" s="21"/>
    </row>
    <row r="369" spans="1:4" ht="21" x14ac:dyDescent="0.25">
      <c r="A369" s="17"/>
      <c r="B369" s="17"/>
      <c r="C369" s="4"/>
      <c r="D369" s="21"/>
    </row>
    <row r="370" spans="1:4" ht="21" x14ac:dyDescent="0.25">
      <c r="A370" s="17"/>
      <c r="B370" s="17"/>
      <c r="C370" s="4"/>
      <c r="D370" s="21"/>
    </row>
    <row r="371" spans="1:4" ht="21" x14ac:dyDescent="0.25">
      <c r="A371" s="17"/>
      <c r="B371" s="17"/>
      <c r="C371" s="4"/>
      <c r="D371" s="21"/>
    </row>
    <row r="372" spans="1:4" ht="21" x14ac:dyDescent="0.25">
      <c r="A372" s="17"/>
      <c r="B372" s="17"/>
      <c r="C372" s="4"/>
      <c r="D372" s="21"/>
    </row>
    <row r="373" spans="1:4" ht="21" x14ac:dyDescent="0.25">
      <c r="A373" s="17"/>
      <c r="B373" s="17"/>
      <c r="C373" s="4"/>
      <c r="D373" s="21"/>
    </row>
    <row r="374" spans="1:4" ht="21" x14ac:dyDescent="0.25">
      <c r="A374" s="17"/>
      <c r="B374" s="17"/>
      <c r="C374" s="4"/>
      <c r="D374" s="21"/>
    </row>
    <row r="375" spans="1:4" ht="21" x14ac:dyDescent="0.25">
      <c r="A375" s="17"/>
      <c r="B375" s="17"/>
      <c r="C375" s="4"/>
      <c r="D375" s="21"/>
    </row>
    <row r="376" spans="1:4" ht="21" x14ac:dyDescent="0.25">
      <c r="A376" s="17"/>
      <c r="B376" s="17"/>
      <c r="C376" s="4"/>
      <c r="D376" s="21"/>
    </row>
    <row r="377" spans="1:4" ht="21" x14ac:dyDescent="0.25">
      <c r="A377" s="17"/>
      <c r="B377" s="17"/>
      <c r="C377" s="4"/>
      <c r="D377" s="21"/>
    </row>
    <row r="378" spans="1:4" ht="21" x14ac:dyDescent="0.25">
      <c r="A378" s="17"/>
      <c r="B378" s="17"/>
      <c r="C378" s="4"/>
      <c r="D378" s="21"/>
    </row>
    <row r="379" spans="1:4" ht="21" x14ac:dyDescent="0.25">
      <c r="A379" s="17"/>
      <c r="B379" s="17"/>
      <c r="C379" s="4"/>
      <c r="D379" s="21"/>
    </row>
    <row r="380" spans="1:4" ht="21" x14ac:dyDescent="0.25">
      <c r="A380" s="17"/>
      <c r="B380" s="17"/>
      <c r="C380" s="4"/>
      <c r="D380" s="21"/>
    </row>
    <row r="381" spans="1:4" ht="21" x14ac:dyDescent="0.25">
      <c r="A381" s="17"/>
      <c r="B381" s="17"/>
      <c r="C381" s="4"/>
      <c r="D381" s="21"/>
    </row>
    <row r="382" spans="1:4" ht="21" x14ac:dyDescent="0.25">
      <c r="A382" s="17"/>
      <c r="B382" s="17"/>
      <c r="C382" s="4"/>
      <c r="D382" s="21"/>
    </row>
    <row r="383" spans="1:4" ht="21" x14ac:dyDescent="0.25">
      <c r="A383" s="17"/>
      <c r="B383" s="17"/>
      <c r="C383" s="4"/>
      <c r="D383" s="21"/>
    </row>
    <row r="384" spans="1:4" ht="21" x14ac:dyDescent="0.25">
      <c r="A384" s="17"/>
      <c r="B384" s="17"/>
      <c r="C384" s="4"/>
      <c r="D384" s="21"/>
    </row>
    <row r="385" spans="1:4" ht="21" x14ac:dyDescent="0.25">
      <c r="A385" s="17"/>
      <c r="B385" s="17"/>
      <c r="C385" s="4"/>
      <c r="D385" s="21"/>
    </row>
    <row r="386" spans="1:4" ht="21" x14ac:dyDescent="0.25">
      <c r="A386" s="17"/>
      <c r="B386" s="17"/>
      <c r="C386" s="4"/>
      <c r="D386" s="21"/>
    </row>
    <row r="387" spans="1:4" ht="21" x14ac:dyDescent="0.25">
      <c r="A387" s="17"/>
      <c r="B387" s="17"/>
      <c r="C387" s="4"/>
      <c r="D387" s="21"/>
    </row>
    <row r="388" spans="1:4" ht="21" x14ac:dyDescent="0.25">
      <c r="A388" s="17"/>
      <c r="B388" s="17"/>
      <c r="C388" s="4"/>
      <c r="D388" s="21"/>
    </row>
    <row r="389" spans="1:4" ht="21" x14ac:dyDescent="0.25">
      <c r="A389" s="17"/>
      <c r="B389" s="17"/>
      <c r="C389" s="4"/>
      <c r="D389" s="21"/>
    </row>
    <row r="390" spans="1:4" ht="21" x14ac:dyDescent="0.25">
      <c r="A390" s="17"/>
      <c r="B390" s="17"/>
      <c r="C390" s="4"/>
      <c r="D390" s="21"/>
    </row>
    <row r="391" spans="1:4" ht="21" x14ac:dyDescent="0.25">
      <c r="A391" s="17"/>
      <c r="B391" s="17"/>
      <c r="C391" s="4"/>
      <c r="D391" s="21"/>
    </row>
    <row r="392" spans="1:4" ht="21" x14ac:dyDescent="0.25">
      <c r="A392" s="17"/>
      <c r="B392" s="17"/>
      <c r="C392" s="4"/>
      <c r="D392" s="21"/>
    </row>
    <row r="393" spans="1:4" ht="21" x14ac:dyDescent="0.25">
      <c r="A393" s="17"/>
      <c r="B393" s="17"/>
      <c r="C393" s="4"/>
      <c r="D393" s="21"/>
    </row>
    <row r="394" spans="1:4" ht="21" x14ac:dyDescent="0.25">
      <c r="A394" s="17"/>
      <c r="B394" s="17"/>
      <c r="C394" s="4"/>
      <c r="D394" s="21"/>
    </row>
    <row r="395" spans="1:4" ht="21" x14ac:dyDescent="0.25">
      <c r="A395" s="17"/>
      <c r="B395" s="17"/>
      <c r="C395" s="4"/>
      <c r="D395" s="21"/>
    </row>
    <row r="396" spans="1:4" ht="21" x14ac:dyDescent="0.25">
      <c r="A396" s="17"/>
      <c r="B396" s="17"/>
      <c r="C396" s="4"/>
      <c r="D396" s="21"/>
    </row>
    <row r="397" spans="1:4" ht="21" x14ac:dyDescent="0.25">
      <c r="A397" s="17"/>
      <c r="B397" s="17"/>
      <c r="C397" s="4"/>
      <c r="D397" s="21"/>
    </row>
    <row r="398" spans="1:4" ht="21" x14ac:dyDescent="0.25">
      <c r="A398" s="17"/>
      <c r="B398" s="17"/>
      <c r="C398" s="4"/>
      <c r="D398" s="21"/>
    </row>
    <row r="399" spans="1:4" ht="21" x14ac:dyDescent="0.25">
      <c r="A399" s="17"/>
      <c r="B399" s="17"/>
      <c r="C399" s="4"/>
      <c r="D399" s="21"/>
    </row>
    <row r="400" spans="1:4" ht="21" x14ac:dyDescent="0.25">
      <c r="A400" s="17"/>
      <c r="B400" s="17"/>
      <c r="C400" s="4"/>
      <c r="D400" s="21"/>
    </row>
    <row r="401" spans="1:4" ht="21" x14ac:dyDescent="0.25">
      <c r="A401" s="17"/>
      <c r="B401" s="17"/>
      <c r="C401" s="4"/>
      <c r="D401" s="21"/>
    </row>
    <row r="402" spans="1:4" ht="21" x14ac:dyDescent="0.25">
      <c r="A402" s="17"/>
      <c r="B402" s="17"/>
      <c r="C402" s="4"/>
      <c r="D402" s="21"/>
    </row>
    <row r="403" spans="1:4" ht="21" x14ac:dyDescent="0.25">
      <c r="A403" s="17"/>
      <c r="B403" s="17"/>
      <c r="C403" s="4"/>
      <c r="D403" s="21"/>
    </row>
    <row r="404" spans="1:4" ht="21" x14ac:dyDescent="0.25">
      <c r="A404" s="17"/>
      <c r="B404" s="17"/>
      <c r="C404" s="4"/>
      <c r="D404" s="21"/>
    </row>
    <row r="405" spans="1:4" ht="21" x14ac:dyDescent="0.25">
      <c r="A405" s="17"/>
      <c r="B405" s="17"/>
      <c r="C405" s="4"/>
      <c r="D405" s="21"/>
    </row>
    <row r="406" spans="1:4" ht="21" x14ac:dyDescent="0.25">
      <c r="A406" s="17"/>
      <c r="B406" s="17"/>
      <c r="C406" s="4"/>
      <c r="D406" s="21"/>
    </row>
    <row r="407" spans="1:4" ht="21" x14ac:dyDescent="0.25">
      <c r="A407" s="17"/>
      <c r="B407" s="17"/>
      <c r="C407" s="4"/>
      <c r="D407" s="21"/>
    </row>
    <row r="408" spans="1:4" ht="21" x14ac:dyDescent="0.25">
      <c r="A408" s="17"/>
      <c r="B408" s="17"/>
      <c r="C408" s="4"/>
      <c r="D408" s="21"/>
    </row>
    <row r="409" spans="1:4" ht="21" x14ac:dyDescent="0.25">
      <c r="A409" s="17"/>
      <c r="B409" s="17"/>
      <c r="C409" s="4"/>
      <c r="D409" s="21"/>
    </row>
    <row r="410" spans="1:4" ht="21" x14ac:dyDescent="0.25">
      <c r="A410" s="17"/>
      <c r="B410" s="17"/>
      <c r="C410" s="4"/>
      <c r="D410" s="21"/>
    </row>
    <row r="411" spans="1:4" ht="21" x14ac:dyDescent="0.25">
      <c r="A411" s="17"/>
      <c r="B411" s="17"/>
      <c r="C411" s="4"/>
      <c r="D411" s="21"/>
    </row>
    <row r="412" spans="1:4" ht="21" x14ac:dyDescent="0.25">
      <c r="A412" s="17"/>
      <c r="B412" s="17"/>
      <c r="C412" s="4"/>
      <c r="D412" s="21"/>
    </row>
    <row r="413" spans="1:4" ht="21" x14ac:dyDescent="0.25">
      <c r="A413" s="17"/>
      <c r="B413" s="17"/>
      <c r="C413" s="4"/>
      <c r="D413" s="21"/>
    </row>
    <row r="414" spans="1:4" ht="21" x14ac:dyDescent="0.25">
      <c r="A414" s="17"/>
      <c r="B414" s="17"/>
      <c r="C414" s="4"/>
      <c r="D414" s="21"/>
    </row>
    <row r="415" spans="1:4" ht="21" x14ac:dyDescent="0.25">
      <c r="A415" s="17"/>
      <c r="B415" s="17"/>
      <c r="C415" s="4"/>
      <c r="D415" s="21"/>
    </row>
    <row r="416" spans="1:4" ht="21" x14ac:dyDescent="0.25">
      <c r="A416" s="17"/>
      <c r="B416" s="17"/>
      <c r="C416" s="4"/>
      <c r="D416" s="21"/>
    </row>
    <row r="417" spans="1:4" ht="21" x14ac:dyDescent="0.25">
      <c r="A417" s="17"/>
      <c r="B417" s="17"/>
      <c r="C417" s="4"/>
      <c r="D417" s="21"/>
    </row>
    <row r="418" spans="1:4" ht="21" x14ac:dyDescent="0.25">
      <c r="A418" s="17"/>
      <c r="B418" s="17"/>
      <c r="C418" s="4"/>
      <c r="D418" s="21"/>
    </row>
    <row r="419" spans="1:4" ht="21" x14ac:dyDescent="0.25">
      <c r="A419" s="17"/>
      <c r="B419" s="17"/>
      <c r="C419" s="4"/>
      <c r="D419" s="21"/>
    </row>
    <row r="420" spans="1:4" ht="21" x14ac:dyDescent="0.25">
      <c r="A420" s="17"/>
      <c r="B420" s="17"/>
      <c r="C420" s="4"/>
      <c r="D420" s="21"/>
    </row>
    <row r="421" spans="1:4" ht="21" x14ac:dyDescent="0.25">
      <c r="A421" s="17"/>
      <c r="B421" s="17"/>
      <c r="C421" s="4"/>
      <c r="D421" s="21"/>
    </row>
    <row r="422" spans="1:4" ht="21" x14ac:dyDescent="0.25">
      <c r="A422" s="17"/>
      <c r="B422" s="17"/>
      <c r="C422" s="4"/>
      <c r="D422" s="21"/>
    </row>
    <row r="423" spans="1:4" ht="21" x14ac:dyDescent="0.25">
      <c r="A423" s="17"/>
      <c r="B423" s="17"/>
      <c r="C423" s="4"/>
      <c r="D423" s="21"/>
    </row>
    <row r="424" spans="1:4" ht="21" x14ac:dyDescent="0.25">
      <c r="A424" s="17"/>
      <c r="B424" s="17"/>
      <c r="C424" s="4"/>
      <c r="D424" s="21"/>
    </row>
    <row r="425" spans="1:4" ht="21" x14ac:dyDescent="0.25">
      <c r="A425" s="17"/>
      <c r="B425" s="17"/>
      <c r="C425" s="4"/>
      <c r="D425" s="21"/>
    </row>
    <row r="426" spans="1:4" ht="21" x14ac:dyDescent="0.25">
      <c r="A426" s="17"/>
      <c r="B426" s="17"/>
      <c r="C426" s="4"/>
      <c r="D426" s="21"/>
    </row>
    <row r="427" spans="1:4" ht="21" x14ac:dyDescent="0.25">
      <c r="A427" s="17"/>
      <c r="B427" s="17"/>
      <c r="C427" s="4"/>
      <c r="D427" s="21"/>
    </row>
    <row r="428" spans="1:4" ht="21" x14ac:dyDescent="0.25">
      <c r="A428" s="17"/>
      <c r="B428" s="17"/>
      <c r="C428" s="4"/>
      <c r="D428" s="21"/>
    </row>
    <row r="429" spans="1:4" ht="21" x14ac:dyDescent="0.25">
      <c r="A429" s="17"/>
      <c r="B429" s="17"/>
      <c r="C429" s="4"/>
      <c r="D429" s="21"/>
    </row>
    <row r="430" spans="1:4" ht="21" x14ac:dyDescent="0.25">
      <c r="A430" s="17"/>
      <c r="B430" s="17"/>
      <c r="C430" s="4"/>
      <c r="D430" s="21"/>
    </row>
    <row r="431" spans="1:4" ht="21" x14ac:dyDescent="0.25">
      <c r="A431" s="17"/>
      <c r="B431" s="17"/>
      <c r="C431" s="4"/>
      <c r="D431" s="21"/>
    </row>
    <row r="432" spans="1:4" ht="21" x14ac:dyDescent="0.25">
      <c r="A432" s="17"/>
      <c r="B432" s="17"/>
      <c r="C432" s="4"/>
      <c r="D432" s="21"/>
    </row>
    <row r="433" spans="1:4" ht="21" x14ac:dyDescent="0.25">
      <c r="A433" s="17"/>
      <c r="B433" s="17"/>
      <c r="C433" s="4"/>
      <c r="D433" s="21"/>
    </row>
    <row r="434" spans="1:4" ht="21" x14ac:dyDescent="0.25">
      <c r="A434" s="17"/>
      <c r="B434" s="17"/>
      <c r="C434" s="4"/>
      <c r="D434" s="21"/>
    </row>
    <row r="435" spans="1:4" ht="21" x14ac:dyDescent="0.25">
      <c r="A435" s="17"/>
      <c r="B435" s="17"/>
      <c r="C435" s="4"/>
      <c r="D435" s="21"/>
    </row>
    <row r="436" spans="1:4" ht="21" x14ac:dyDescent="0.25">
      <c r="A436" s="17"/>
      <c r="B436" s="17"/>
      <c r="C436" s="4"/>
      <c r="D436" s="21"/>
    </row>
    <row r="437" spans="1:4" ht="21" x14ac:dyDescent="0.25">
      <c r="A437" s="17"/>
      <c r="B437" s="17"/>
      <c r="C437" s="4"/>
      <c r="D437" s="21"/>
    </row>
    <row r="438" spans="1:4" ht="21" x14ac:dyDescent="0.25">
      <c r="A438" s="17"/>
      <c r="B438" s="17"/>
      <c r="C438" s="4"/>
      <c r="D438" s="21"/>
    </row>
    <row r="439" spans="1:4" ht="21" x14ac:dyDescent="0.25">
      <c r="A439" s="17"/>
      <c r="B439" s="17"/>
      <c r="C439" s="4"/>
      <c r="D439" s="21"/>
    </row>
    <row r="440" spans="1:4" ht="21" x14ac:dyDescent="0.25">
      <c r="A440" s="17"/>
      <c r="B440" s="17"/>
      <c r="C440" s="4"/>
      <c r="D440" s="21"/>
    </row>
    <row r="441" spans="1:4" ht="21" x14ac:dyDescent="0.25">
      <c r="A441" s="17"/>
      <c r="B441" s="17"/>
      <c r="C441" s="4"/>
      <c r="D441" s="21"/>
    </row>
    <row r="442" spans="1:4" ht="21" x14ac:dyDescent="0.25">
      <c r="A442" s="17"/>
      <c r="B442" s="17"/>
      <c r="C442" s="4"/>
      <c r="D442" s="21"/>
    </row>
    <row r="443" spans="1:4" ht="21" x14ac:dyDescent="0.25">
      <c r="A443" s="17"/>
      <c r="B443" s="17"/>
      <c r="C443" s="4"/>
      <c r="D443" s="21"/>
    </row>
    <row r="444" spans="1:4" ht="21" x14ac:dyDescent="0.25">
      <c r="A444" s="17"/>
      <c r="B444" s="17"/>
      <c r="C444" s="4"/>
      <c r="D444" s="21"/>
    </row>
    <row r="445" spans="1:4" ht="21" x14ac:dyDescent="0.25">
      <c r="A445" s="17"/>
      <c r="B445" s="17"/>
      <c r="C445" s="4"/>
      <c r="D445" s="21"/>
    </row>
    <row r="446" spans="1:4" ht="21" x14ac:dyDescent="0.25">
      <c r="A446" s="17"/>
      <c r="B446" s="17"/>
      <c r="C446" s="4"/>
      <c r="D446" s="21"/>
    </row>
    <row r="447" spans="1:4" ht="21" x14ac:dyDescent="0.25">
      <c r="A447" s="17"/>
      <c r="B447" s="17"/>
      <c r="C447" s="4"/>
      <c r="D447" s="21"/>
    </row>
    <row r="448" spans="1:4" ht="21" x14ac:dyDescent="0.25">
      <c r="A448" s="17"/>
      <c r="B448" s="17"/>
      <c r="C448" s="4"/>
      <c r="D448" s="21"/>
    </row>
    <row r="449" spans="1:4" ht="21" x14ac:dyDescent="0.25">
      <c r="A449" s="17"/>
      <c r="B449" s="17"/>
      <c r="C449" s="4"/>
      <c r="D449" s="21"/>
    </row>
    <row r="450" spans="1:4" ht="21" x14ac:dyDescent="0.25">
      <c r="A450" s="17"/>
      <c r="B450" s="17"/>
      <c r="C450" s="4"/>
      <c r="D450" s="21"/>
    </row>
    <row r="451" spans="1:4" ht="21" x14ac:dyDescent="0.25">
      <c r="A451" s="17"/>
      <c r="B451" s="17"/>
      <c r="C451" s="4"/>
      <c r="D451" s="21"/>
    </row>
    <row r="452" spans="1:4" ht="21" x14ac:dyDescent="0.25">
      <c r="A452" s="17"/>
      <c r="B452" s="17"/>
      <c r="C452" s="4"/>
      <c r="D452" s="21"/>
    </row>
    <row r="453" spans="1:4" ht="21" x14ac:dyDescent="0.25">
      <c r="A453" s="17"/>
      <c r="B453" s="17"/>
      <c r="C453" s="4"/>
      <c r="D453" s="21"/>
    </row>
    <row r="454" spans="1:4" ht="21" x14ac:dyDescent="0.25">
      <c r="A454" s="17"/>
      <c r="B454" s="17"/>
      <c r="C454" s="4"/>
      <c r="D454" s="21"/>
    </row>
    <row r="455" spans="1:4" ht="21" x14ac:dyDescent="0.25">
      <c r="A455" s="17"/>
      <c r="B455" s="17"/>
      <c r="C455" s="4"/>
      <c r="D455" s="21"/>
    </row>
    <row r="456" spans="1:4" ht="21" x14ac:dyDescent="0.25">
      <c r="A456" s="17"/>
      <c r="B456" s="17"/>
      <c r="C456" s="4"/>
      <c r="D456" s="21"/>
    </row>
    <row r="457" spans="1:4" ht="21" x14ac:dyDescent="0.25">
      <c r="A457" s="17"/>
      <c r="B457" s="17"/>
      <c r="C457" s="4"/>
      <c r="D457" s="21"/>
    </row>
    <row r="458" spans="1:4" ht="21" x14ac:dyDescent="0.25">
      <c r="A458" s="17"/>
      <c r="B458" s="17"/>
      <c r="C458" s="4"/>
      <c r="D458" s="21"/>
    </row>
    <row r="459" spans="1:4" ht="21" x14ac:dyDescent="0.25">
      <c r="A459" s="17"/>
      <c r="B459" s="17"/>
      <c r="C459" s="4"/>
      <c r="D459" s="21"/>
    </row>
    <row r="460" spans="1:4" ht="21" x14ac:dyDescent="0.25">
      <c r="A460" s="17"/>
      <c r="B460" s="17"/>
      <c r="C460" s="4"/>
      <c r="D460" s="21"/>
    </row>
    <row r="461" spans="1:4" ht="21" x14ac:dyDescent="0.25">
      <c r="A461" s="17"/>
      <c r="B461" s="17"/>
      <c r="C461" s="4"/>
      <c r="D461" s="21"/>
    </row>
    <row r="462" spans="1:4" ht="21" x14ac:dyDescent="0.25">
      <c r="A462" s="17"/>
      <c r="B462" s="17"/>
      <c r="C462" s="4"/>
      <c r="D462" s="21"/>
    </row>
    <row r="463" spans="1:4" ht="21" x14ac:dyDescent="0.25">
      <c r="A463" s="17"/>
      <c r="B463" s="17"/>
      <c r="C463" s="4"/>
      <c r="D463" s="21"/>
    </row>
    <row r="464" spans="1:4" ht="21" x14ac:dyDescent="0.25">
      <c r="A464" s="17"/>
      <c r="B464" s="17"/>
      <c r="C464" s="4"/>
      <c r="D464" s="21"/>
    </row>
    <row r="465" spans="1:4" ht="21" x14ac:dyDescent="0.25">
      <c r="A465" s="17"/>
      <c r="B465" s="17"/>
      <c r="C465" s="4"/>
      <c r="D465" s="21"/>
    </row>
    <row r="466" spans="1:4" ht="21" x14ac:dyDescent="0.25">
      <c r="A466" s="17"/>
      <c r="B466" s="17"/>
      <c r="C466" s="4"/>
      <c r="D466" s="21"/>
    </row>
    <row r="467" spans="1:4" ht="21" x14ac:dyDescent="0.25">
      <c r="A467" s="17"/>
      <c r="B467" s="17"/>
      <c r="C467" s="4"/>
      <c r="D467" s="21"/>
    </row>
    <row r="468" spans="1:4" ht="21" x14ac:dyDescent="0.25">
      <c r="A468" s="17"/>
      <c r="B468" s="17"/>
      <c r="C468" s="4"/>
      <c r="D468" s="21"/>
    </row>
    <row r="469" spans="1:4" ht="21" x14ac:dyDescent="0.25">
      <c r="A469" s="17"/>
      <c r="B469" s="17"/>
      <c r="C469" s="4"/>
      <c r="D469" s="21"/>
    </row>
    <row r="470" spans="1:4" ht="21" x14ac:dyDescent="0.25">
      <c r="A470" s="17"/>
      <c r="B470" s="17"/>
      <c r="C470" s="4"/>
      <c r="D470" s="21"/>
    </row>
    <row r="471" spans="1:4" ht="21" x14ac:dyDescent="0.25">
      <c r="A471" s="17"/>
      <c r="B471" s="17"/>
      <c r="C471" s="4"/>
      <c r="D471" s="21"/>
    </row>
    <row r="472" spans="1:4" ht="21" x14ac:dyDescent="0.25">
      <c r="A472" s="17"/>
      <c r="B472" s="17"/>
      <c r="C472" s="4"/>
      <c r="D472" s="21"/>
    </row>
    <row r="473" spans="1:4" ht="21" x14ac:dyDescent="0.25">
      <c r="A473" s="17"/>
      <c r="B473" s="17"/>
      <c r="C473" s="4"/>
      <c r="D473" s="21"/>
    </row>
    <row r="474" spans="1:4" ht="21" x14ac:dyDescent="0.25">
      <c r="A474" s="17"/>
      <c r="B474" s="17"/>
      <c r="C474" s="4"/>
      <c r="D474" s="21"/>
    </row>
    <row r="475" spans="1:4" ht="21" x14ac:dyDescent="0.25">
      <c r="A475" s="17"/>
      <c r="B475" s="17"/>
      <c r="C475" s="4"/>
      <c r="D475" s="21"/>
    </row>
    <row r="476" spans="1:4" ht="21" x14ac:dyDescent="0.25">
      <c r="A476" s="17"/>
      <c r="B476" s="17"/>
      <c r="C476" s="4"/>
      <c r="D476" s="21"/>
    </row>
    <row r="477" spans="1:4" ht="21" x14ac:dyDescent="0.25">
      <c r="A477" s="17"/>
      <c r="B477" s="17"/>
      <c r="C477" s="4"/>
      <c r="D477" s="21"/>
    </row>
    <row r="478" spans="1:4" ht="21" x14ac:dyDescent="0.25">
      <c r="A478" s="17"/>
      <c r="B478" s="17"/>
      <c r="C478" s="4"/>
      <c r="D478" s="21"/>
    </row>
    <row r="479" spans="1:4" ht="21" x14ac:dyDescent="0.25">
      <c r="A479" s="17"/>
      <c r="B479" s="17"/>
      <c r="C479" s="4"/>
      <c r="D479" s="21"/>
    </row>
    <row r="480" spans="1:4" ht="21" x14ac:dyDescent="0.25">
      <c r="A480" s="17"/>
      <c r="B480" s="17"/>
      <c r="C480" s="4"/>
      <c r="D480" s="21"/>
    </row>
    <row r="481" spans="1:4" ht="21" x14ac:dyDescent="0.25">
      <c r="A481" s="17"/>
      <c r="B481" s="17"/>
      <c r="C481" s="4"/>
      <c r="D481" s="21"/>
    </row>
    <row r="482" spans="1:4" ht="21" x14ac:dyDescent="0.25">
      <c r="A482" s="17"/>
      <c r="B482" s="17"/>
      <c r="C482" s="4"/>
      <c r="D482" s="21"/>
    </row>
    <row r="483" spans="1:4" ht="21" x14ac:dyDescent="0.25">
      <c r="A483" s="17"/>
      <c r="B483" s="17"/>
      <c r="C483" s="4"/>
      <c r="D483" s="21"/>
    </row>
    <row r="484" spans="1:4" ht="21" x14ac:dyDescent="0.25">
      <c r="A484" s="17"/>
      <c r="B484" s="17"/>
      <c r="C484" s="4"/>
      <c r="D484" s="21"/>
    </row>
    <row r="485" spans="1:4" ht="21" x14ac:dyDescent="0.25">
      <c r="A485" s="17"/>
      <c r="B485" s="17"/>
      <c r="C485" s="4"/>
      <c r="D485" s="21"/>
    </row>
    <row r="486" spans="1:4" ht="21" x14ac:dyDescent="0.25">
      <c r="A486" s="17"/>
      <c r="B486" s="17"/>
      <c r="C486" s="4"/>
      <c r="D486" s="21"/>
    </row>
    <row r="487" spans="1:4" ht="21" x14ac:dyDescent="0.25">
      <c r="A487" s="17"/>
      <c r="B487" s="17"/>
      <c r="C487" s="4"/>
      <c r="D487" s="21"/>
    </row>
    <row r="488" spans="1:4" ht="21" x14ac:dyDescent="0.25">
      <c r="A488" s="17"/>
      <c r="B488" s="17"/>
      <c r="C488" s="4"/>
      <c r="D488" s="21"/>
    </row>
    <row r="489" spans="1:4" ht="21" x14ac:dyDescent="0.25">
      <c r="A489" s="17"/>
      <c r="B489" s="17"/>
      <c r="C489" s="4"/>
      <c r="D489" s="21"/>
    </row>
    <row r="490" spans="1:4" ht="21" x14ac:dyDescent="0.25">
      <c r="A490" s="17"/>
      <c r="B490" s="17"/>
      <c r="C490" s="4"/>
      <c r="D490" s="21"/>
    </row>
    <row r="491" spans="1:4" ht="21" x14ac:dyDescent="0.25">
      <c r="A491" s="17"/>
      <c r="B491" s="17"/>
      <c r="C491" s="4"/>
      <c r="D491" s="21"/>
    </row>
    <row r="492" spans="1:4" ht="21" x14ac:dyDescent="0.25">
      <c r="A492" s="17"/>
      <c r="B492" s="17"/>
      <c r="C492" s="4"/>
      <c r="D492" s="21"/>
    </row>
    <row r="493" spans="1:4" ht="21" x14ac:dyDescent="0.25">
      <c r="A493" s="17"/>
      <c r="B493" s="17"/>
      <c r="C493" s="4"/>
      <c r="D493" s="21"/>
    </row>
    <row r="494" spans="1:4" ht="21" x14ac:dyDescent="0.25">
      <c r="A494" s="17"/>
      <c r="B494" s="17"/>
      <c r="C494" s="4"/>
      <c r="D494" s="21"/>
    </row>
    <row r="495" spans="1:4" ht="21" x14ac:dyDescent="0.25">
      <c r="A495" s="17"/>
      <c r="B495" s="17"/>
      <c r="C495" s="4"/>
      <c r="D495" s="21"/>
    </row>
    <row r="496" spans="1:4" ht="21" x14ac:dyDescent="0.25">
      <c r="A496" s="17"/>
      <c r="B496" s="17"/>
      <c r="C496" s="4"/>
      <c r="D496" s="21"/>
    </row>
    <row r="497" spans="1:4" ht="21" x14ac:dyDescent="0.25">
      <c r="A497" s="17"/>
      <c r="B497" s="17"/>
      <c r="C497" s="4"/>
      <c r="D497" s="21"/>
    </row>
    <row r="498" spans="1:4" ht="21" x14ac:dyDescent="0.25">
      <c r="A498" s="17"/>
      <c r="B498" s="17"/>
      <c r="C498" s="4"/>
      <c r="D498" s="21"/>
    </row>
    <row r="499" spans="1:4" ht="21" x14ac:dyDescent="0.25">
      <c r="A499" s="17"/>
      <c r="B499" s="17"/>
      <c r="C499" s="4"/>
      <c r="D499" s="21"/>
    </row>
    <row r="500" spans="1:4" ht="21" x14ac:dyDescent="0.25">
      <c r="A500" s="17"/>
      <c r="B500" s="17"/>
      <c r="C500" s="4"/>
      <c r="D500" s="21"/>
    </row>
    <row r="501" spans="1:4" ht="21" x14ac:dyDescent="0.25">
      <c r="A501" s="17"/>
      <c r="B501" s="17"/>
      <c r="C501" s="4"/>
      <c r="D501" s="21"/>
    </row>
    <row r="502" spans="1:4" ht="21" x14ac:dyDescent="0.25">
      <c r="A502" s="17"/>
      <c r="B502" s="17"/>
      <c r="C502" s="4"/>
      <c r="D502" s="21"/>
    </row>
    <row r="503" spans="1:4" ht="21" x14ac:dyDescent="0.25">
      <c r="A503" s="17"/>
      <c r="B503" s="17"/>
      <c r="C503" s="4"/>
      <c r="D503" s="21"/>
    </row>
    <row r="504" spans="1:4" ht="21" x14ac:dyDescent="0.25">
      <c r="A504" s="17"/>
      <c r="B504" s="17"/>
      <c r="C504" s="4"/>
      <c r="D504" s="21"/>
    </row>
    <row r="505" spans="1:4" ht="21" x14ac:dyDescent="0.25">
      <c r="A505" s="17"/>
      <c r="B505" s="17"/>
      <c r="C505" s="4"/>
      <c r="D505" s="21"/>
    </row>
    <row r="506" spans="1:4" ht="21" x14ac:dyDescent="0.25">
      <c r="A506" s="17"/>
      <c r="B506" s="17"/>
      <c r="C506" s="4"/>
      <c r="D506" s="21"/>
    </row>
    <row r="507" spans="1:4" ht="21" x14ac:dyDescent="0.25">
      <c r="A507" s="17"/>
      <c r="B507" s="17"/>
      <c r="C507" s="4"/>
      <c r="D507" s="21"/>
    </row>
    <row r="508" spans="1:4" ht="21" x14ac:dyDescent="0.25">
      <c r="A508" s="17"/>
      <c r="B508" s="17"/>
      <c r="C508" s="4"/>
      <c r="D508" s="21"/>
    </row>
    <row r="509" spans="1:4" ht="21" x14ac:dyDescent="0.25">
      <c r="A509" s="17"/>
      <c r="B509" s="17"/>
      <c r="C509" s="4"/>
      <c r="D509" s="21"/>
    </row>
    <row r="510" spans="1:4" ht="21" x14ac:dyDescent="0.25">
      <c r="A510" s="17"/>
      <c r="B510" s="17"/>
      <c r="C510" s="4"/>
      <c r="D510" s="21"/>
    </row>
    <row r="511" spans="1:4" ht="21" x14ac:dyDescent="0.25">
      <c r="A511" s="17"/>
      <c r="B511" s="17"/>
      <c r="C511" s="4"/>
      <c r="D511" s="21"/>
    </row>
    <row r="512" spans="1:4" ht="21" x14ac:dyDescent="0.25">
      <c r="A512" s="17"/>
      <c r="B512" s="17"/>
      <c r="C512" s="4"/>
      <c r="D512" s="21"/>
    </row>
    <row r="513" spans="1:4" ht="21" x14ac:dyDescent="0.25">
      <c r="A513" s="17"/>
      <c r="B513" s="17"/>
      <c r="C513" s="4"/>
      <c r="D513" s="21"/>
    </row>
    <row r="514" spans="1:4" ht="21" x14ac:dyDescent="0.25">
      <c r="A514" s="17"/>
      <c r="B514" s="17"/>
      <c r="C514" s="4"/>
      <c r="D514" s="21"/>
    </row>
    <row r="515" spans="1:4" ht="21" x14ac:dyDescent="0.25">
      <c r="A515" s="17"/>
      <c r="B515" s="17"/>
      <c r="C515" s="4"/>
      <c r="D515" s="21"/>
    </row>
    <row r="516" spans="1:4" ht="21" x14ac:dyDescent="0.25">
      <c r="A516" s="17"/>
      <c r="B516" s="17"/>
      <c r="C516" s="4"/>
      <c r="D516" s="21"/>
    </row>
    <row r="517" spans="1:4" ht="21" x14ac:dyDescent="0.25">
      <c r="A517" s="17"/>
      <c r="B517" s="17"/>
      <c r="C517" s="4"/>
      <c r="D517" s="21"/>
    </row>
    <row r="518" spans="1:4" ht="21" x14ac:dyDescent="0.25">
      <c r="A518" s="17"/>
      <c r="B518" s="17"/>
      <c r="C518" s="4"/>
      <c r="D518" s="21"/>
    </row>
    <row r="519" spans="1:4" ht="21" x14ac:dyDescent="0.25">
      <c r="A519" s="17"/>
      <c r="B519" s="17"/>
      <c r="C519" s="4"/>
      <c r="D519" s="21"/>
    </row>
    <row r="520" spans="1:4" ht="21" x14ac:dyDescent="0.25">
      <c r="A520" s="17"/>
      <c r="B520" s="17"/>
      <c r="C520" s="4"/>
      <c r="D520" s="21"/>
    </row>
    <row r="521" spans="1:4" ht="21" x14ac:dyDescent="0.25">
      <c r="A521" s="17"/>
      <c r="B521" s="17"/>
      <c r="C521" s="4"/>
      <c r="D521" s="21"/>
    </row>
    <row r="522" spans="1:4" ht="21" x14ac:dyDescent="0.25">
      <c r="A522" s="17"/>
      <c r="B522" s="17"/>
      <c r="C522" s="4"/>
      <c r="D522" s="21"/>
    </row>
    <row r="523" spans="1:4" ht="21" x14ac:dyDescent="0.25">
      <c r="A523" s="17"/>
      <c r="B523" s="17"/>
      <c r="C523" s="4"/>
      <c r="D523" s="21"/>
    </row>
    <row r="524" spans="1:4" ht="21" x14ac:dyDescent="0.25">
      <c r="A524" s="17"/>
      <c r="B524" s="17"/>
      <c r="C524" s="4"/>
      <c r="D524" s="21"/>
    </row>
    <row r="525" spans="1:4" ht="21" x14ac:dyDescent="0.25">
      <c r="A525" s="17"/>
      <c r="B525" s="17"/>
      <c r="C525" s="4"/>
      <c r="D525" s="21"/>
    </row>
    <row r="526" spans="1:4" ht="21" x14ac:dyDescent="0.25">
      <c r="A526" s="17"/>
      <c r="B526" s="17"/>
      <c r="C526" s="4"/>
      <c r="D526" s="21"/>
    </row>
    <row r="527" spans="1:4" ht="21" x14ac:dyDescent="0.25">
      <c r="A527" s="17"/>
      <c r="B527" s="17"/>
      <c r="C527" s="4"/>
      <c r="D527" s="21"/>
    </row>
    <row r="528" spans="1:4" ht="21" x14ac:dyDescent="0.25">
      <c r="A528" s="17"/>
      <c r="B528" s="17"/>
      <c r="C528" s="4"/>
      <c r="D528" s="21"/>
    </row>
    <row r="529" spans="1:4" ht="21" x14ac:dyDescent="0.25">
      <c r="A529" s="17"/>
      <c r="B529" s="17"/>
      <c r="C529" s="4"/>
      <c r="D529" s="21"/>
    </row>
    <row r="530" spans="1:4" ht="21" x14ac:dyDescent="0.25">
      <c r="A530" s="17"/>
      <c r="B530" s="17"/>
      <c r="C530" s="4"/>
      <c r="D530" s="21"/>
    </row>
    <row r="531" spans="1:4" ht="21" x14ac:dyDescent="0.25">
      <c r="A531" s="17"/>
      <c r="B531" s="17"/>
      <c r="C531" s="4"/>
      <c r="D531" s="21"/>
    </row>
    <row r="532" spans="1:4" ht="21" x14ac:dyDescent="0.25">
      <c r="A532" s="17"/>
      <c r="B532" s="17"/>
      <c r="C532" s="4"/>
      <c r="D532" s="21"/>
    </row>
    <row r="533" spans="1:4" ht="21" x14ac:dyDescent="0.25">
      <c r="A533" s="17"/>
      <c r="B533" s="17"/>
      <c r="C533" s="4"/>
      <c r="D533" s="21"/>
    </row>
    <row r="534" spans="1:4" ht="21" x14ac:dyDescent="0.25">
      <c r="A534" s="17"/>
      <c r="B534" s="17"/>
      <c r="C534" s="4"/>
      <c r="D534" s="21"/>
    </row>
    <row r="535" spans="1:4" ht="21" x14ac:dyDescent="0.25">
      <c r="A535" s="17"/>
      <c r="B535" s="17"/>
      <c r="C535" s="4"/>
      <c r="D535" s="21"/>
    </row>
    <row r="536" spans="1:4" ht="21" x14ac:dyDescent="0.25">
      <c r="A536" s="17"/>
      <c r="B536" s="17"/>
      <c r="C536" s="4"/>
      <c r="D536" s="21"/>
    </row>
    <row r="537" spans="1:4" ht="21" x14ac:dyDescent="0.25">
      <c r="A537" s="17"/>
      <c r="B537" s="17"/>
      <c r="C537" s="4"/>
      <c r="D537" s="21"/>
    </row>
    <row r="538" spans="1:4" ht="21" x14ac:dyDescent="0.25">
      <c r="A538" s="17"/>
      <c r="B538" s="17"/>
      <c r="C538" s="4"/>
      <c r="D538" s="21"/>
    </row>
    <row r="539" spans="1:4" ht="21" x14ac:dyDescent="0.25">
      <c r="A539" s="17"/>
      <c r="B539" s="17"/>
      <c r="C539" s="4"/>
      <c r="D539" s="21"/>
    </row>
    <row r="540" spans="1:4" ht="21" x14ac:dyDescent="0.25">
      <c r="A540" s="17"/>
      <c r="B540" s="17"/>
      <c r="C540" s="4"/>
      <c r="D540" s="21"/>
    </row>
    <row r="541" spans="1:4" ht="21" x14ac:dyDescent="0.25">
      <c r="A541" s="17"/>
      <c r="B541" s="17"/>
      <c r="C541" s="4"/>
      <c r="D541" s="21"/>
    </row>
    <row r="542" spans="1:4" ht="21" x14ac:dyDescent="0.25">
      <c r="A542" s="17"/>
      <c r="B542" s="17"/>
      <c r="C542" s="4"/>
      <c r="D542" s="21"/>
    </row>
    <row r="543" spans="1:4" ht="21" x14ac:dyDescent="0.25">
      <c r="A543" s="17"/>
      <c r="B543" s="17"/>
      <c r="C543" s="4"/>
      <c r="D543" s="21"/>
    </row>
    <row r="544" spans="1:4" ht="21" x14ac:dyDescent="0.25">
      <c r="A544" s="17"/>
      <c r="B544" s="17"/>
      <c r="C544" s="4"/>
      <c r="D544" s="21"/>
    </row>
    <row r="545" spans="1:4" ht="21" x14ac:dyDescent="0.25">
      <c r="A545" s="17"/>
      <c r="B545" s="17"/>
      <c r="C545" s="4"/>
      <c r="D545" s="21"/>
    </row>
    <row r="546" spans="1:4" ht="21" x14ac:dyDescent="0.25">
      <c r="A546" s="17"/>
      <c r="B546" s="17"/>
      <c r="C546" s="4"/>
      <c r="D546" s="21"/>
    </row>
    <row r="547" spans="1:4" ht="21" x14ac:dyDescent="0.25">
      <c r="A547" s="17"/>
      <c r="B547" s="17"/>
      <c r="C547" s="4"/>
      <c r="D547" s="21"/>
    </row>
    <row r="548" spans="1:4" ht="21" x14ac:dyDescent="0.25">
      <c r="A548" s="17"/>
      <c r="B548" s="17"/>
      <c r="C548" s="4"/>
      <c r="D548" s="21"/>
    </row>
    <row r="549" spans="1:4" ht="21" x14ac:dyDescent="0.25">
      <c r="A549" s="17"/>
      <c r="B549" s="17"/>
      <c r="C549" s="4"/>
      <c r="D549" s="21"/>
    </row>
    <row r="550" spans="1:4" ht="21" x14ac:dyDescent="0.25">
      <c r="A550" s="17"/>
      <c r="B550" s="17"/>
      <c r="C550" s="4"/>
      <c r="D550" s="21"/>
    </row>
    <row r="551" spans="1:4" ht="21" x14ac:dyDescent="0.25">
      <c r="A551" s="17"/>
      <c r="B551" s="17"/>
      <c r="C551" s="4"/>
      <c r="D551" s="21"/>
    </row>
    <row r="552" spans="1:4" ht="21" x14ac:dyDescent="0.25">
      <c r="A552" s="17"/>
      <c r="B552" s="17"/>
      <c r="C552" s="4"/>
      <c r="D552" s="21"/>
    </row>
    <row r="553" spans="1:4" ht="21" x14ac:dyDescent="0.25">
      <c r="A553" s="17"/>
      <c r="B553" s="17"/>
      <c r="C553" s="4"/>
      <c r="D553" s="21"/>
    </row>
    <row r="554" spans="1:4" ht="21" x14ac:dyDescent="0.25">
      <c r="A554" s="17"/>
      <c r="B554" s="17"/>
      <c r="C554" s="4"/>
      <c r="D554" s="21"/>
    </row>
    <row r="555" spans="1:4" ht="21" x14ac:dyDescent="0.25">
      <c r="A555" s="17"/>
      <c r="B555" s="17"/>
      <c r="C555" s="4"/>
      <c r="D555" s="21"/>
    </row>
    <row r="556" spans="1:4" ht="21" x14ac:dyDescent="0.25">
      <c r="A556" s="17"/>
      <c r="B556" s="17"/>
      <c r="C556" s="4"/>
      <c r="D556" s="21"/>
    </row>
    <row r="557" spans="1:4" ht="21" x14ac:dyDescent="0.25">
      <c r="A557" s="17"/>
      <c r="B557" s="17"/>
      <c r="C557" s="4"/>
      <c r="D557" s="21"/>
    </row>
    <row r="558" spans="1:4" ht="21" x14ac:dyDescent="0.25">
      <c r="A558" s="17"/>
      <c r="B558" s="17"/>
      <c r="C558" s="4"/>
      <c r="D558" s="21"/>
    </row>
    <row r="559" spans="1:4" ht="21" x14ac:dyDescent="0.25">
      <c r="A559" s="17"/>
      <c r="B559" s="17"/>
      <c r="C559" s="4"/>
      <c r="D559" s="21"/>
    </row>
    <row r="560" spans="1:4" ht="21" x14ac:dyDescent="0.25">
      <c r="A560" s="17"/>
      <c r="B560" s="17"/>
      <c r="C560" s="4"/>
      <c r="D560" s="21"/>
    </row>
    <row r="561" spans="1:4" ht="21" x14ac:dyDescent="0.25">
      <c r="A561" s="17"/>
      <c r="B561" s="17"/>
      <c r="C561" s="4"/>
      <c r="D561" s="21"/>
    </row>
    <row r="562" spans="1:4" ht="21" x14ac:dyDescent="0.25">
      <c r="A562" s="17"/>
      <c r="B562" s="17"/>
      <c r="C562" s="4"/>
      <c r="D562" s="21"/>
    </row>
    <row r="563" spans="1:4" ht="21" x14ac:dyDescent="0.25">
      <c r="A563" s="17"/>
      <c r="B563" s="17"/>
      <c r="C563" s="4"/>
      <c r="D563" s="21"/>
    </row>
    <row r="564" spans="1:4" ht="21" x14ac:dyDescent="0.25">
      <c r="A564" s="17"/>
      <c r="B564" s="17"/>
      <c r="C564" s="4"/>
      <c r="D564" s="21"/>
    </row>
    <row r="565" spans="1:4" ht="21" x14ac:dyDescent="0.25">
      <c r="A565" s="17"/>
      <c r="B565" s="17"/>
      <c r="C565" s="4"/>
      <c r="D565" s="21"/>
    </row>
    <row r="566" spans="1:4" ht="21" x14ac:dyDescent="0.25">
      <c r="A566" s="17"/>
      <c r="B566" s="17"/>
      <c r="C566" s="4"/>
      <c r="D566" s="21"/>
    </row>
    <row r="567" spans="1:4" ht="21" x14ac:dyDescent="0.25">
      <c r="A567" s="17"/>
      <c r="B567" s="17"/>
      <c r="C567" s="4"/>
      <c r="D567" s="21"/>
    </row>
    <row r="568" spans="1:4" ht="21" x14ac:dyDescent="0.25">
      <c r="A568" s="17"/>
      <c r="B568" s="17"/>
      <c r="C568" s="4"/>
      <c r="D568" s="21"/>
    </row>
    <row r="569" spans="1:4" ht="21" x14ac:dyDescent="0.25">
      <c r="A569" s="17"/>
      <c r="B569" s="17"/>
      <c r="C569" s="4"/>
      <c r="D569" s="21"/>
    </row>
    <row r="570" spans="1:4" ht="21" x14ac:dyDescent="0.25">
      <c r="A570" s="17"/>
      <c r="B570" s="17"/>
      <c r="C570" s="4"/>
      <c r="D570" s="21"/>
    </row>
    <row r="571" spans="1:4" ht="21" x14ac:dyDescent="0.25">
      <c r="A571" s="17"/>
      <c r="B571" s="17"/>
      <c r="C571" s="4"/>
      <c r="D571" s="21"/>
    </row>
    <row r="572" spans="1:4" ht="21" x14ac:dyDescent="0.25">
      <c r="A572" s="17"/>
      <c r="B572" s="17"/>
      <c r="C572" s="4"/>
      <c r="D572" s="21"/>
    </row>
    <row r="573" spans="1:4" ht="21" x14ac:dyDescent="0.25">
      <c r="A573" s="17"/>
      <c r="B573" s="17"/>
      <c r="C573" s="4"/>
      <c r="D573" s="21"/>
    </row>
    <row r="574" spans="1:4" ht="21" x14ac:dyDescent="0.25">
      <c r="A574" s="17"/>
      <c r="B574" s="17"/>
      <c r="C574" s="4"/>
      <c r="D574" s="21"/>
    </row>
    <row r="575" spans="1:4" ht="21" x14ac:dyDescent="0.25">
      <c r="A575" s="17"/>
      <c r="B575" s="17"/>
      <c r="C575" s="4"/>
      <c r="D575" s="21"/>
    </row>
    <row r="576" spans="1:4" ht="21" x14ac:dyDescent="0.25">
      <c r="A576" s="17"/>
      <c r="B576" s="17"/>
      <c r="C576" s="4"/>
      <c r="D576" s="21"/>
    </row>
    <row r="577" spans="1:4" ht="21" x14ac:dyDescent="0.25">
      <c r="A577" s="17"/>
      <c r="B577" s="17"/>
      <c r="C577" s="4"/>
      <c r="D577" s="21"/>
    </row>
    <row r="578" spans="1:4" ht="21" x14ac:dyDescent="0.25">
      <c r="A578" s="17"/>
      <c r="B578" s="17"/>
      <c r="C578" s="4"/>
      <c r="D578" s="21"/>
    </row>
    <row r="579" spans="1:4" ht="21" x14ac:dyDescent="0.25">
      <c r="A579" s="17"/>
      <c r="B579" s="17"/>
      <c r="C579" s="4"/>
      <c r="D579" s="21"/>
    </row>
    <row r="580" spans="1:4" ht="21" x14ac:dyDescent="0.25">
      <c r="A580" s="17"/>
      <c r="B580" s="17"/>
      <c r="C580" s="4"/>
      <c r="D580" s="21"/>
    </row>
    <row r="581" spans="1:4" ht="21" x14ac:dyDescent="0.25">
      <c r="A581" s="17"/>
      <c r="B581" s="17"/>
      <c r="C581" s="4"/>
      <c r="D581" s="21"/>
    </row>
    <row r="582" spans="1:4" ht="21" x14ac:dyDescent="0.25">
      <c r="A582" s="17"/>
      <c r="B582" s="17"/>
      <c r="C582" s="4"/>
      <c r="D582" s="21"/>
    </row>
    <row r="583" spans="1:4" ht="21" x14ac:dyDescent="0.25">
      <c r="A583" s="17"/>
      <c r="B583" s="17"/>
      <c r="C583" s="4"/>
      <c r="D583" s="21"/>
    </row>
    <row r="584" spans="1:4" ht="21" x14ac:dyDescent="0.25">
      <c r="A584" s="17"/>
      <c r="B584" s="17"/>
      <c r="C584" s="4"/>
      <c r="D584" s="21"/>
    </row>
    <row r="585" spans="1:4" ht="21" x14ac:dyDescent="0.25">
      <c r="A585" s="17"/>
      <c r="B585" s="17"/>
      <c r="C585" s="4"/>
      <c r="D585" s="21"/>
    </row>
    <row r="586" spans="1:4" ht="21" x14ac:dyDescent="0.25">
      <c r="A586" s="17"/>
      <c r="B586" s="17"/>
      <c r="C586" s="4"/>
      <c r="D586" s="21"/>
    </row>
    <row r="587" spans="1:4" ht="21" x14ac:dyDescent="0.25">
      <c r="A587" s="17"/>
      <c r="B587" s="17"/>
      <c r="C587" s="4"/>
      <c r="D587" s="21"/>
    </row>
    <row r="588" spans="1:4" ht="21" x14ac:dyDescent="0.25">
      <c r="A588" s="17"/>
      <c r="B588" s="17"/>
      <c r="C588" s="4"/>
      <c r="D588" s="21"/>
    </row>
    <row r="589" spans="1:4" ht="21" x14ac:dyDescent="0.25">
      <c r="A589" s="17"/>
      <c r="B589" s="17"/>
      <c r="C589" s="4"/>
      <c r="D589" s="21"/>
    </row>
    <row r="590" spans="1:4" ht="21" x14ac:dyDescent="0.25">
      <c r="A590" s="17"/>
      <c r="B590" s="17"/>
      <c r="C590" s="4"/>
      <c r="D590" s="21"/>
    </row>
    <row r="591" spans="1:4" ht="21" x14ac:dyDescent="0.25">
      <c r="A591" s="17"/>
      <c r="B591" s="17"/>
      <c r="C591" s="4"/>
      <c r="D591" s="21"/>
    </row>
    <row r="592" spans="1:4" ht="21" x14ac:dyDescent="0.25">
      <c r="A592" s="17"/>
      <c r="B592" s="17"/>
      <c r="C592" s="4"/>
      <c r="D592" s="21"/>
    </row>
    <row r="593" spans="1:4" ht="21" x14ac:dyDescent="0.25">
      <c r="A593" s="17"/>
      <c r="B593" s="17"/>
      <c r="C593" s="4"/>
      <c r="D593" s="21"/>
    </row>
    <row r="594" spans="1:4" ht="21" x14ac:dyDescent="0.25">
      <c r="A594" s="17"/>
      <c r="B594" s="17"/>
      <c r="C594" s="4"/>
      <c r="D594" s="21"/>
    </row>
    <row r="595" spans="1:4" ht="21" x14ac:dyDescent="0.25">
      <c r="A595" s="17"/>
      <c r="B595" s="17"/>
      <c r="C595" s="4"/>
      <c r="D595" s="21"/>
    </row>
    <row r="596" spans="1:4" ht="21" x14ac:dyDescent="0.25">
      <c r="A596" s="17"/>
      <c r="B596" s="17"/>
      <c r="C596" s="4"/>
      <c r="D596" s="21"/>
    </row>
    <row r="597" spans="1:4" ht="21" x14ac:dyDescent="0.25">
      <c r="A597" s="17"/>
      <c r="B597" s="17"/>
      <c r="C597" s="4"/>
      <c r="D597" s="21"/>
    </row>
    <row r="598" spans="1:4" ht="21" x14ac:dyDescent="0.25">
      <c r="A598" s="17"/>
      <c r="B598" s="17"/>
      <c r="C598" s="4"/>
      <c r="D598" s="21"/>
    </row>
    <row r="599" spans="1:4" ht="21" x14ac:dyDescent="0.25">
      <c r="A599" s="17"/>
      <c r="B599" s="17"/>
      <c r="C599" s="4"/>
      <c r="D599" s="21"/>
    </row>
    <row r="600" spans="1:4" ht="21" x14ac:dyDescent="0.25">
      <c r="A600" s="17"/>
      <c r="B600" s="17"/>
      <c r="C600" s="4"/>
      <c r="D600" s="21"/>
    </row>
    <row r="601" spans="1:4" ht="21" x14ac:dyDescent="0.25">
      <c r="A601" s="17"/>
      <c r="B601" s="17"/>
      <c r="C601" s="4"/>
      <c r="D601" s="21"/>
    </row>
    <row r="602" spans="1:4" ht="21" x14ac:dyDescent="0.25">
      <c r="A602" s="17"/>
      <c r="B602" s="17"/>
      <c r="C602" s="4"/>
      <c r="D602" s="21"/>
    </row>
    <row r="603" spans="1:4" ht="21" x14ac:dyDescent="0.25">
      <c r="A603" s="17"/>
      <c r="B603" s="17"/>
      <c r="C603" s="4"/>
      <c r="D603" s="21"/>
    </row>
    <row r="604" spans="1:4" ht="21" x14ac:dyDescent="0.25">
      <c r="A604" s="17"/>
      <c r="B604" s="17"/>
      <c r="C604" s="4"/>
      <c r="D604" s="21"/>
    </row>
    <row r="605" spans="1:4" ht="21" x14ac:dyDescent="0.25">
      <c r="A605" s="17"/>
      <c r="B605" s="17"/>
      <c r="C605" s="4"/>
      <c r="D605" s="21"/>
    </row>
    <row r="606" spans="1:4" ht="21" x14ac:dyDescent="0.25">
      <c r="A606" s="17"/>
      <c r="B606" s="17"/>
      <c r="C606" s="4"/>
      <c r="D606" s="21"/>
    </row>
    <row r="607" spans="1:4" ht="21" x14ac:dyDescent="0.25">
      <c r="A607" s="17"/>
      <c r="B607" s="17"/>
      <c r="C607" s="4"/>
      <c r="D607" s="21"/>
    </row>
    <row r="608" spans="1:4" ht="21" x14ac:dyDescent="0.25">
      <c r="A608" s="17"/>
      <c r="B608" s="17"/>
      <c r="C608" s="4"/>
      <c r="D608" s="21"/>
    </row>
    <row r="609" spans="1:4" ht="21" x14ac:dyDescent="0.25">
      <c r="A609" s="17"/>
      <c r="B609" s="17"/>
      <c r="C609" s="4"/>
      <c r="D609" s="21"/>
    </row>
    <row r="610" spans="1:4" ht="21" x14ac:dyDescent="0.25">
      <c r="A610" s="17"/>
      <c r="B610" s="17"/>
      <c r="C610" s="4"/>
      <c r="D610" s="21"/>
    </row>
    <row r="611" spans="1:4" ht="21" x14ac:dyDescent="0.25">
      <c r="A611" s="17"/>
      <c r="B611" s="17"/>
      <c r="C611" s="4"/>
      <c r="D611" s="21"/>
    </row>
    <row r="612" spans="1:4" ht="21" x14ac:dyDescent="0.25">
      <c r="A612" s="17"/>
      <c r="B612" s="17"/>
      <c r="C612" s="4"/>
      <c r="D612" s="21"/>
    </row>
    <row r="613" spans="1:4" ht="21" x14ac:dyDescent="0.25">
      <c r="A613" s="17"/>
      <c r="B613" s="17"/>
      <c r="C613" s="4"/>
      <c r="D613" s="21"/>
    </row>
    <row r="614" spans="1:4" ht="21" x14ac:dyDescent="0.25">
      <c r="A614" s="17"/>
      <c r="B614" s="17"/>
      <c r="C614" s="4"/>
      <c r="D614" s="21"/>
    </row>
    <row r="615" spans="1:4" ht="21" x14ac:dyDescent="0.25">
      <c r="A615" s="17"/>
      <c r="B615" s="17"/>
      <c r="C615" s="4"/>
      <c r="D615" s="21"/>
    </row>
    <row r="616" spans="1:4" ht="21" x14ac:dyDescent="0.25">
      <c r="A616" s="17"/>
      <c r="B616" s="17"/>
      <c r="C616" s="4"/>
      <c r="D616" s="21"/>
    </row>
    <row r="617" spans="1:4" ht="21" x14ac:dyDescent="0.25">
      <c r="A617" s="17"/>
      <c r="B617" s="17"/>
      <c r="C617" s="4"/>
      <c r="D617" s="21"/>
    </row>
    <row r="618" spans="1:4" ht="21" x14ac:dyDescent="0.25">
      <c r="A618" s="17"/>
      <c r="B618" s="17"/>
      <c r="C618" s="4"/>
      <c r="D618" s="21"/>
    </row>
    <row r="619" spans="1:4" ht="21" x14ac:dyDescent="0.25">
      <c r="A619" s="17"/>
      <c r="B619" s="17"/>
      <c r="C619" s="4"/>
      <c r="D619" s="21"/>
    </row>
    <row r="620" spans="1:4" ht="21" x14ac:dyDescent="0.25">
      <c r="A620" s="17"/>
      <c r="B620" s="17"/>
      <c r="C620" s="4"/>
      <c r="D620" s="21"/>
    </row>
    <row r="621" spans="1:4" ht="21" x14ac:dyDescent="0.25">
      <c r="A621" s="17"/>
      <c r="B621" s="17"/>
      <c r="C621" s="4"/>
      <c r="D621" s="21"/>
    </row>
    <row r="622" spans="1:4" ht="21" x14ac:dyDescent="0.25">
      <c r="A622" s="17"/>
      <c r="B622" s="17"/>
      <c r="C622" s="4"/>
      <c r="D622" s="21"/>
    </row>
    <row r="623" spans="1:4" ht="21" x14ac:dyDescent="0.25">
      <c r="A623" s="17"/>
      <c r="B623" s="17"/>
      <c r="C623" s="4"/>
      <c r="D623" s="21"/>
    </row>
    <row r="624" spans="1:4" ht="21" x14ac:dyDescent="0.25">
      <c r="A624" s="17"/>
      <c r="B624" s="17"/>
      <c r="C624" s="4"/>
      <c r="D624" s="21"/>
    </row>
    <row r="625" spans="1:4" ht="21" x14ac:dyDescent="0.25">
      <c r="A625" s="17"/>
      <c r="B625" s="17"/>
      <c r="C625" s="4"/>
      <c r="D625" s="21"/>
    </row>
    <row r="626" spans="1:4" ht="21" x14ac:dyDescent="0.25">
      <c r="A626" s="17"/>
      <c r="B626" s="17"/>
      <c r="C626" s="4"/>
      <c r="D626" s="21"/>
    </row>
    <row r="627" spans="1:4" ht="21" x14ac:dyDescent="0.25">
      <c r="A627" s="17"/>
      <c r="B627" s="17"/>
      <c r="C627" s="4"/>
      <c r="D627" s="21"/>
    </row>
    <row r="628" spans="1:4" ht="21" x14ac:dyDescent="0.25">
      <c r="A628" s="17"/>
      <c r="B628" s="17"/>
      <c r="C628" s="4"/>
      <c r="D628" s="21"/>
    </row>
    <row r="629" spans="1:4" ht="21" x14ac:dyDescent="0.25">
      <c r="A629" s="17"/>
      <c r="B629" s="17"/>
      <c r="C629" s="4"/>
      <c r="D629" s="21"/>
    </row>
    <row r="630" spans="1:4" ht="21" x14ac:dyDescent="0.25">
      <c r="A630" s="17"/>
      <c r="B630" s="17"/>
      <c r="C630" s="4"/>
      <c r="D630" s="21"/>
    </row>
    <row r="631" spans="1:4" ht="21" x14ac:dyDescent="0.25">
      <c r="A631" s="17"/>
      <c r="B631" s="17"/>
      <c r="C631" s="4"/>
      <c r="D631" s="21"/>
    </row>
    <row r="632" spans="1:4" ht="21" x14ac:dyDescent="0.25">
      <c r="A632" s="17"/>
      <c r="B632" s="17"/>
      <c r="C632" s="4"/>
      <c r="D632" s="21"/>
    </row>
    <row r="633" spans="1:4" ht="21" x14ac:dyDescent="0.25">
      <c r="A633" s="17"/>
      <c r="B633" s="17"/>
      <c r="C633" s="4"/>
      <c r="D633" s="21"/>
    </row>
    <row r="634" spans="1:4" ht="21" x14ac:dyDescent="0.25">
      <c r="A634" s="17"/>
      <c r="B634" s="17"/>
      <c r="C634" s="4"/>
      <c r="D634" s="21"/>
    </row>
    <row r="635" spans="1:4" ht="21" x14ac:dyDescent="0.25">
      <c r="A635" s="17"/>
      <c r="B635" s="17"/>
      <c r="C635" s="4"/>
      <c r="D635" s="21"/>
    </row>
    <row r="636" spans="1:4" ht="21" x14ac:dyDescent="0.25">
      <c r="A636" s="17"/>
      <c r="B636" s="17"/>
      <c r="C636" s="4"/>
      <c r="D636" s="21"/>
    </row>
    <row r="637" spans="1:4" ht="21" x14ac:dyDescent="0.25">
      <c r="A637" s="17"/>
      <c r="B637" s="17"/>
      <c r="C637" s="4"/>
      <c r="D637" s="21"/>
    </row>
    <row r="638" spans="1:4" ht="21" x14ac:dyDescent="0.25">
      <c r="A638" s="17"/>
      <c r="B638" s="17"/>
      <c r="C638" s="4"/>
      <c r="D638" s="21"/>
    </row>
    <row r="639" spans="1:4" ht="21" x14ac:dyDescent="0.25">
      <c r="A639" s="17"/>
      <c r="B639" s="17"/>
      <c r="C639" s="4"/>
      <c r="D639" s="21"/>
    </row>
    <row r="640" spans="1:4" ht="21" x14ac:dyDescent="0.25">
      <c r="A640" s="17"/>
      <c r="B640" s="17"/>
      <c r="C640" s="4"/>
      <c r="D640" s="21"/>
    </row>
    <row r="641" spans="1:4" ht="21" x14ac:dyDescent="0.25">
      <c r="A641" s="17"/>
      <c r="B641" s="17"/>
      <c r="C641" s="4"/>
      <c r="D641" s="21"/>
    </row>
    <row r="642" spans="1:4" ht="21" x14ac:dyDescent="0.25">
      <c r="A642" s="17"/>
      <c r="B642" s="17"/>
      <c r="C642" s="4"/>
      <c r="D642" s="21"/>
    </row>
    <row r="643" spans="1:4" ht="21" x14ac:dyDescent="0.25">
      <c r="A643" s="17"/>
      <c r="B643" s="17"/>
      <c r="C643" s="4"/>
      <c r="D643" s="21"/>
    </row>
    <row r="644" spans="1:4" ht="21" x14ac:dyDescent="0.25">
      <c r="A644" s="17"/>
      <c r="B644" s="17"/>
      <c r="C644" s="4"/>
      <c r="D644" s="21"/>
    </row>
    <row r="645" spans="1:4" ht="21" x14ac:dyDescent="0.25">
      <c r="A645" s="17"/>
      <c r="B645" s="17"/>
      <c r="C645" s="4"/>
      <c r="D645" s="21"/>
    </row>
    <row r="646" spans="1:4" ht="21" x14ac:dyDescent="0.25">
      <c r="A646" s="17"/>
      <c r="B646" s="17"/>
      <c r="C646" s="4"/>
      <c r="D646" s="21"/>
    </row>
    <row r="647" spans="1:4" ht="21" x14ac:dyDescent="0.25">
      <c r="A647" s="17"/>
      <c r="B647" s="17"/>
      <c r="C647" s="4"/>
      <c r="D647" s="21"/>
    </row>
    <row r="648" spans="1:4" ht="21" x14ac:dyDescent="0.25">
      <c r="A648" s="17"/>
      <c r="B648" s="17"/>
      <c r="C648" s="4"/>
      <c r="D648" s="21"/>
    </row>
    <row r="649" spans="1:4" ht="21" x14ac:dyDescent="0.25">
      <c r="A649" s="17"/>
      <c r="B649" s="17"/>
      <c r="C649" s="4"/>
      <c r="D649" s="21"/>
    </row>
    <row r="650" spans="1:4" ht="21" x14ac:dyDescent="0.25">
      <c r="A650" s="17"/>
      <c r="B650" s="17"/>
      <c r="C650" s="4"/>
      <c r="D650" s="21"/>
    </row>
    <row r="651" spans="1:4" ht="21" x14ac:dyDescent="0.25">
      <c r="A651" s="17"/>
      <c r="B651" s="17"/>
      <c r="C651" s="4"/>
      <c r="D651" s="21"/>
    </row>
    <row r="652" spans="1:4" ht="21" x14ac:dyDescent="0.25">
      <c r="A652" s="17"/>
      <c r="B652" s="17"/>
      <c r="C652" s="4"/>
      <c r="D652" s="21"/>
    </row>
    <row r="653" spans="1:4" ht="21" x14ac:dyDescent="0.25">
      <c r="A653" s="17"/>
      <c r="B653" s="17"/>
      <c r="C653" s="4"/>
      <c r="D653" s="21"/>
    </row>
    <row r="654" spans="1:4" ht="21" x14ac:dyDescent="0.25">
      <c r="A654" s="17"/>
      <c r="B654" s="17"/>
      <c r="C654" s="4"/>
      <c r="D654" s="21"/>
    </row>
    <row r="655" spans="1:4" ht="21" x14ac:dyDescent="0.25">
      <c r="A655" s="17"/>
      <c r="B655" s="17"/>
      <c r="C655" s="4"/>
      <c r="D655" s="21"/>
    </row>
    <row r="656" spans="1:4" ht="21" x14ac:dyDescent="0.25">
      <c r="A656" s="17"/>
      <c r="B656" s="17"/>
      <c r="C656" s="4"/>
      <c r="D656" s="21"/>
    </row>
    <row r="657" spans="1:4" ht="21" x14ac:dyDescent="0.25">
      <c r="A657" s="17"/>
      <c r="B657" s="17"/>
      <c r="C657" s="4"/>
      <c r="D657" s="21"/>
    </row>
    <row r="658" spans="1:4" ht="21" x14ac:dyDescent="0.25">
      <c r="A658" s="17"/>
      <c r="B658" s="17"/>
      <c r="C658" s="4"/>
      <c r="D658" s="21"/>
    </row>
    <row r="659" spans="1:4" ht="21" x14ac:dyDescent="0.25">
      <c r="A659" s="17"/>
      <c r="B659" s="17"/>
      <c r="C659" s="4"/>
      <c r="D659" s="21"/>
    </row>
    <row r="660" spans="1:4" ht="21" x14ac:dyDescent="0.25">
      <c r="A660" s="17"/>
      <c r="B660" s="17"/>
      <c r="C660" s="4"/>
      <c r="D660" s="21"/>
    </row>
    <row r="661" spans="1:4" ht="21" x14ac:dyDescent="0.25">
      <c r="A661" s="17"/>
      <c r="B661" s="17"/>
      <c r="C661" s="4"/>
      <c r="D661" s="21"/>
    </row>
    <row r="662" spans="1:4" ht="21" x14ac:dyDescent="0.25">
      <c r="A662" s="17"/>
      <c r="B662" s="17"/>
      <c r="C662" s="4"/>
      <c r="D662" s="21"/>
    </row>
    <row r="663" spans="1:4" ht="21" x14ac:dyDescent="0.25">
      <c r="A663" s="17"/>
      <c r="B663" s="17"/>
      <c r="C663" s="4"/>
      <c r="D663" s="21"/>
    </row>
    <row r="664" spans="1:4" ht="21" x14ac:dyDescent="0.25">
      <c r="A664" s="17"/>
      <c r="B664" s="17"/>
      <c r="C664" s="4"/>
      <c r="D664" s="21"/>
    </row>
    <row r="665" spans="1:4" ht="21" x14ac:dyDescent="0.25">
      <c r="A665" s="17"/>
      <c r="B665" s="17"/>
      <c r="C665" s="4"/>
      <c r="D665" s="21"/>
    </row>
    <row r="666" spans="1:4" ht="21" x14ac:dyDescent="0.25">
      <c r="A666" s="17"/>
      <c r="B666" s="17"/>
      <c r="C666" s="4"/>
      <c r="D666" s="21"/>
    </row>
    <row r="667" spans="1:4" ht="21" x14ac:dyDescent="0.25">
      <c r="A667" s="17"/>
      <c r="B667" s="17"/>
      <c r="C667" s="4"/>
      <c r="D667" s="21"/>
    </row>
    <row r="668" spans="1:4" ht="21" x14ac:dyDescent="0.25">
      <c r="A668" s="17"/>
      <c r="B668" s="17"/>
      <c r="C668" s="4"/>
      <c r="D668" s="21"/>
    </row>
    <row r="669" spans="1:4" ht="21" x14ac:dyDescent="0.25">
      <c r="A669" s="17"/>
      <c r="B669" s="17"/>
      <c r="C669" s="4"/>
      <c r="D669" s="21"/>
    </row>
    <row r="670" spans="1:4" ht="21" x14ac:dyDescent="0.25">
      <c r="A670" s="17"/>
      <c r="B670" s="17"/>
      <c r="C670" s="4"/>
      <c r="D670" s="21"/>
    </row>
    <row r="671" spans="1:4" ht="21" x14ac:dyDescent="0.25">
      <c r="A671" s="17"/>
      <c r="B671" s="17"/>
      <c r="C671" s="4"/>
      <c r="D671" s="21"/>
    </row>
    <row r="672" spans="1:4" ht="21" x14ac:dyDescent="0.25">
      <c r="A672" s="17"/>
      <c r="B672" s="17"/>
      <c r="C672" s="4"/>
      <c r="D672" s="21"/>
    </row>
    <row r="673" spans="1:4" ht="21" x14ac:dyDescent="0.25">
      <c r="A673" s="17"/>
      <c r="B673" s="17"/>
      <c r="C673" s="4"/>
      <c r="D673" s="21"/>
    </row>
    <row r="674" spans="1:4" ht="21" x14ac:dyDescent="0.25">
      <c r="A674" s="17"/>
      <c r="B674" s="17"/>
      <c r="C674" s="4"/>
      <c r="D674" s="21"/>
    </row>
    <row r="675" spans="1:4" ht="21" x14ac:dyDescent="0.25">
      <c r="A675" s="17"/>
      <c r="B675" s="17"/>
      <c r="C675" s="4"/>
      <c r="D675" s="21"/>
    </row>
    <row r="676" spans="1:4" ht="21" x14ac:dyDescent="0.25">
      <c r="A676" s="17"/>
      <c r="B676" s="17"/>
      <c r="C676" s="4"/>
      <c r="D676" s="21"/>
    </row>
    <row r="677" spans="1:4" ht="21" x14ac:dyDescent="0.25">
      <c r="A677" s="17"/>
      <c r="B677" s="17"/>
      <c r="C677" s="4"/>
      <c r="D677" s="21"/>
    </row>
    <row r="678" spans="1:4" ht="21" x14ac:dyDescent="0.25">
      <c r="A678" s="17"/>
      <c r="B678" s="17"/>
      <c r="C678" s="4"/>
      <c r="D678" s="21"/>
    </row>
    <row r="679" spans="1:4" ht="21" x14ac:dyDescent="0.25">
      <c r="A679" s="17"/>
      <c r="B679" s="17"/>
      <c r="C679" s="4"/>
      <c r="D679" s="21"/>
    </row>
    <row r="680" spans="1:4" ht="21" x14ac:dyDescent="0.25">
      <c r="A680" s="17"/>
      <c r="B680" s="17"/>
      <c r="C680" s="4"/>
      <c r="D680" s="21"/>
    </row>
    <row r="681" spans="1:4" ht="21" x14ac:dyDescent="0.25">
      <c r="A681" s="17"/>
      <c r="B681" s="17"/>
      <c r="C681" s="4"/>
      <c r="D681" s="21"/>
    </row>
    <row r="682" spans="1:4" ht="21" x14ac:dyDescent="0.25">
      <c r="A682" s="17"/>
      <c r="B682" s="17"/>
      <c r="C682" s="4"/>
      <c r="D682" s="21"/>
    </row>
    <row r="683" spans="1:4" ht="21" x14ac:dyDescent="0.25">
      <c r="A683" s="17"/>
      <c r="B683" s="17"/>
      <c r="C683" s="4"/>
      <c r="D683" s="21"/>
    </row>
    <row r="684" spans="1:4" ht="21" x14ac:dyDescent="0.25">
      <c r="A684" s="17"/>
      <c r="B684" s="17"/>
      <c r="C684" s="4"/>
      <c r="D684" s="21"/>
    </row>
    <row r="685" spans="1:4" ht="21" x14ac:dyDescent="0.25">
      <c r="A685" s="17"/>
      <c r="B685" s="17"/>
      <c r="C685" s="4"/>
      <c r="D685" s="21"/>
    </row>
    <row r="686" spans="1:4" ht="21" x14ac:dyDescent="0.25">
      <c r="A686" s="17"/>
      <c r="B686" s="17"/>
      <c r="C686" s="4"/>
      <c r="D686" s="21"/>
    </row>
    <row r="687" spans="1:4" ht="21" x14ac:dyDescent="0.25">
      <c r="A687" s="17"/>
      <c r="B687" s="17"/>
      <c r="C687" s="4"/>
      <c r="D687" s="21"/>
    </row>
    <row r="688" spans="1:4" ht="21" x14ac:dyDescent="0.25">
      <c r="A688" s="17"/>
      <c r="B688" s="17"/>
      <c r="C688" s="4"/>
      <c r="D688" s="21"/>
    </row>
    <row r="689" spans="1:4" ht="21" x14ac:dyDescent="0.25">
      <c r="A689" s="17"/>
      <c r="B689" s="17"/>
      <c r="C689" s="4"/>
      <c r="D689" s="21"/>
    </row>
    <row r="690" spans="1:4" ht="21" x14ac:dyDescent="0.25">
      <c r="A690" s="17"/>
      <c r="B690" s="17"/>
      <c r="C690" s="4"/>
      <c r="D690" s="21"/>
    </row>
    <row r="691" spans="1:4" ht="21" x14ac:dyDescent="0.25">
      <c r="A691" s="17"/>
      <c r="B691" s="17"/>
      <c r="C691" s="4"/>
      <c r="D691" s="21"/>
    </row>
    <row r="692" spans="1:4" ht="21" x14ac:dyDescent="0.25">
      <c r="A692" s="17"/>
      <c r="B692" s="17"/>
      <c r="C692" s="4"/>
      <c r="D692" s="21"/>
    </row>
    <row r="693" spans="1:4" ht="21" x14ac:dyDescent="0.25">
      <c r="A693" s="17"/>
      <c r="B693" s="17"/>
      <c r="C693" s="4"/>
      <c r="D693" s="21"/>
    </row>
    <row r="694" spans="1:4" ht="21" x14ac:dyDescent="0.25">
      <c r="A694" s="17"/>
      <c r="B694" s="17"/>
      <c r="C694" s="4"/>
      <c r="D694" s="21"/>
    </row>
    <row r="695" spans="1:4" ht="21" x14ac:dyDescent="0.25">
      <c r="A695" s="17"/>
      <c r="B695" s="17"/>
      <c r="C695" s="4"/>
      <c r="D695" s="21"/>
    </row>
    <row r="696" spans="1:4" ht="21" x14ac:dyDescent="0.25">
      <c r="A696" s="17"/>
      <c r="B696" s="17"/>
      <c r="C696" s="4"/>
      <c r="D696" s="21"/>
    </row>
    <row r="697" spans="1:4" ht="21" x14ac:dyDescent="0.25">
      <c r="A697" s="17"/>
      <c r="B697" s="17"/>
      <c r="C697" s="4"/>
      <c r="D697" s="21"/>
    </row>
    <row r="698" spans="1:4" ht="21" x14ac:dyDescent="0.25">
      <c r="A698" s="17"/>
      <c r="B698" s="17"/>
      <c r="C698" s="4"/>
      <c r="D698" s="21"/>
    </row>
    <row r="699" spans="1:4" ht="21" x14ac:dyDescent="0.25">
      <c r="A699" s="17"/>
      <c r="B699" s="17"/>
      <c r="C699" s="4"/>
      <c r="D699" s="21"/>
    </row>
    <row r="700" spans="1:4" ht="21" x14ac:dyDescent="0.25">
      <c r="A700" s="17"/>
      <c r="B700" s="17"/>
      <c r="C700" s="4"/>
      <c r="D700" s="21"/>
    </row>
    <row r="701" spans="1:4" ht="21" x14ac:dyDescent="0.25">
      <c r="A701" s="17"/>
      <c r="B701" s="17"/>
      <c r="C701" s="4"/>
      <c r="D701" s="21"/>
    </row>
    <row r="702" spans="1:4" ht="21" x14ac:dyDescent="0.25">
      <c r="A702" s="17"/>
      <c r="B702" s="17"/>
      <c r="C702" s="4"/>
      <c r="D702" s="21"/>
    </row>
    <row r="703" spans="1:4" ht="21" x14ac:dyDescent="0.25">
      <c r="A703" s="17"/>
      <c r="B703" s="17"/>
      <c r="C703" s="4"/>
      <c r="D703" s="21"/>
    </row>
    <row r="704" spans="1:4" ht="21" x14ac:dyDescent="0.25">
      <c r="A704" s="17"/>
      <c r="B704" s="17"/>
      <c r="C704" s="4"/>
      <c r="D704" s="21"/>
    </row>
    <row r="705" spans="1:4" ht="21" x14ac:dyDescent="0.25">
      <c r="A705" s="17"/>
      <c r="B705" s="17"/>
      <c r="C705" s="4"/>
      <c r="D705" s="21"/>
    </row>
    <row r="706" spans="1:4" ht="21" x14ac:dyDescent="0.25">
      <c r="A706" s="17"/>
      <c r="B706" s="17"/>
      <c r="C706" s="4"/>
      <c r="D706" s="21"/>
    </row>
    <row r="707" spans="1:4" ht="21" x14ac:dyDescent="0.25">
      <c r="A707" s="17"/>
      <c r="B707" s="17"/>
      <c r="C707" s="4"/>
      <c r="D707" s="21"/>
    </row>
    <row r="708" spans="1:4" ht="21" x14ac:dyDescent="0.25">
      <c r="A708" s="17"/>
      <c r="B708" s="17"/>
      <c r="C708" s="4"/>
      <c r="D708" s="21"/>
    </row>
    <row r="709" spans="1:4" ht="21" x14ac:dyDescent="0.25">
      <c r="A709" s="17"/>
      <c r="B709" s="17"/>
      <c r="C709" s="4"/>
      <c r="D709" s="21"/>
    </row>
    <row r="710" spans="1:4" ht="21" x14ac:dyDescent="0.25">
      <c r="A710" s="17"/>
      <c r="B710" s="17"/>
      <c r="C710" s="4"/>
      <c r="D710" s="21"/>
    </row>
    <row r="711" spans="1:4" ht="21" x14ac:dyDescent="0.25">
      <c r="A711" s="17"/>
      <c r="B711" s="17"/>
      <c r="C711" s="4"/>
      <c r="D711" s="21"/>
    </row>
    <row r="712" spans="1:4" ht="21" x14ac:dyDescent="0.25">
      <c r="A712" s="17"/>
      <c r="B712" s="17"/>
      <c r="C712" s="4"/>
      <c r="D712" s="21"/>
    </row>
    <row r="713" spans="1:4" ht="21" x14ac:dyDescent="0.25">
      <c r="A713" s="17"/>
      <c r="B713" s="17"/>
      <c r="C713" s="4"/>
      <c r="D713" s="21"/>
    </row>
    <row r="714" spans="1:4" ht="21" x14ac:dyDescent="0.25">
      <c r="A714" s="17"/>
      <c r="B714" s="17"/>
      <c r="C714" s="4"/>
      <c r="D714" s="21"/>
    </row>
    <row r="715" spans="1:4" ht="21" x14ac:dyDescent="0.25">
      <c r="A715" s="17"/>
      <c r="B715" s="17"/>
      <c r="C715" s="4"/>
      <c r="D715" s="21"/>
    </row>
    <row r="716" spans="1:4" ht="21" x14ac:dyDescent="0.25">
      <c r="A716" s="17"/>
      <c r="B716" s="17"/>
      <c r="C716" s="4"/>
      <c r="D716" s="21"/>
    </row>
    <row r="717" spans="1:4" ht="21" x14ac:dyDescent="0.25">
      <c r="A717" s="17"/>
      <c r="B717" s="17"/>
      <c r="C717" s="4"/>
      <c r="D717" s="21"/>
    </row>
    <row r="718" spans="1:4" ht="21" x14ac:dyDescent="0.25">
      <c r="A718" s="17"/>
      <c r="B718" s="17"/>
      <c r="C718" s="4"/>
      <c r="D718" s="21"/>
    </row>
    <row r="719" spans="1:4" ht="21" x14ac:dyDescent="0.25">
      <c r="A719" s="17"/>
      <c r="B719" s="17"/>
      <c r="C719" s="4"/>
      <c r="D719" s="21"/>
    </row>
    <row r="720" spans="1:4" ht="21" x14ac:dyDescent="0.25">
      <c r="A720" s="17"/>
      <c r="B720" s="17"/>
      <c r="C720" s="4"/>
      <c r="D720" s="21"/>
    </row>
    <row r="721" spans="1:4" ht="21" x14ac:dyDescent="0.25">
      <c r="A721" s="17"/>
      <c r="B721" s="17"/>
      <c r="C721" s="4"/>
      <c r="D721" s="21"/>
    </row>
    <row r="722" spans="1:4" ht="21" x14ac:dyDescent="0.25">
      <c r="A722" s="17"/>
      <c r="B722" s="17"/>
      <c r="C722" s="4"/>
      <c r="D722" s="21"/>
    </row>
    <row r="723" spans="1:4" ht="21" x14ac:dyDescent="0.25">
      <c r="A723" s="17"/>
      <c r="B723" s="17"/>
      <c r="C723" s="4"/>
      <c r="D723" s="21"/>
    </row>
    <row r="724" spans="1:4" ht="21" x14ac:dyDescent="0.25">
      <c r="A724" s="17"/>
      <c r="B724" s="17"/>
      <c r="C724" s="4"/>
      <c r="D724" s="21"/>
    </row>
    <row r="725" spans="1:4" ht="21" x14ac:dyDescent="0.25">
      <c r="A725" s="17"/>
      <c r="B725" s="17"/>
      <c r="C725" s="4"/>
      <c r="D725" s="21"/>
    </row>
    <row r="726" spans="1:4" ht="21" x14ac:dyDescent="0.25">
      <c r="A726" s="17"/>
      <c r="B726" s="17"/>
      <c r="C726" s="4"/>
      <c r="D726" s="21"/>
    </row>
    <row r="727" spans="1:4" ht="21" x14ac:dyDescent="0.25">
      <c r="A727" s="17"/>
      <c r="B727" s="17"/>
      <c r="C727" s="4"/>
      <c r="D727" s="21"/>
    </row>
    <row r="728" spans="1:4" ht="21" x14ac:dyDescent="0.25">
      <c r="A728" s="17"/>
      <c r="B728" s="17"/>
      <c r="C728" s="4"/>
      <c r="D728" s="21"/>
    </row>
    <row r="729" spans="1:4" ht="21" x14ac:dyDescent="0.25">
      <c r="A729" s="17"/>
      <c r="B729" s="17"/>
      <c r="C729" s="4"/>
      <c r="D729" s="21"/>
    </row>
    <row r="730" spans="1:4" ht="21" x14ac:dyDescent="0.25">
      <c r="A730" s="17"/>
      <c r="B730" s="17"/>
      <c r="C730" s="4"/>
      <c r="D730" s="21"/>
    </row>
    <row r="731" spans="1:4" ht="21" x14ac:dyDescent="0.25">
      <c r="A731" s="17"/>
      <c r="B731" s="17"/>
      <c r="C731" s="4"/>
      <c r="D731" s="21"/>
    </row>
    <row r="732" spans="1:4" ht="21" x14ac:dyDescent="0.25">
      <c r="A732" s="17"/>
      <c r="B732" s="17"/>
      <c r="C732" s="4"/>
      <c r="D732" s="21"/>
    </row>
    <row r="733" spans="1:4" ht="21" x14ac:dyDescent="0.25">
      <c r="A733" s="17"/>
      <c r="B733" s="17"/>
      <c r="C733" s="4"/>
      <c r="D733" s="21"/>
    </row>
    <row r="734" spans="1:4" ht="21" x14ac:dyDescent="0.25">
      <c r="A734" s="17"/>
      <c r="B734" s="17"/>
      <c r="C734" s="4"/>
      <c r="D734" s="21"/>
    </row>
    <row r="735" spans="1:4" ht="21" x14ac:dyDescent="0.25">
      <c r="A735" s="17"/>
      <c r="B735" s="17"/>
      <c r="C735" s="4"/>
      <c r="D735" s="21"/>
    </row>
    <row r="736" spans="1:4" ht="21" x14ac:dyDescent="0.25">
      <c r="A736" s="17"/>
      <c r="B736" s="17"/>
      <c r="C736" s="4"/>
      <c r="D736" s="21"/>
    </row>
    <row r="737" spans="1:4" ht="21" x14ac:dyDescent="0.25">
      <c r="A737" s="17"/>
      <c r="B737" s="17"/>
      <c r="C737" s="4"/>
      <c r="D737" s="21"/>
    </row>
    <row r="738" spans="1:4" ht="21" x14ac:dyDescent="0.25">
      <c r="A738" s="17"/>
      <c r="B738" s="17"/>
      <c r="C738" s="4"/>
      <c r="D738" s="21"/>
    </row>
    <row r="739" spans="1:4" ht="21" x14ac:dyDescent="0.25">
      <c r="A739" s="17"/>
      <c r="B739" s="17"/>
      <c r="C739" s="4"/>
      <c r="D739" s="21"/>
    </row>
    <row r="740" spans="1:4" ht="21" x14ac:dyDescent="0.25">
      <c r="A740" s="17"/>
      <c r="B740" s="17"/>
      <c r="C740" s="4"/>
      <c r="D740" s="21"/>
    </row>
    <row r="741" spans="1:4" ht="21" x14ac:dyDescent="0.25">
      <c r="A741" s="17"/>
      <c r="B741" s="17"/>
      <c r="C741" s="4"/>
      <c r="D741" s="21"/>
    </row>
    <row r="742" spans="1:4" ht="21" x14ac:dyDescent="0.25">
      <c r="A742" s="17"/>
      <c r="B742" s="17"/>
      <c r="C742" s="4"/>
      <c r="D742" s="21"/>
    </row>
    <row r="743" spans="1:4" ht="21" x14ac:dyDescent="0.25">
      <c r="A743" s="17"/>
      <c r="B743" s="17"/>
      <c r="C743" s="4"/>
      <c r="D743" s="21"/>
    </row>
    <row r="744" spans="1:4" ht="21" x14ac:dyDescent="0.25">
      <c r="A744" s="17"/>
      <c r="B744" s="17"/>
      <c r="C744" s="4"/>
      <c r="D744" s="21"/>
    </row>
    <row r="745" spans="1:4" ht="21" x14ac:dyDescent="0.25">
      <c r="A745" s="17"/>
      <c r="B745" s="17"/>
      <c r="C745" s="4"/>
      <c r="D745" s="21"/>
    </row>
    <row r="746" spans="1:4" ht="21" x14ac:dyDescent="0.25">
      <c r="A746" s="17"/>
      <c r="B746" s="17"/>
      <c r="C746" s="4"/>
      <c r="D746" s="21"/>
    </row>
    <row r="747" spans="1:4" ht="21" x14ac:dyDescent="0.25">
      <c r="A747" s="17"/>
      <c r="B747" s="17"/>
      <c r="C747" s="4"/>
      <c r="D747" s="21"/>
    </row>
    <row r="748" spans="1:4" ht="21" x14ac:dyDescent="0.25">
      <c r="A748" s="17"/>
      <c r="B748" s="17"/>
      <c r="C748" s="4"/>
      <c r="D748" s="21"/>
    </row>
    <row r="749" spans="1:4" ht="21" x14ac:dyDescent="0.25">
      <c r="A749" s="17"/>
      <c r="B749" s="17"/>
      <c r="C749" s="4"/>
      <c r="D749" s="21"/>
    </row>
    <row r="750" spans="1:4" ht="21" x14ac:dyDescent="0.25">
      <c r="A750" s="17"/>
      <c r="B750" s="17"/>
      <c r="C750" s="4"/>
      <c r="D750" s="21"/>
    </row>
    <row r="751" spans="1:4" ht="21" x14ac:dyDescent="0.25">
      <c r="A751" s="17"/>
      <c r="B751" s="17"/>
      <c r="C751" s="4"/>
      <c r="D751" s="21"/>
    </row>
    <row r="752" spans="1:4" ht="21" x14ac:dyDescent="0.25">
      <c r="A752" s="17"/>
      <c r="B752" s="17"/>
      <c r="C752" s="4"/>
      <c r="D752" s="21"/>
    </row>
    <row r="753" spans="1:4" ht="21" x14ac:dyDescent="0.25">
      <c r="A753" s="17"/>
      <c r="B753" s="17"/>
      <c r="C753" s="4"/>
      <c r="D753" s="21"/>
    </row>
    <row r="754" spans="1:4" ht="21" x14ac:dyDescent="0.25">
      <c r="A754" s="17"/>
      <c r="B754" s="17"/>
      <c r="C754" s="4"/>
      <c r="D754" s="21"/>
    </row>
    <row r="755" spans="1:4" ht="21" x14ac:dyDescent="0.25">
      <c r="A755" s="17"/>
      <c r="B755" s="17"/>
      <c r="C755" s="4"/>
      <c r="D755" s="21"/>
    </row>
    <row r="756" spans="1:4" ht="21" x14ac:dyDescent="0.25">
      <c r="A756" s="17"/>
      <c r="B756" s="17"/>
      <c r="C756" s="4"/>
      <c r="D756" s="21"/>
    </row>
    <row r="757" spans="1:4" ht="21" x14ac:dyDescent="0.25">
      <c r="A757" s="17"/>
      <c r="B757" s="17"/>
      <c r="C757" s="4"/>
      <c r="D757" s="21"/>
    </row>
    <row r="758" spans="1:4" ht="21" x14ac:dyDescent="0.25">
      <c r="A758" s="17"/>
      <c r="B758" s="17"/>
      <c r="C758" s="4"/>
      <c r="D758" s="21"/>
    </row>
    <row r="759" spans="1:4" ht="21" x14ac:dyDescent="0.25">
      <c r="A759" s="17"/>
      <c r="B759" s="17"/>
      <c r="C759" s="4"/>
      <c r="D759" s="21"/>
    </row>
    <row r="760" spans="1:4" ht="21" x14ac:dyDescent="0.25">
      <c r="A760" s="17"/>
      <c r="B760" s="17"/>
      <c r="C760" s="4"/>
      <c r="D760" s="21"/>
    </row>
    <row r="761" spans="1:4" ht="21" x14ac:dyDescent="0.25">
      <c r="A761" s="17"/>
      <c r="B761" s="17"/>
      <c r="C761" s="4"/>
      <c r="D761" s="21"/>
    </row>
    <row r="762" spans="1:4" ht="21" x14ac:dyDescent="0.25">
      <c r="A762" s="17"/>
      <c r="B762" s="17"/>
      <c r="C762" s="4"/>
      <c r="D762" s="21"/>
    </row>
    <row r="763" spans="1:4" ht="21" x14ac:dyDescent="0.25">
      <c r="A763" s="17"/>
      <c r="B763" s="17"/>
      <c r="C763" s="4"/>
      <c r="D763" s="21"/>
    </row>
    <row r="764" spans="1:4" ht="21" x14ac:dyDescent="0.25">
      <c r="A764" s="17"/>
      <c r="B764" s="17"/>
      <c r="C764" s="4"/>
      <c r="D764" s="21"/>
    </row>
    <row r="765" spans="1:4" ht="21" x14ac:dyDescent="0.25">
      <c r="A765" s="17"/>
      <c r="B765" s="17"/>
      <c r="C765" s="4"/>
      <c r="D765" s="21"/>
    </row>
    <row r="766" spans="1:4" ht="21" x14ac:dyDescent="0.25">
      <c r="A766" s="17"/>
      <c r="B766" s="17"/>
      <c r="C766" s="4"/>
      <c r="D766" s="21"/>
    </row>
    <row r="767" spans="1:4" ht="21" x14ac:dyDescent="0.25">
      <c r="A767" s="17"/>
      <c r="B767" s="17"/>
      <c r="C767" s="4"/>
      <c r="D767" s="21"/>
    </row>
    <row r="768" spans="1:4" ht="21" x14ac:dyDescent="0.25">
      <c r="A768" s="17"/>
      <c r="B768" s="17"/>
      <c r="C768" s="4"/>
      <c r="D768" s="21"/>
    </row>
    <row r="769" spans="1:4" ht="21" x14ac:dyDescent="0.25">
      <c r="A769" s="17"/>
      <c r="B769" s="17"/>
      <c r="C769" s="4"/>
      <c r="D769" s="21"/>
    </row>
    <row r="770" spans="1:4" ht="21" x14ac:dyDescent="0.25">
      <c r="A770" s="17"/>
      <c r="B770" s="17"/>
      <c r="C770" s="4"/>
      <c r="D770" s="21"/>
    </row>
    <row r="771" spans="1:4" ht="21" x14ac:dyDescent="0.25">
      <c r="A771" s="17"/>
      <c r="B771" s="17"/>
      <c r="C771" s="4"/>
      <c r="D771" s="21"/>
    </row>
    <row r="772" spans="1:4" ht="21" x14ac:dyDescent="0.25">
      <c r="A772" s="17"/>
      <c r="B772" s="17"/>
      <c r="C772" s="4"/>
      <c r="D772" s="21"/>
    </row>
    <row r="773" spans="1:4" ht="21" x14ac:dyDescent="0.25">
      <c r="A773" s="17"/>
      <c r="B773" s="17"/>
      <c r="C773" s="4"/>
      <c r="D773" s="21"/>
    </row>
    <row r="774" spans="1:4" ht="21" x14ac:dyDescent="0.25">
      <c r="A774" s="17"/>
      <c r="B774" s="17"/>
      <c r="C774" s="4"/>
      <c r="D774" s="21"/>
    </row>
    <row r="775" spans="1:4" ht="21" x14ac:dyDescent="0.25">
      <c r="A775" s="17"/>
      <c r="B775" s="17"/>
      <c r="C775" s="4"/>
      <c r="D775" s="21"/>
    </row>
    <row r="776" spans="1:4" ht="21" x14ac:dyDescent="0.25">
      <c r="A776" s="17"/>
      <c r="B776" s="17"/>
      <c r="C776" s="4"/>
      <c r="D776" s="21"/>
    </row>
    <row r="777" spans="1:4" ht="21" x14ac:dyDescent="0.25">
      <c r="A777" s="17"/>
      <c r="B777" s="17"/>
      <c r="C777" s="4"/>
      <c r="D777" s="21"/>
    </row>
    <row r="778" spans="1:4" ht="21" x14ac:dyDescent="0.25">
      <c r="A778" s="17"/>
      <c r="B778" s="17"/>
      <c r="C778" s="4"/>
      <c r="D778" s="21"/>
    </row>
    <row r="779" spans="1:4" ht="21" x14ac:dyDescent="0.25">
      <c r="A779" s="17"/>
      <c r="B779" s="17"/>
      <c r="C779" s="4"/>
      <c r="D779" s="21"/>
    </row>
    <row r="780" spans="1:4" ht="21" x14ac:dyDescent="0.25">
      <c r="A780" s="17"/>
      <c r="B780" s="17"/>
      <c r="C780" s="4"/>
      <c r="D780" s="21"/>
    </row>
    <row r="781" spans="1:4" ht="21" x14ac:dyDescent="0.25">
      <c r="A781" s="17"/>
      <c r="B781" s="17"/>
      <c r="C781" s="4"/>
      <c r="D781" s="21"/>
    </row>
    <row r="782" spans="1:4" ht="21" x14ac:dyDescent="0.25">
      <c r="A782" s="17"/>
      <c r="B782" s="17"/>
      <c r="C782" s="4"/>
      <c r="D782" s="21"/>
    </row>
    <row r="783" spans="1:4" ht="21" x14ac:dyDescent="0.25">
      <c r="A783" s="17"/>
      <c r="B783" s="17"/>
      <c r="C783" s="4"/>
      <c r="D783" s="21"/>
    </row>
    <row r="784" spans="1:4" ht="21" x14ac:dyDescent="0.25">
      <c r="A784" s="17"/>
      <c r="B784" s="17"/>
      <c r="C784" s="4"/>
      <c r="D784" s="21"/>
    </row>
    <row r="785" spans="1:4" ht="21" x14ac:dyDescent="0.25">
      <c r="A785" s="17"/>
      <c r="B785" s="17"/>
      <c r="C785" s="4"/>
      <c r="D785" s="21"/>
    </row>
    <row r="786" spans="1:4" ht="21" x14ac:dyDescent="0.25">
      <c r="A786" s="17"/>
      <c r="B786" s="17"/>
      <c r="C786" s="4"/>
      <c r="D786" s="21"/>
    </row>
    <row r="787" spans="1:4" ht="21" x14ac:dyDescent="0.25">
      <c r="A787" s="17"/>
      <c r="B787" s="17"/>
      <c r="C787" s="4"/>
      <c r="D787" s="21"/>
    </row>
    <row r="788" spans="1:4" ht="21" x14ac:dyDescent="0.25">
      <c r="A788" s="17"/>
      <c r="B788" s="17"/>
      <c r="C788" s="4"/>
      <c r="D788" s="21"/>
    </row>
    <row r="789" spans="1:4" ht="21" x14ac:dyDescent="0.25">
      <c r="A789" s="17"/>
      <c r="B789" s="17"/>
      <c r="C789" s="4"/>
      <c r="D789" s="21"/>
    </row>
    <row r="790" spans="1:4" ht="21" x14ac:dyDescent="0.25">
      <c r="A790" s="17"/>
      <c r="B790" s="17"/>
      <c r="C790" s="4"/>
      <c r="D790" s="21"/>
    </row>
    <row r="791" spans="1:4" ht="21" x14ac:dyDescent="0.25">
      <c r="A791" s="17"/>
      <c r="B791" s="17"/>
      <c r="C791" s="4"/>
      <c r="D791" s="21"/>
    </row>
    <row r="792" spans="1:4" ht="21" x14ac:dyDescent="0.25">
      <c r="A792" s="17"/>
      <c r="B792" s="17"/>
      <c r="C792" s="4"/>
      <c r="D792" s="21"/>
    </row>
    <row r="793" spans="1:4" ht="21" x14ac:dyDescent="0.25">
      <c r="A793" s="17"/>
      <c r="B793" s="17"/>
      <c r="C793" s="4"/>
      <c r="D793" s="21"/>
    </row>
    <row r="794" spans="1:4" ht="21" x14ac:dyDescent="0.25">
      <c r="A794" s="17"/>
      <c r="B794" s="17"/>
      <c r="C794" s="4"/>
      <c r="D794" s="21"/>
    </row>
    <row r="795" spans="1:4" ht="21" x14ac:dyDescent="0.25">
      <c r="A795" s="17"/>
      <c r="B795" s="17"/>
      <c r="C795" s="4"/>
      <c r="D795" s="21"/>
    </row>
    <row r="796" spans="1:4" ht="21" x14ac:dyDescent="0.25">
      <c r="A796" s="17"/>
      <c r="B796" s="17"/>
      <c r="C796" s="4"/>
      <c r="D796" s="21"/>
    </row>
    <row r="797" spans="1:4" ht="21" x14ac:dyDescent="0.25">
      <c r="A797" s="17"/>
      <c r="B797" s="17"/>
      <c r="C797" s="4"/>
      <c r="D797" s="21"/>
    </row>
    <row r="798" spans="1:4" ht="21" x14ac:dyDescent="0.25">
      <c r="A798" s="17"/>
      <c r="B798" s="17"/>
      <c r="C798" s="4"/>
      <c r="D798" s="21"/>
    </row>
    <row r="799" spans="1:4" ht="21" x14ac:dyDescent="0.25">
      <c r="A799" s="17"/>
      <c r="B799" s="17"/>
      <c r="C799" s="4"/>
      <c r="D799" s="21"/>
    </row>
    <row r="800" spans="1:4" ht="21" x14ac:dyDescent="0.25">
      <c r="A800" s="17"/>
      <c r="B800" s="17"/>
      <c r="C800" s="4"/>
      <c r="D800" s="21"/>
    </row>
    <row r="801" spans="1:4" ht="21" x14ac:dyDescent="0.25">
      <c r="A801" s="17"/>
      <c r="B801" s="17"/>
      <c r="C801" s="4"/>
      <c r="D801" s="21"/>
    </row>
    <row r="802" spans="1:4" ht="21" x14ac:dyDescent="0.25">
      <c r="A802" s="17"/>
      <c r="B802" s="17"/>
      <c r="C802" s="4"/>
      <c r="D802" s="21"/>
    </row>
    <row r="803" spans="1:4" ht="21" x14ac:dyDescent="0.25">
      <c r="A803" s="17"/>
      <c r="B803" s="17"/>
      <c r="C803" s="4"/>
      <c r="D803" s="21"/>
    </row>
    <row r="804" spans="1:4" ht="21" x14ac:dyDescent="0.25">
      <c r="A804" s="17"/>
      <c r="B804" s="17"/>
      <c r="C804" s="4"/>
      <c r="D804" s="21"/>
    </row>
    <row r="805" spans="1:4" ht="21" x14ac:dyDescent="0.25">
      <c r="A805" s="17"/>
      <c r="B805" s="17"/>
      <c r="C805" s="4"/>
      <c r="D805" s="21"/>
    </row>
    <row r="806" spans="1:4" ht="21" x14ac:dyDescent="0.25">
      <c r="A806" s="17"/>
      <c r="B806" s="17"/>
      <c r="C806" s="4"/>
      <c r="D806" s="21"/>
    </row>
    <row r="807" spans="1:4" ht="21" x14ac:dyDescent="0.25">
      <c r="A807" s="17"/>
      <c r="B807" s="17"/>
      <c r="C807" s="4"/>
      <c r="D807" s="21"/>
    </row>
    <row r="808" spans="1:4" ht="21" x14ac:dyDescent="0.25">
      <c r="A808" s="17"/>
      <c r="B808" s="17"/>
      <c r="C808" s="4"/>
      <c r="D808" s="21"/>
    </row>
    <row r="809" spans="1:4" ht="21" x14ac:dyDescent="0.25">
      <c r="A809" s="17"/>
      <c r="B809" s="17"/>
      <c r="C809" s="4"/>
      <c r="D809" s="21"/>
    </row>
    <row r="810" spans="1:4" ht="21" x14ac:dyDescent="0.25">
      <c r="A810" s="17"/>
      <c r="B810" s="17"/>
      <c r="C810" s="4"/>
      <c r="D810" s="21"/>
    </row>
    <row r="811" spans="1:4" ht="21" x14ac:dyDescent="0.25">
      <c r="A811" s="17"/>
      <c r="B811" s="17"/>
      <c r="C811" s="4"/>
      <c r="D811" s="21"/>
    </row>
    <row r="812" spans="1:4" ht="21" x14ac:dyDescent="0.25">
      <c r="A812" s="17"/>
      <c r="B812" s="17"/>
      <c r="C812" s="4"/>
      <c r="D812" s="21"/>
    </row>
    <row r="813" spans="1:4" ht="21" x14ac:dyDescent="0.25">
      <c r="A813" s="17"/>
      <c r="B813" s="17"/>
      <c r="C813" s="4"/>
      <c r="D813" s="21"/>
    </row>
    <row r="814" spans="1:4" ht="21" x14ac:dyDescent="0.25">
      <c r="A814" s="17"/>
      <c r="B814" s="17"/>
      <c r="C814" s="4"/>
      <c r="D814" s="21"/>
    </row>
    <row r="815" spans="1:4" ht="21" x14ac:dyDescent="0.25">
      <c r="A815" s="17"/>
      <c r="B815" s="17"/>
      <c r="C815" s="4"/>
      <c r="D815" s="21"/>
    </row>
    <row r="816" spans="1:4" ht="21" x14ac:dyDescent="0.25">
      <c r="A816" s="17"/>
      <c r="B816" s="17"/>
      <c r="C816" s="4"/>
      <c r="D816" s="21"/>
    </row>
    <row r="817" spans="1:4" ht="21" x14ac:dyDescent="0.25">
      <c r="A817" s="17"/>
      <c r="B817" s="17"/>
      <c r="C817" s="4"/>
      <c r="D817" s="21"/>
    </row>
    <row r="818" spans="1:4" ht="21" x14ac:dyDescent="0.25">
      <c r="A818" s="17"/>
      <c r="B818" s="17"/>
      <c r="C818" s="4"/>
      <c r="D818" s="21"/>
    </row>
    <row r="819" spans="1:4" ht="21" x14ac:dyDescent="0.25">
      <c r="A819" s="17"/>
      <c r="B819" s="17"/>
      <c r="C819" s="4"/>
      <c r="D819" s="21"/>
    </row>
    <row r="820" spans="1:4" ht="21" x14ac:dyDescent="0.25">
      <c r="A820" s="17"/>
      <c r="B820" s="17"/>
      <c r="C820" s="4"/>
      <c r="D820" s="21"/>
    </row>
    <row r="821" spans="1:4" ht="21" x14ac:dyDescent="0.25">
      <c r="A821" s="17"/>
      <c r="B821" s="17"/>
      <c r="C821" s="4"/>
      <c r="D821" s="21"/>
    </row>
    <row r="822" spans="1:4" ht="21" x14ac:dyDescent="0.25">
      <c r="A822" s="17"/>
      <c r="B822" s="17"/>
      <c r="C822" s="4"/>
      <c r="D822" s="21"/>
    </row>
    <row r="823" spans="1:4" ht="21" x14ac:dyDescent="0.25">
      <c r="A823" s="17"/>
      <c r="B823" s="17"/>
      <c r="C823" s="4"/>
      <c r="D823" s="21"/>
    </row>
    <row r="824" spans="1:4" ht="21" x14ac:dyDescent="0.25">
      <c r="A824" s="17"/>
      <c r="B824" s="17"/>
      <c r="C824" s="4"/>
      <c r="D824" s="21"/>
    </row>
    <row r="825" spans="1:4" ht="21" x14ac:dyDescent="0.25">
      <c r="A825" s="17"/>
      <c r="B825" s="17"/>
      <c r="C825" s="4"/>
      <c r="D825" s="21"/>
    </row>
    <row r="826" spans="1:4" ht="21" x14ac:dyDescent="0.25">
      <c r="A826" s="17"/>
      <c r="B826" s="17"/>
      <c r="C826" s="4"/>
      <c r="D826" s="21"/>
    </row>
    <row r="827" spans="1:4" ht="21" x14ac:dyDescent="0.25">
      <c r="A827" s="17"/>
      <c r="B827" s="17"/>
      <c r="C827" s="4"/>
      <c r="D827" s="21"/>
    </row>
    <row r="828" spans="1:4" ht="21" x14ac:dyDescent="0.25">
      <c r="A828" s="17"/>
      <c r="B828" s="17"/>
      <c r="C828" s="4"/>
      <c r="D828" s="21"/>
    </row>
    <row r="829" spans="1:4" ht="21" x14ac:dyDescent="0.25">
      <c r="A829" s="17"/>
      <c r="B829" s="17"/>
      <c r="C829" s="4"/>
      <c r="D829" s="21"/>
    </row>
    <row r="830" spans="1:4" ht="21" x14ac:dyDescent="0.25">
      <c r="A830" s="17"/>
      <c r="B830" s="17"/>
      <c r="C830" s="4"/>
      <c r="D830" s="21"/>
    </row>
    <row r="831" spans="1:4" ht="21" x14ac:dyDescent="0.25">
      <c r="A831" s="17"/>
      <c r="B831" s="17"/>
      <c r="C831" s="4"/>
      <c r="D831" s="21"/>
    </row>
    <row r="832" spans="1:4" ht="21" x14ac:dyDescent="0.25">
      <c r="A832" s="17"/>
      <c r="B832" s="17"/>
      <c r="C832" s="4"/>
      <c r="D832" s="21"/>
    </row>
    <row r="833" spans="1:4" ht="21" x14ac:dyDescent="0.25">
      <c r="A833" s="17"/>
      <c r="B833" s="17"/>
      <c r="C833" s="4"/>
      <c r="D833" s="21"/>
    </row>
    <row r="834" spans="1:4" ht="21" x14ac:dyDescent="0.25">
      <c r="A834" s="17"/>
      <c r="B834" s="17"/>
      <c r="C834" s="4"/>
      <c r="D834" s="21"/>
    </row>
    <row r="835" spans="1:4" ht="21" x14ac:dyDescent="0.25">
      <c r="A835" s="17"/>
      <c r="B835" s="17"/>
      <c r="C835" s="4"/>
      <c r="D835" s="21"/>
    </row>
    <row r="836" spans="1:4" ht="21" x14ac:dyDescent="0.25">
      <c r="A836" s="17"/>
      <c r="B836" s="17"/>
      <c r="C836" s="4"/>
      <c r="D836" s="21"/>
    </row>
    <row r="837" spans="1:4" ht="21" x14ac:dyDescent="0.25">
      <c r="A837" s="17"/>
      <c r="B837" s="17"/>
      <c r="C837" s="4"/>
      <c r="D837" s="21"/>
    </row>
    <row r="838" spans="1:4" ht="21" x14ac:dyDescent="0.25">
      <c r="A838" s="17"/>
      <c r="B838" s="17"/>
      <c r="C838" s="4"/>
      <c r="D838" s="21"/>
    </row>
    <row r="839" spans="1:4" ht="21" x14ac:dyDescent="0.25">
      <c r="A839" s="17"/>
      <c r="B839" s="17"/>
      <c r="C839" s="4"/>
      <c r="D839" s="21"/>
    </row>
    <row r="840" spans="1:4" ht="21" x14ac:dyDescent="0.25">
      <c r="A840" s="17"/>
      <c r="B840" s="17"/>
      <c r="C840" s="4"/>
      <c r="D840" s="21"/>
    </row>
    <row r="841" spans="1:4" ht="21" x14ac:dyDescent="0.25">
      <c r="A841" s="17"/>
      <c r="B841" s="17"/>
      <c r="C841" s="4"/>
      <c r="D841" s="21"/>
    </row>
    <row r="842" spans="1:4" ht="21" x14ac:dyDescent="0.25">
      <c r="A842" s="17"/>
      <c r="B842" s="17"/>
      <c r="C842" s="4"/>
      <c r="D842" s="21"/>
    </row>
    <row r="843" spans="1:4" ht="21" x14ac:dyDescent="0.25">
      <c r="A843" s="17"/>
      <c r="B843" s="17"/>
      <c r="C843" s="4"/>
      <c r="D843" s="21"/>
    </row>
    <row r="844" spans="1:4" ht="21" x14ac:dyDescent="0.25">
      <c r="A844" s="17"/>
      <c r="B844" s="17"/>
      <c r="C844" s="4"/>
      <c r="D844" s="21"/>
    </row>
    <row r="845" spans="1:4" ht="21" x14ac:dyDescent="0.25">
      <c r="A845" s="17"/>
      <c r="B845" s="17"/>
      <c r="C845" s="4"/>
      <c r="D845" s="21"/>
    </row>
    <row r="846" spans="1:4" ht="21" x14ac:dyDescent="0.25">
      <c r="A846" s="17"/>
      <c r="B846" s="17"/>
      <c r="C846" s="4"/>
      <c r="D846" s="21"/>
    </row>
    <row r="847" spans="1:4" ht="21" x14ac:dyDescent="0.25">
      <c r="A847" s="17"/>
      <c r="B847" s="17"/>
      <c r="C847" s="4"/>
      <c r="D847" s="21"/>
    </row>
    <row r="848" spans="1:4" ht="21" x14ac:dyDescent="0.25">
      <c r="A848" s="17"/>
      <c r="B848" s="17"/>
      <c r="C848" s="4"/>
      <c r="D848" s="21"/>
    </row>
    <row r="849" spans="1:4" ht="21" x14ac:dyDescent="0.25">
      <c r="A849" s="17"/>
      <c r="B849" s="17"/>
      <c r="C849" s="4"/>
      <c r="D849" s="21"/>
    </row>
    <row r="850" spans="1:4" ht="21" x14ac:dyDescent="0.25">
      <c r="A850" s="17"/>
      <c r="B850" s="17"/>
      <c r="C850" s="4"/>
      <c r="D850" s="21"/>
    </row>
    <row r="851" spans="1:4" ht="21" x14ac:dyDescent="0.25">
      <c r="A851" s="17"/>
      <c r="B851" s="17"/>
      <c r="C851" s="4"/>
      <c r="D851" s="21"/>
    </row>
    <row r="852" spans="1:4" ht="21" x14ac:dyDescent="0.25">
      <c r="A852" s="17"/>
      <c r="B852" s="17"/>
      <c r="C852" s="4"/>
      <c r="D852" s="21"/>
    </row>
    <row r="853" spans="1:4" ht="21" x14ac:dyDescent="0.25">
      <c r="A853" s="17"/>
      <c r="B853" s="17"/>
      <c r="C853" s="4"/>
      <c r="D853" s="21"/>
    </row>
    <row r="854" spans="1:4" ht="21" x14ac:dyDescent="0.25">
      <c r="A854" s="17"/>
      <c r="B854" s="17"/>
      <c r="C854" s="4"/>
      <c r="D854" s="21"/>
    </row>
    <row r="855" spans="1:4" ht="21" x14ac:dyDescent="0.25">
      <c r="A855" s="17"/>
      <c r="B855" s="17"/>
      <c r="C855" s="4"/>
      <c r="D855" s="21"/>
    </row>
    <row r="856" spans="1:4" ht="21" x14ac:dyDescent="0.25">
      <c r="A856" s="17"/>
      <c r="B856" s="17"/>
      <c r="C856" s="4"/>
      <c r="D856" s="21"/>
    </row>
    <row r="857" spans="1:4" ht="21" x14ac:dyDescent="0.25">
      <c r="A857" s="17"/>
      <c r="B857" s="17"/>
      <c r="C857" s="4"/>
      <c r="D857" s="21"/>
    </row>
    <row r="858" spans="1:4" ht="21" x14ac:dyDescent="0.25">
      <c r="A858" s="17"/>
      <c r="B858" s="17"/>
      <c r="C858" s="4"/>
      <c r="D858" s="21"/>
    </row>
    <row r="859" spans="1:4" ht="21" x14ac:dyDescent="0.25">
      <c r="A859" s="17"/>
      <c r="B859" s="17"/>
      <c r="C859" s="4"/>
      <c r="D859" s="21"/>
    </row>
    <row r="860" spans="1:4" ht="21" x14ac:dyDescent="0.25">
      <c r="A860" s="17"/>
      <c r="B860" s="17"/>
      <c r="C860" s="4"/>
      <c r="D860" s="21"/>
    </row>
    <row r="861" spans="1:4" ht="21" x14ac:dyDescent="0.25">
      <c r="A861" s="17"/>
      <c r="B861" s="17"/>
      <c r="C861" s="4"/>
      <c r="D861" s="21"/>
    </row>
    <row r="862" spans="1:4" ht="21" x14ac:dyDescent="0.25">
      <c r="A862" s="17"/>
      <c r="B862" s="17"/>
      <c r="C862" s="4"/>
      <c r="D862" s="21"/>
    </row>
    <row r="863" spans="1:4" ht="21" x14ac:dyDescent="0.25">
      <c r="A863" s="17"/>
      <c r="B863" s="17"/>
      <c r="C863" s="4"/>
      <c r="D863" s="21"/>
    </row>
    <row r="864" spans="1:4" ht="21" x14ac:dyDescent="0.25">
      <c r="A864" s="17"/>
      <c r="B864" s="17"/>
      <c r="C864" s="4"/>
      <c r="D864" s="21"/>
    </row>
    <row r="865" spans="1:4" ht="21" x14ac:dyDescent="0.25">
      <c r="A865" s="17"/>
      <c r="B865" s="17"/>
      <c r="C865" s="4"/>
      <c r="D865" s="21"/>
    </row>
    <row r="866" spans="1:4" ht="21" x14ac:dyDescent="0.25">
      <c r="A866" s="17"/>
      <c r="B866" s="17"/>
      <c r="C866" s="4"/>
      <c r="D866" s="21"/>
    </row>
    <row r="867" spans="1:4" ht="21" x14ac:dyDescent="0.25">
      <c r="A867" s="17"/>
      <c r="B867" s="17"/>
      <c r="C867" s="4"/>
      <c r="D867" s="21"/>
    </row>
    <row r="868" spans="1:4" ht="21" x14ac:dyDescent="0.25">
      <c r="A868" s="17"/>
      <c r="B868" s="17"/>
      <c r="C868" s="4"/>
      <c r="D868" s="21"/>
    </row>
    <row r="869" spans="1:4" ht="21" x14ac:dyDescent="0.25">
      <c r="A869" s="17"/>
      <c r="B869" s="17"/>
      <c r="C869" s="4"/>
      <c r="D869" s="21"/>
    </row>
    <row r="870" spans="1:4" ht="21" x14ac:dyDescent="0.25">
      <c r="A870" s="17"/>
      <c r="B870" s="17"/>
      <c r="C870" s="4"/>
      <c r="D870" s="21"/>
    </row>
    <row r="871" spans="1:4" ht="21" x14ac:dyDescent="0.25">
      <c r="A871" s="17"/>
      <c r="B871" s="17"/>
      <c r="C871" s="4"/>
      <c r="D871" s="21"/>
    </row>
    <row r="872" spans="1:4" ht="21" x14ac:dyDescent="0.25">
      <c r="A872" s="17"/>
      <c r="B872" s="17"/>
      <c r="C872" s="4"/>
      <c r="D872" s="21"/>
    </row>
    <row r="873" spans="1:4" ht="21" x14ac:dyDescent="0.25">
      <c r="A873" s="17"/>
      <c r="B873" s="17"/>
      <c r="C873" s="4"/>
      <c r="D873" s="21"/>
    </row>
    <row r="874" spans="1:4" ht="21" x14ac:dyDescent="0.25">
      <c r="A874" s="17"/>
      <c r="B874" s="17"/>
      <c r="C874" s="4"/>
      <c r="D874" s="21"/>
    </row>
    <row r="875" spans="1:4" ht="21" x14ac:dyDescent="0.25">
      <c r="A875" s="17"/>
      <c r="B875" s="17"/>
      <c r="C875" s="4"/>
      <c r="D875" s="21"/>
    </row>
    <row r="876" spans="1:4" ht="21" x14ac:dyDescent="0.25">
      <c r="A876" s="17"/>
      <c r="B876" s="17"/>
      <c r="C876" s="4"/>
      <c r="D876" s="21"/>
    </row>
    <row r="877" spans="1:4" ht="21" x14ac:dyDescent="0.25">
      <c r="A877" s="17"/>
      <c r="B877" s="17"/>
      <c r="C877" s="4"/>
      <c r="D877" s="21"/>
    </row>
    <row r="878" spans="1:4" ht="21" x14ac:dyDescent="0.25">
      <c r="A878" s="17"/>
      <c r="B878" s="17"/>
      <c r="C878" s="4"/>
      <c r="D878" s="21"/>
    </row>
    <row r="879" spans="1:4" ht="21" x14ac:dyDescent="0.25">
      <c r="A879" s="17"/>
      <c r="B879" s="17"/>
      <c r="C879" s="4"/>
      <c r="D879" s="21"/>
    </row>
    <row r="880" spans="1:4" ht="21" x14ac:dyDescent="0.25">
      <c r="A880" s="17"/>
      <c r="B880" s="17"/>
      <c r="C880" s="4"/>
      <c r="D880" s="21"/>
    </row>
    <row r="881" spans="1:4" ht="21" x14ac:dyDescent="0.25">
      <c r="A881" s="17"/>
      <c r="B881" s="17"/>
      <c r="C881" s="4"/>
      <c r="D881" s="21"/>
    </row>
    <row r="882" spans="1:4" ht="21" x14ac:dyDescent="0.25">
      <c r="A882" s="17"/>
      <c r="B882" s="17"/>
      <c r="C882" s="4"/>
      <c r="D882" s="21"/>
    </row>
    <row r="883" spans="1:4" ht="21" x14ac:dyDescent="0.25">
      <c r="A883" s="17"/>
      <c r="B883" s="17"/>
      <c r="C883" s="4"/>
      <c r="D883" s="21"/>
    </row>
    <row r="884" spans="1:4" ht="21" x14ac:dyDescent="0.25">
      <c r="A884" s="17"/>
      <c r="B884" s="17"/>
      <c r="C884" s="4"/>
      <c r="D884" s="21"/>
    </row>
    <row r="885" spans="1:4" ht="21" x14ac:dyDescent="0.25">
      <c r="A885" s="17"/>
      <c r="B885" s="17"/>
      <c r="C885" s="4"/>
      <c r="D885" s="21"/>
    </row>
  </sheetData>
  <protectedRanges>
    <protectedRange sqref="AD280" name="Rango1_1_3"/>
    <protectedRange sqref="AC144 AC150 AC155" name="Rango1_1_3_1_3"/>
    <protectedRange sqref="AC147" name="Rango1_1_3_2_2"/>
    <protectedRange sqref="AC154" name="Rango1_1_3_1_1_2"/>
  </protectedRanges>
  <dataConsolidate/>
  <mergeCells count="276">
    <mergeCell ref="A343:A344"/>
    <mergeCell ref="B343:B344"/>
    <mergeCell ref="C343:C344"/>
    <mergeCell ref="D343:D344"/>
    <mergeCell ref="F343:F344"/>
    <mergeCell ref="AB12:AE12"/>
    <mergeCell ref="AB13:AE13"/>
    <mergeCell ref="AB14:AE14"/>
    <mergeCell ref="AB15:AE15"/>
    <mergeCell ref="AB16:AE16"/>
    <mergeCell ref="G343:G344"/>
    <mergeCell ref="F199:F200"/>
    <mergeCell ref="F202:F213"/>
    <mergeCell ref="F143:F149"/>
    <mergeCell ref="F150:F157"/>
    <mergeCell ref="F158:F163"/>
    <mergeCell ref="F164:F175"/>
    <mergeCell ref="F176:F188"/>
    <mergeCell ref="F189:F194"/>
    <mergeCell ref="F195:F196"/>
    <mergeCell ref="F197:F198"/>
    <mergeCell ref="G316:G317"/>
    <mergeCell ref="F340:F342"/>
    <mergeCell ref="G340:G342"/>
    <mergeCell ref="A202:A285"/>
    <mergeCell ref="C202:C213"/>
    <mergeCell ref="D202:D213"/>
    <mergeCell ref="C214:C230"/>
    <mergeCell ref="D214:D230"/>
    <mergeCell ref="A286:A309"/>
    <mergeCell ref="G297:G309"/>
    <mergeCell ref="F214:F230"/>
    <mergeCell ref="F231:F247"/>
    <mergeCell ref="F252:F264"/>
    <mergeCell ref="F265:F268"/>
    <mergeCell ref="F269:F275"/>
    <mergeCell ref="F276:F285"/>
    <mergeCell ref="B202:B285"/>
    <mergeCell ref="C297:C309"/>
    <mergeCell ref="D297:D309"/>
    <mergeCell ref="C286:C296"/>
    <mergeCell ref="D286:D296"/>
    <mergeCell ref="B286:B309"/>
    <mergeCell ref="C231:C251"/>
    <mergeCell ref="D248:D251"/>
    <mergeCell ref="F248:F251"/>
    <mergeCell ref="D195:D196"/>
    <mergeCell ref="D197:D198"/>
    <mergeCell ref="D199:D200"/>
    <mergeCell ref="B20:B58"/>
    <mergeCell ref="F334:F335"/>
    <mergeCell ref="G334:G335"/>
    <mergeCell ref="F332:F333"/>
    <mergeCell ref="G332:G333"/>
    <mergeCell ref="F328:F329"/>
    <mergeCell ref="G328:G329"/>
    <mergeCell ref="G318:G319"/>
    <mergeCell ref="G310:G311"/>
    <mergeCell ref="B312:B313"/>
    <mergeCell ref="D231:D247"/>
    <mergeCell ref="C176:C188"/>
    <mergeCell ref="D176:D188"/>
    <mergeCell ref="D132:D142"/>
    <mergeCell ref="D143:D149"/>
    <mergeCell ref="D150:D157"/>
    <mergeCell ref="D158:D163"/>
    <mergeCell ref="C164:C175"/>
    <mergeCell ref="D164:D175"/>
    <mergeCell ref="D265:D268"/>
    <mergeCell ref="G20:G25"/>
    <mergeCell ref="I300:I301"/>
    <mergeCell ref="I307:I309"/>
    <mergeCell ref="B18:B19"/>
    <mergeCell ref="H18:I18"/>
    <mergeCell ref="E18:E19"/>
    <mergeCell ref="E286:E296"/>
    <mergeCell ref="F286:F296"/>
    <mergeCell ref="G286:G296"/>
    <mergeCell ref="I294:I296"/>
    <mergeCell ref="E297:E309"/>
    <mergeCell ref="F297:F309"/>
    <mergeCell ref="C269:C275"/>
    <mergeCell ref="D269:D275"/>
    <mergeCell ref="C276:C285"/>
    <mergeCell ref="D276:D285"/>
    <mergeCell ref="C252:C264"/>
    <mergeCell ref="D252:D264"/>
    <mergeCell ref="C265:C268"/>
    <mergeCell ref="C189:C201"/>
    <mergeCell ref="D189:D194"/>
    <mergeCell ref="F123:F131"/>
    <mergeCell ref="F132:F142"/>
    <mergeCell ref="G80:G87"/>
    <mergeCell ref="G88:G92"/>
    <mergeCell ref="A73:A201"/>
    <mergeCell ref="C73:C79"/>
    <mergeCell ref="D73:D79"/>
    <mergeCell ref="E73:E79"/>
    <mergeCell ref="F73:F79"/>
    <mergeCell ref="A59:A72"/>
    <mergeCell ref="C59:C72"/>
    <mergeCell ref="D59:D72"/>
    <mergeCell ref="E59:E72"/>
    <mergeCell ref="F59:F72"/>
    <mergeCell ref="B59:B72"/>
    <mergeCell ref="B73:B201"/>
    <mergeCell ref="C80:C163"/>
    <mergeCell ref="D80:D87"/>
    <mergeCell ref="D88:D92"/>
    <mergeCell ref="D93:D99"/>
    <mergeCell ref="D100:D107"/>
    <mergeCell ref="D108:D115"/>
    <mergeCell ref="D116:D122"/>
    <mergeCell ref="D123:D131"/>
    <mergeCell ref="F80:F87"/>
    <mergeCell ref="F88:F92"/>
    <mergeCell ref="F93:F99"/>
    <mergeCell ref="F100:F107"/>
    <mergeCell ref="I69:I71"/>
    <mergeCell ref="G59:G72"/>
    <mergeCell ref="G36:G47"/>
    <mergeCell ref="I41:I42"/>
    <mergeCell ref="I43:I44"/>
    <mergeCell ref="I45:I46"/>
    <mergeCell ref="C48:C58"/>
    <mergeCell ref="D48:D58"/>
    <mergeCell ref="E48:E58"/>
    <mergeCell ref="F48:F58"/>
    <mergeCell ref="I59:I61"/>
    <mergeCell ref="G48:G58"/>
    <mergeCell ref="I57:I58"/>
    <mergeCell ref="A20:A58"/>
    <mergeCell ref="I63:I66"/>
    <mergeCell ref="C26:C35"/>
    <mergeCell ref="D26:D35"/>
    <mergeCell ref="E26:E35"/>
    <mergeCell ref="F26:F35"/>
    <mergeCell ref="G26:G35"/>
    <mergeCell ref="I26:I28"/>
    <mergeCell ref="I67:I68"/>
    <mergeCell ref="L15:AA15"/>
    <mergeCell ref="L16:AA16"/>
    <mergeCell ref="E15:K15"/>
    <mergeCell ref="AS18:AS19"/>
    <mergeCell ref="AA18:AE18"/>
    <mergeCell ref="AF18:AF19"/>
    <mergeCell ref="AG18:AG19"/>
    <mergeCell ref="C36:C47"/>
    <mergeCell ref="D36:D47"/>
    <mergeCell ref="E36:E47"/>
    <mergeCell ref="F36:F47"/>
    <mergeCell ref="I23:I24"/>
    <mergeCell ref="AH18:AH19"/>
    <mergeCell ref="AJ18:AJ19"/>
    <mergeCell ref="G73:G79"/>
    <mergeCell ref="I74:I77"/>
    <mergeCell ref="F108:F115"/>
    <mergeCell ref="C1:AQ4"/>
    <mergeCell ref="A6:B6"/>
    <mergeCell ref="A7:B7"/>
    <mergeCell ref="A8:B8"/>
    <mergeCell ref="A9:B9"/>
    <mergeCell ref="P18:V18"/>
    <mergeCell ref="X18:Z18"/>
    <mergeCell ref="J18:J19"/>
    <mergeCell ref="K18:K19"/>
    <mergeCell ref="L18:L19"/>
    <mergeCell ref="M18:O18"/>
    <mergeCell ref="A15:D15"/>
    <mergeCell ref="A18:A19"/>
    <mergeCell ref="C18:C19"/>
    <mergeCell ref="D18:D19"/>
    <mergeCell ref="F18:F19"/>
    <mergeCell ref="G18:G19"/>
    <mergeCell ref="A16:D16"/>
    <mergeCell ref="AM18:AM19"/>
    <mergeCell ref="AN18:AR18"/>
    <mergeCell ref="AK18:AK19"/>
    <mergeCell ref="F116:F122"/>
    <mergeCell ref="G312:G313"/>
    <mergeCell ref="A314:A315"/>
    <mergeCell ref="B314:B315"/>
    <mergeCell ref="C314:C315"/>
    <mergeCell ref="D314:D315"/>
    <mergeCell ref="F314:F315"/>
    <mergeCell ref="G314:G315"/>
    <mergeCell ref="A1:B4"/>
    <mergeCell ref="A310:A311"/>
    <mergeCell ref="B310:B311"/>
    <mergeCell ref="C310:C311"/>
    <mergeCell ref="D310:D311"/>
    <mergeCell ref="F310:F311"/>
    <mergeCell ref="C312:C313"/>
    <mergeCell ref="D312:D313"/>
    <mergeCell ref="F312:F313"/>
    <mergeCell ref="A312:A313"/>
    <mergeCell ref="E16:K16"/>
    <mergeCell ref="I31:I33"/>
    <mergeCell ref="C20:C25"/>
    <mergeCell ref="D20:D25"/>
    <mergeCell ref="E20:E25"/>
    <mergeCell ref="F20:F25"/>
    <mergeCell ref="AR1:AS4"/>
    <mergeCell ref="A12:D12"/>
    <mergeCell ref="A13:D13"/>
    <mergeCell ref="A14:D14"/>
    <mergeCell ref="L12:AA12"/>
    <mergeCell ref="M6:N6"/>
    <mergeCell ref="M7:N7"/>
    <mergeCell ref="M8:N8"/>
    <mergeCell ref="L13:AA13"/>
    <mergeCell ref="L14:AA14"/>
    <mergeCell ref="E12:K12"/>
    <mergeCell ref="E13:K13"/>
    <mergeCell ref="E14:K14"/>
    <mergeCell ref="A10:B10"/>
    <mergeCell ref="D322:D323"/>
    <mergeCell ref="F320:F321"/>
    <mergeCell ref="A316:A317"/>
    <mergeCell ref="B316:B317"/>
    <mergeCell ref="C316:C317"/>
    <mergeCell ref="D316:D317"/>
    <mergeCell ref="F316:F317"/>
    <mergeCell ref="A318:A319"/>
    <mergeCell ref="B318:B319"/>
    <mergeCell ref="C318:C319"/>
    <mergeCell ref="D318:D319"/>
    <mergeCell ref="F318:F319"/>
    <mergeCell ref="F330:F331"/>
    <mergeCell ref="G330:G331"/>
    <mergeCell ref="G320:G321"/>
    <mergeCell ref="F322:F323"/>
    <mergeCell ref="G322:G323"/>
    <mergeCell ref="A324:A325"/>
    <mergeCell ref="B324:B325"/>
    <mergeCell ref="C324:C325"/>
    <mergeCell ref="D324:D325"/>
    <mergeCell ref="A326:A327"/>
    <mergeCell ref="F324:F325"/>
    <mergeCell ref="G324:G325"/>
    <mergeCell ref="B326:B327"/>
    <mergeCell ref="C326:C327"/>
    <mergeCell ref="D326:D327"/>
    <mergeCell ref="F326:F327"/>
    <mergeCell ref="G326:G327"/>
    <mergeCell ref="A320:A321"/>
    <mergeCell ref="B320:B321"/>
    <mergeCell ref="A322:A323"/>
    <mergeCell ref="B322:B323"/>
    <mergeCell ref="C322:C323"/>
    <mergeCell ref="C320:C321"/>
    <mergeCell ref="D320:D321"/>
    <mergeCell ref="A340:A342"/>
    <mergeCell ref="B340:B342"/>
    <mergeCell ref="C340:C342"/>
    <mergeCell ref="D340:D342"/>
    <mergeCell ref="B328:B329"/>
    <mergeCell ref="A328:A329"/>
    <mergeCell ref="A330:A331"/>
    <mergeCell ref="B330:B331"/>
    <mergeCell ref="C330:C331"/>
    <mergeCell ref="D330:D331"/>
    <mergeCell ref="A337:A339"/>
    <mergeCell ref="B337:B339"/>
    <mergeCell ref="C337:C339"/>
    <mergeCell ref="D337:D339"/>
    <mergeCell ref="D328:D329"/>
    <mergeCell ref="C328:C329"/>
    <mergeCell ref="A332:A333"/>
    <mergeCell ref="B332:B333"/>
    <mergeCell ref="C332:C333"/>
    <mergeCell ref="D332:D333"/>
    <mergeCell ref="A334:A335"/>
    <mergeCell ref="B334:B335"/>
    <mergeCell ref="C334:C335"/>
    <mergeCell ref="D334:D335"/>
  </mergeCells>
  <conditionalFormatting sqref="U20:W20 Z20:Z344 X21:X308 W21:W338 U21:V344 AL29 AL34 AL37 AA39 AN39 AL45 AA51 AL51 AN51 AA62:AA66 AN62:AN66 AL72 AL294:AL295 W339:X339 W340:W344">
    <cfRule type="cellIs" dxfId="26" priority="79" operator="equal">
      <formula xml:space="preserve"> "RIESGO ACEPTABLE CON CONTROL ESPECIFICO"</formula>
    </cfRule>
    <cfRule type="cellIs" dxfId="25" priority="80" operator="equal">
      <formula xml:space="preserve"> "RIESGO NO ACEPTABLE"</formula>
    </cfRule>
  </conditionalFormatting>
  <conditionalFormatting sqref="X21:X308 U20:W20 Z20:Z344 W21:W338 U21:V344 AL29 AL34 AL37 AA39 AN39 AL45 AA51 AL51 AN51 AA62:AA66 AN62:AN66 AL72 AL294:AL295 W339:X339 W340:W344">
    <cfRule type="cellIs" dxfId="24" priority="78" operator="equal">
      <formula xml:space="preserve"> "RIESGO ACEPTABLE"</formula>
    </cfRule>
  </conditionalFormatting>
  <conditionalFormatting sqref="X307:X321">
    <cfRule type="cellIs" dxfId="23" priority="24" operator="equal">
      <formula xml:space="preserve"> "RIESGO ACEPTABLE"</formula>
    </cfRule>
    <cfRule type="cellIs" dxfId="22" priority="25" operator="equal">
      <formula xml:space="preserve"> "RIESGO ALTO"</formula>
    </cfRule>
    <cfRule type="cellIs" dxfId="21" priority="26" operator="equal">
      <formula xml:space="preserve"> "RIESGO NO ACEPTABLE"</formula>
    </cfRule>
  </conditionalFormatting>
  <conditionalFormatting sqref="X309:X311">
    <cfRule type="cellIs" dxfId="20" priority="18" operator="equal">
      <formula xml:space="preserve"> "RIESGO ACEPTABLE"</formula>
    </cfRule>
    <cfRule type="cellIs" dxfId="19" priority="19" operator="equal">
      <formula xml:space="preserve"> "RIESGO ALTO"</formula>
    </cfRule>
    <cfRule type="cellIs" dxfId="18" priority="20" operator="equal">
      <formula xml:space="preserve"> "RIESGO NO ACEPTABLE"</formula>
    </cfRule>
  </conditionalFormatting>
  <conditionalFormatting sqref="Z20:Z344">
    <cfRule type="containsText" dxfId="17" priority="8" operator="containsText" text="SI">
      <formula>NOT(ISERROR(SEARCH("SI",Z20)))</formula>
    </cfRule>
  </conditionalFormatting>
  <conditionalFormatting sqref="AJ20:AJ21 S20:S344 R22:R25 AI22:AJ25 AJ73:AJ344 R307:R308 AI307:AI308">
    <cfRule type="cellIs" dxfId="16" priority="74" operator="equal">
      <formula xml:space="preserve"> "BAJO"</formula>
    </cfRule>
    <cfRule type="cellIs" dxfId="15" priority="75" operator="equal">
      <formula xml:space="preserve"> "MEDIO"</formula>
    </cfRule>
    <cfRule type="cellIs" dxfId="14" priority="76" operator="equal">
      <formula xml:space="preserve"> "ALTO"</formula>
    </cfRule>
    <cfRule type="cellIs" dxfId="13" priority="77" operator="equal">
      <formula xml:space="preserve"> "MUY ALTO"</formula>
    </cfRule>
  </conditionalFormatting>
  <conditionalFormatting sqref="AJ26:AJ28 R29 AI29:AJ29 AJ30:AJ33 R34 AI34:AJ34 AJ35:AJ36 R37 AI37:AJ37 AJ38:AJ44 R45 AI45:AJ45 AJ46:AJ50 R51 AI51:AJ51 AJ52:AJ71 R72 AI72:AJ72 R294:R295 AI294:AI295">
    <cfRule type="cellIs" dxfId="12" priority="81" operator="equal">
      <formula xml:space="preserve"> "BAJO"</formula>
    </cfRule>
    <cfRule type="cellIs" dxfId="11" priority="82" operator="equal">
      <formula xml:space="preserve"> "MEDIO"</formula>
    </cfRule>
    <cfRule type="cellIs" dxfId="10" priority="83" operator="equal">
      <formula xml:space="preserve"> "ALTO"</formula>
    </cfRule>
    <cfRule type="cellIs" dxfId="9" priority="84" operator="equal">
      <formula xml:space="preserve"> "MUY ALTO"</formula>
    </cfRule>
  </conditionalFormatting>
  <conditionalFormatting sqref="AL22:AL25">
    <cfRule type="cellIs" dxfId="8" priority="48" operator="equal">
      <formula xml:space="preserve"> "RIESGO ACEPTABLE"</formula>
    </cfRule>
    <cfRule type="cellIs" dxfId="7" priority="49" operator="equal">
      <formula xml:space="preserve"> "RIESGO ALTO"</formula>
    </cfRule>
    <cfRule type="cellIs" dxfId="6" priority="50" operator="equal">
      <formula xml:space="preserve"> "RIESGO NO ACEPTABLE"</formula>
    </cfRule>
  </conditionalFormatting>
  <conditionalFormatting sqref="AL307:AL308">
    <cfRule type="cellIs" dxfId="5" priority="71" operator="equal">
      <formula xml:space="preserve"> "RIESGO ACEPTABLE"</formula>
    </cfRule>
    <cfRule type="cellIs" dxfId="4" priority="72" operator="equal">
      <formula xml:space="preserve"> "RIESGO ALTO"</formula>
    </cfRule>
    <cfRule type="cellIs" dxfId="3" priority="73" operator="equal">
      <formula xml:space="preserve"> "RIESGO NO ACEPTABLE"</formula>
    </cfRule>
  </conditionalFormatting>
  <conditionalFormatting sqref="AM20:AM344">
    <cfRule type="cellIs" dxfId="2" priority="54" operator="equal">
      <formula xml:space="preserve"> "RIESGO ACEPTABLE"</formula>
    </cfRule>
    <cfRule type="cellIs" dxfId="1" priority="55" operator="equal">
      <formula xml:space="preserve"> " RIESGO ACEPTABLE CON CONTROL ESPECIFICO"</formula>
    </cfRule>
    <cfRule type="cellIs" dxfId="0" priority="56" operator="equal">
      <formula xml:space="preserve"> "RIESGO NO ACEPTABLE"</formula>
    </cfRule>
  </conditionalFormatting>
  <dataValidations count="3">
    <dataValidation type="whole" allowBlank="1" showInputMessage="1" showErrorMessage="1" errorTitle="Dato no valido" error="Debe introducir un valor entre 1 y 5" sqref="AA110 AA132:AB132" xr:uid="{86EB0E4A-C304-4221-A140-DB270CBBCEE3}">
      <formula1>1</formula1>
      <formula2>5</formula2>
    </dataValidation>
    <dataValidation type="whole" allowBlank="1" showInputMessage="1" showErrorMessage="1" errorTitle="Datp no valido" error="Debe introducir un valor entre 1 y 5" sqref="AB302 AB307:AB308 AB291:AB292 AB289 AN298:AN299 AB294:AB295 AB256 AN280 AB198:AB199 AB201 AN201 AB176 AN287 AN166:AN170 AB130 AB77:AB79 AB108 AB171 AB165 AN172:AN173 AB174 AB45 AN40 AB41 AB47 AB37 AB34 AB30 AB32 AB25 AB22 AN21 AB54:AB56 AB51 AN62 AB70 AB72 AN64:AN66 AN76 AN73:AN74 AB304:AB305 AN109:AN129 AN80:AN107 AN131:AN164 AN175:AN197 AB339" xr:uid="{C799B340-F776-4A02-8D14-34FA74F5FD62}">
      <formula1>1</formula1>
      <formula2>5</formula2>
    </dataValidation>
    <dataValidation type="whole" allowBlank="1" showInputMessage="1" showErrorMessage="1" sqref="AA302 AA307:AA308 AA291:AA292 AA289 AA298:AA299 AA294:AA295 AA256 AA280 AA201 AA287 AA45 AA40:AA41 AA47 AA37 AA34 AA30 AA32 AA25 AA21:AA22 AA54:AA56 AA51 AA62 AA70 AA64:AA67 AA304:AA305 AA72:AA74 AA111:AA131 AA76:AA109 AA133:AA182 AA184:AA199 AA339" xr:uid="{05A4CFD7-27B6-470C-AE75-1ACDB68BCCF3}">
      <formula1>1</formula1>
      <formula2>5</formula2>
    </dataValidation>
  </dataValidations>
  <pageMargins left="0.196850393700787" right="0" top="0.43307086614173201" bottom="0.27559055118110198" header="0.196850393700787" footer="0.196850393700787"/>
  <pageSetup scale="12" fitToHeight="0" orientation="landscape" cellComments="asDisplayed" r:id="rId1"/>
  <headerFooter alignWithMargins="0">
    <oddFooter>&amp;CUna vez impreso el documento será considerado como COPIA NO CONTROLADA.
Página &amp;P de &amp;N</oddFooter>
  </headerFooter>
  <rowBreaks count="3" manualBreakCount="3">
    <brk id="87" max="44" man="1"/>
    <brk id="107" max="44" man="1"/>
    <brk id="309" max="44" man="1"/>
  </rowBreak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1297BCE4-7270-42D4-858B-63F83A86C19D}">
          <x14:formula1>
            <xm:f>Hoja1!$A$1:$A$4</xm:f>
          </x14:formula1>
          <xm:sqref>P20:P344 AG20:AG344</xm:sqref>
        </x14:dataValidation>
        <x14:dataValidation type="list" allowBlank="1" showInputMessage="1" showErrorMessage="1" xr:uid="{C2508302-A231-4D86-8C7E-65FF049D26A0}">
          <x14:formula1>
            <xm:f>Hoja1!$C$1:$C$4</xm:f>
          </x14:formula1>
          <xm:sqref>AH20:AH344 Q20:Q344</xm:sqref>
        </x14:dataValidation>
        <x14:dataValidation type="list" allowBlank="1" showInputMessage="1" showErrorMessage="1" xr:uid="{DBD208B6-F8A7-4785-8ABB-0437227EF629}">
          <x14:formula1>
            <xm:f>Hoja1!$A$7:$A$10</xm:f>
          </x14:formula1>
          <xm:sqref>T20:T344 AK20:AK344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39D8-455D-4D0E-B07A-32341D5BE564}">
  <sheetPr>
    <tabColor indexed="43"/>
  </sheetPr>
  <dimension ref="A1:M79"/>
  <sheetViews>
    <sheetView workbookViewId="0">
      <selection activeCell="E21" sqref="E21"/>
    </sheetView>
  </sheetViews>
  <sheetFormatPr baseColWidth="10" defaultRowHeight="13.2" x14ac:dyDescent="0.25"/>
  <sheetData>
    <row r="1" spans="1:13" x14ac:dyDescent="0.25">
      <c r="A1">
        <v>0</v>
      </c>
      <c r="C1">
        <v>1</v>
      </c>
    </row>
    <row r="2" spans="1:13" x14ac:dyDescent="0.25">
      <c r="A2">
        <v>2</v>
      </c>
      <c r="C2">
        <v>2</v>
      </c>
    </row>
    <row r="3" spans="1:13" x14ac:dyDescent="0.25">
      <c r="A3">
        <v>6</v>
      </c>
      <c r="C3">
        <v>3</v>
      </c>
    </row>
    <row r="4" spans="1:13" x14ac:dyDescent="0.25">
      <c r="A4">
        <v>10</v>
      </c>
      <c r="C4">
        <v>4</v>
      </c>
      <c r="H4" s="41">
        <v>4</v>
      </c>
      <c r="K4" s="41">
        <v>3</v>
      </c>
      <c r="M4">
        <v>3</v>
      </c>
    </row>
    <row r="5" spans="1:13" x14ac:dyDescent="0.25">
      <c r="H5" s="41">
        <v>3</v>
      </c>
      <c r="K5" s="41">
        <v>3</v>
      </c>
      <c r="M5">
        <v>3</v>
      </c>
    </row>
    <row r="6" spans="1:13" x14ac:dyDescent="0.25">
      <c r="H6" s="41">
        <v>3</v>
      </c>
      <c r="K6" s="41">
        <v>3</v>
      </c>
      <c r="M6">
        <v>3</v>
      </c>
    </row>
    <row r="7" spans="1:13" x14ac:dyDescent="0.25">
      <c r="A7">
        <v>10</v>
      </c>
      <c r="H7" s="41">
        <v>3</v>
      </c>
      <c r="K7" s="41">
        <v>3</v>
      </c>
      <c r="M7">
        <v>3</v>
      </c>
    </row>
    <row r="8" spans="1:13" x14ac:dyDescent="0.25">
      <c r="A8">
        <v>25</v>
      </c>
      <c r="H8" s="41">
        <v>3</v>
      </c>
      <c r="K8" s="41">
        <v>3</v>
      </c>
      <c r="M8">
        <v>3</v>
      </c>
    </row>
    <row r="9" spans="1:13" x14ac:dyDescent="0.25">
      <c r="A9">
        <v>60</v>
      </c>
      <c r="H9" s="41">
        <v>3</v>
      </c>
      <c r="K9" s="41">
        <v>3</v>
      </c>
      <c r="M9">
        <v>3</v>
      </c>
    </row>
    <row r="10" spans="1:13" x14ac:dyDescent="0.25">
      <c r="A10">
        <v>100</v>
      </c>
      <c r="H10" s="41">
        <v>3</v>
      </c>
      <c r="K10" s="70">
        <v>2</v>
      </c>
      <c r="M10">
        <v>2</v>
      </c>
    </row>
    <row r="11" spans="1:13" x14ac:dyDescent="0.25">
      <c r="H11" s="41">
        <v>3</v>
      </c>
      <c r="K11" s="44">
        <v>3</v>
      </c>
      <c r="M11">
        <v>3</v>
      </c>
    </row>
    <row r="12" spans="1:13" x14ac:dyDescent="0.25">
      <c r="H12" s="41">
        <v>3</v>
      </c>
      <c r="K12" s="41">
        <v>3</v>
      </c>
      <c r="M12">
        <v>3</v>
      </c>
    </row>
    <row r="13" spans="1:13" x14ac:dyDescent="0.25">
      <c r="H13" s="41">
        <v>3</v>
      </c>
      <c r="K13" s="41">
        <v>3</v>
      </c>
      <c r="M13">
        <v>3</v>
      </c>
    </row>
    <row r="14" spans="1:13" x14ac:dyDescent="0.25">
      <c r="H14" s="41">
        <v>3</v>
      </c>
      <c r="K14" s="41">
        <v>3</v>
      </c>
      <c r="M14">
        <v>3</v>
      </c>
    </row>
    <row r="15" spans="1:13" x14ac:dyDescent="0.25">
      <c r="H15" s="41">
        <v>3</v>
      </c>
      <c r="K15" s="41">
        <v>3</v>
      </c>
      <c r="M15">
        <v>3</v>
      </c>
    </row>
    <row r="16" spans="1:13" x14ac:dyDescent="0.25">
      <c r="H16" s="41">
        <v>3</v>
      </c>
      <c r="K16" s="41">
        <v>3</v>
      </c>
      <c r="M16">
        <v>3</v>
      </c>
    </row>
    <row r="17" spans="8:13" x14ac:dyDescent="0.25">
      <c r="H17" s="41">
        <v>3</v>
      </c>
      <c r="K17" s="41">
        <v>1</v>
      </c>
      <c r="M17">
        <v>1</v>
      </c>
    </row>
    <row r="18" spans="8:13" x14ac:dyDescent="0.25">
      <c r="H18" s="41">
        <v>3</v>
      </c>
      <c r="K18" s="41">
        <v>3</v>
      </c>
      <c r="M18">
        <v>3</v>
      </c>
    </row>
    <row r="19" spans="8:13" x14ac:dyDescent="0.25">
      <c r="H19" s="41">
        <v>3</v>
      </c>
      <c r="K19" s="41">
        <v>3</v>
      </c>
      <c r="M19">
        <v>3</v>
      </c>
    </row>
    <row r="20" spans="8:13" x14ac:dyDescent="0.25">
      <c r="H20" s="41">
        <v>3</v>
      </c>
      <c r="K20" s="41">
        <v>3</v>
      </c>
      <c r="M20">
        <v>3</v>
      </c>
    </row>
    <row r="21" spans="8:13" x14ac:dyDescent="0.25">
      <c r="H21" s="41">
        <v>3</v>
      </c>
      <c r="K21" s="41">
        <v>3</v>
      </c>
      <c r="M21">
        <v>3</v>
      </c>
    </row>
    <row r="22" spans="8:13" x14ac:dyDescent="0.25">
      <c r="H22" s="41">
        <v>3</v>
      </c>
      <c r="K22" s="41">
        <v>3</v>
      </c>
      <c r="M22">
        <v>3</v>
      </c>
    </row>
    <row r="23" spans="8:13" x14ac:dyDescent="0.25">
      <c r="H23" s="41">
        <v>3</v>
      </c>
      <c r="K23" s="41">
        <v>2</v>
      </c>
      <c r="M23">
        <v>2</v>
      </c>
    </row>
    <row r="24" spans="8:13" x14ac:dyDescent="0.25">
      <c r="H24" s="41">
        <v>3</v>
      </c>
      <c r="K24" s="41">
        <v>3</v>
      </c>
      <c r="M24">
        <v>3</v>
      </c>
    </row>
    <row r="25" spans="8:13" x14ac:dyDescent="0.25">
      <c r="H25" s="41">
        <v>3</v>
      </c>
      <c r="K25" s="41">
        <v>3</v>
      </c>
      <c r="M25">
        <v>3</v>
      </c>
    </row>
    <row r="26" spans="8:13" x14ac:dyDescent="0.25">
      <c r="H26" s="41">
        <v>3</v>
      </c>
      <c r="K26" s="41">
        <v>3</v>
      </c>
      <c r="M26">
        <v>3</v>
      </c>
    </row>
    <row r="27" spans="8:13" x14ac:dyDescent="0.25">
      <c r="H27" s="41">
        <v>3</v>
      </c>
      <c r="K27" s="41">
        <v>3</v>
      </c>
      <c r="M27">
        <v>3</v>
      </c>
    </row>
    <row r="28" spans="8:13" x14ac:dyDescent="0.25">
      <c r="H28" s="41">
        <v>3</v>
      </c>
      <c r="K28" s="41">
        <v>3</v>
      </c>
      <c r="M28">
        <v>3</v>
      </c>
    </row>
    <row r="29" spans="8:13" x14ac:dyDescent="0.25">
      <c r="H29" s="41">
        <v>3</v>
      </c>
      <c r="K29" s="41">
        <v>2</v>
      </c>
      <c r="M29">
        <v>2</v>
      </c>
    </row>
    <row r="30" spans="8:13" x14ac:dyDescent="0.25">
      <c r="H30" s="41">
        <v>3</v>
      </c>
      <c r="K30" s="41">
        <v>3</v>
      </c>
      <c r="M30">
        <v>3</v>
      </c>
    </row>
    <row r="31" spans="8:13" x14ac:dyDescent="0.25">
      <c r="H31" s="41">
        <v>3</v>
      </c>
      <c r="K31" s="41">
        <v>3</v>
      </c>
      <c r="M31">
        <v>3</v>
      </c>
    </row>
    <row r="32" spans="8:13" x14ac:dyDescent="0.25">
      <c r="H32" s="41">
        <v>3</v>
      </c>
      <c r="K32" s="41">
        <v>3</v>
      </c>
      <c r="M32">
        <v>3</v>
      </c>
    </row>
    <row r="33" spans="8:13" x14ac:dyDescent="0.25">
      <c r="H33" s="41">
        <v>3</v>
      </c>
      <c r="K33" s="41">
        <v>3</v>
      </c>
      <c r="M33">
        <v>3</v>
      </c>
    </row>
    <row r="34" spans="8:13" x14ac:dyDescent="0.25">
      <c r="H34" s="41">
        <v>3</v>
      </c>
      <c r="K34" s="41">
        <v>3</v>
      </c>
      <c r="M34">
        <v>3</v>
      </c>
    </row>
    <row r="35" spans="8:13" x14ac:dyDescent="0.25">
      <c r="H35" s="41">
        <v>3</v>
      </c>
      <c r="K35" s="41">
        <v>3</v>
      </c>
      <c r="M35">
        <v>3</v>
      </c>
    </row>
    <row r="36" spans="8:13" x14ac:dyDescent="0.25">
      <c r="H36" s="41">
        <v>3</v>
      </c>
      <c r="K36" s="41">
        <v>2</v>
      </c>
      <c r="M36">
        <v>2</v>
      </c>
    </row>
    <row r="37" spans="8:13" x14ac:dyDescent="0.25">
      <c r="H37" s="41">
        <v>3</v>
      </c>
      <c r="K37" s="41">
        <v>3</v>
      </c>
      <c r="M37">
        <v>3</v>
      </c>
    </row>
    <row r="38" spans="8:13" x14ac:dyDescent="0.25">
      <c r="H38" s="41">
        <v>3</v>
      </c>
      <c r="K38" s="41">
        <v>2</v>
      </c>
      <c r="M38">
        <v>2</v>
      </c>
    </row>
    <row r="39" spans="8:13" x14ac:dyDescent="0.25">
      <c r="H39" s="41">
        <v>3</v>
      </c>
      <c r="K39" s="41">
        <v>3</v>
      </c>
      <c r="M39">
        <v>3</v>
      </c>
    </row>
    <row r="40" spans="8:13" x14ac:dyDescent="0.25">
      <c r="H40" s="41">
        <v>3</v>
      </c>
      <c r="K40" s="41">
        <v>3</v>
      </c>
      <c r="M40">
        <v>3</v>
      </c>
    </row>
    <row r="41" spans="8:13" x14ac:dyDescent="0.25">
      <c r="H41" s="41">
        <v>3</v>
      </c>
      <c r="K41" s="41">
        <v>2</v>
      </c>
      <c r="M41">
        <v>2</v>
      </c>
    </row>
    <row r="42" spans="8:13" x14ac:dyDescent="0.25">
      <c r="H42" s="41">
        <v>3</v>
      </c>
      <c r="K42" s="41">
        <v>3</v>
      </c>
      <c r="M42">
        <v>3</v>
      </c>
    </row>
    <row r="43" spans="8:13" x14ac:dyDescent="0.25">
      <c r="H43" s="41">
        <v>3</v>
      </c>
      <c r="K43" s="41">
        <v>3</v>
      </c>
      <c r="M43">
        <v>3</v>
      </c>
    </row>
    <row r="44" spans="8:13" x14ac:dyDescent="0.25">
      <c r="H44" s="41">
        <v>3</v>
      </c>
      <c r="K44" s="41">
        <v>2</v>
      </c>
      <c r="M44">
        <v>2</v>
      </c>
    </row>
    <row r="45" spans="8:13" x14ac:dyDescent="0.25">
      <c r="H45" s="41">
        <v>3</v>
      </c>
      <c r="K45" s="41">
        <v>3</v>
      </c>
      <c r="M45">
        <v>3</v>
      </c>
    </row>
    <row r="46" spans="8:13" x14ac:dyDescent="0.25">
      <c r="H46" s="41">
        <v>3</v>
      </c>
      <c r="K46" s="41">
        <v>3</v>
      </c>
      <c r="M46">
        <v>3</v>
      </c>
    </row>
    <row r="47" spans="8:13" x14ac:dyDescent="0.25">
      <c r="H47" s="41">
        <v>3</v>
      </c>
      <c r="K47" s="41">
        <v>3</v>
      </c>
      <c r="M47">
        <v>3</v>
      </c>
    </row>
    <row r="48" spans="8:13" x14ac:dyDescent="0.25">
      <c r="H48" s="41">
        <v>3</v>
      </c>
      <c r="K48" s="41">
        <v>3</v>
      </c>
      <c r="M48">
        <v>3</v>
      </c>
    </row>
    <row r="49" spans="8:13" x14ac:dyDescent="0.25">
      <c r="H49" s="41">
        <v>3</v>
      </c>
      <c r="K49" s="44">
        <v>1</v>
      </c>
      <c r="M49">
        <v>1</v>
      </c>
    </row>
    <row r="50" spans="8:13" x14ac:dyDescent="0.25">
      <c r="H50" s="41">
        <v>3</v>
      </c>
      <c r="K50" s="44">
        <v>1</v>
      </c>
      <c r="M50">
        <v>1</v>
      </c>
    </row>
    <row r="51" spans="8:13" x14ac:dyDescent="0.25">
      <c r="H51" s="41">
        <v>3</v>
      </c>
      <c r="K51" s="44">
        <v>1</v>
      </c>
      <c r="M51">
        <v>1</v>
      </c>
    </row>
    <row r="52" spans="8:13" x14ac:dyDescent="0.25">
      <c r="H52" s="41">
        <v>3</v>
      </c>
      <c r="K52" s="41">
        <v>3</v>
      </c>
      <c r="M52">
        <v>3</v>
      </c>
    </row>
    <row r="53" spans="8:13" x14ac:dyDescent="0.25">
      <c r="H53" s="41">
        <v>3</v>
      </c>
      <c r="K53" s="84">
        <v>3</v>
      </c>
      <c r="M53">
        <v>3</v>
      </c>
    </row>
    <row r="54" spans="8:13" x14ac:dyDescent="0.25">
      <c r="H54" s="41">
        <v>3</v>
      </c>
      <c r="K54" s="41">
        <v>3</v>
      </c>
      <c r="M54">
        <v>3</v>
      </c>
    </row>
    <row r="55" spans="8:13" x14ac:dyDescent="0.25">
      <c r="H55" s="41">
        <v>3</v>
      </c>
      <c r="K55" s="41">
        <v>2</v>
      </c>
      <c r="M55">
        <v>2</v>
      </c>
    </row>
    <row r="56" spans="8:13" x14ac:dyDescent="0.25">
      <c r="H56" s="41">
        <v>3</v>
      </c>
      <c r="K56" s="70">
        <v>2</v>
      </c>
      <c r="M56">
        <v>2</v>
      </c>
    </row>
    <row r="57" spans="8:13" x14ac:dyDescent="0.25">
      <c r="H57" s="41">
        <v>3</v>
      </c>
      <c r="K57" s="41">
        <v>3</v>
      </c>
      <c r="M57">
        <v>3</v>
      </c>
    </row>
    <row r="58" spans="8:13" x14ac:dyDescent="0.25">
      <c r="H58" s="41">
        <v>3</v>
      </c>
      <c r="K58" s="41">
        <v>3</v>
      </c>
      <c r="M58">
        <v>3</v>
      </c>
    </row>
    <row r="59" spans="8:13" x14ac:dyDescent="0.25">
      <c r="H59" s="41">
        <v>3</v>
      </c>
      <c r="K59" s="41">
        <v>3</v>
      </c>
      <c r="M59">
        <v>3</v>
      </c>
    </row>
    <row r="60" spans="8:13" x14ac:dyDescent="0.25">
      <c r="H60" s="41">
        <v>3</v>
      </c>
      <c r="K60" s="41">
        <v>3</v>
      </c>
      <c r="M60">
        <v>3</v>
      </c>
    </row>
    <row r="61" spans="8:13" x14ac:dyDescent="0.25">
      <c r="H61" s="41">
        <v>3</v>
      </c>
      <c r="K61" s="70">
        <v>2</v>
      </c>
      <c r="M61">
        <v>2</v>
      </c>
    </row>
    <row r="62" spans="8:13" x14ac:dyDescent="0.25">
      <c r="H62" s="41">
        <v>3</v>
      </c>
      <c r="K62" s="41">
        <v>3</v>
      </c>
      <c r="M62">
        <v>3</v>
      </c>
    </row>
    <row r="63" spans="8:13" x14ac:dyDescent="0.25">
      <c r="H63" s="41">
        <v>3</v>
      </c>
      <c r="K63" s="41">
        <v>3</v>
      </c>
      <c r="M63">
        <v>3</v>
      </c>
    </row>
    <row r="64" spans="8:13" x14ac:dyDescent="0.25">
      <c r="H64" s="41">
        <v>3</v>
      </c>
      <c r="K64" s="41">
        <v>3</v>
      </c>
      <c r="M64">
        <v>3</v>
      </c>
    </row>
    <row r="65" spans="8:13" x14ac:dyDescent="0.25">
      <c r="H65" s="41">
        <v>3</v>
      </c>
      <c r="K65" s="70">
        <v>2</v>
      </c>
      <c r="M65">
        <v>2</v>
      </c>
    </row>
    <row r="66" spans="8:13" x14ac:dyDescent="0.25">
      <c r="H66" s="41">
        <v>3</v>
      </c>
      <c r="K66" s="41">
        <v>3</v>
      </c>
      <c r="M66">
        <v>3</v>
      </c>
    </row>
    <row r="67" spans="8:13" x14ac:dyDescent="0.25">
      <c r="H67" s="41">
        <v>3</v>
      </c>
      <c r="K67" s="41">
        <v>3</v>
      </c>
      <c r="M67">
        <v>3</v>
      </c>
    </row>
    <row r="68" spans="8:13" x14ac:dyDescent="0.25">
      <c r="H68" s="41">
        <v>3</v>
      </c>
      <c r="K68" s="41">
        <v>3</v>
      </c>
      <c r="M68">
        <v>3</v>
      </c>
    </row>
    <row r="69" spans="8:13" x14ac:dyDescent="0.25">
      <c r="H69" s="41">
        <v>3</v>
      </c>
      <c r="K69" s="41">
        <v>3</v>
      </c>
      <c r="M69">
        <v>3</v>
      </c>
    </row>
    <row r="70" spans="8:13" x14ac:dyDescent="0.25">
      <c r="H70" s="41">
        <v>3</v>
      </c>
      <c r="K70" s="41">
        <v>3</v>
      </c>
      <c r="M70">
        <v>3</v>
      </c>
    </row>
    <row r="71" spans="8:13" x14ac:dyDescent="0.25">
      <c r="H71" s="41">
        <v>3</v>
      </c>
      <c r="K71" s="70">
        <v>2</v>
      </c>
      <c r="M71">
        <v>2</v>
      </c>
    </row>
    <row r="72" spans="8:13" x14ac:dyDescent="0.25">
      <c r="H72" s="41">
        <v>3</v>
      </c>
      <c r="K72" s="41">
        <v>4</v>
      </c>
      <c r="M72">
        <v>4</v>
      </c>
    </row>
    <row r="73" spans="8:13" x14ac:dyDescent="0.25">
      <c r="H73" s="41">
        <v>3</v>
      </c>
      <c r="K73" s="41">
        <v>2</v>
      </c>
      <c r="M73">
        <v>2</v>
      </c>
    </row>
    <row r="74" spans="8:13" x14ac:dyDescent="0.25">
      <c r="H74" s="41">
        <v>3</v>
      </c>
      <c r="K74" s="41">
        <v>4</v>
      </c>
      <c r="M74">
        <v>4</v>
      </c>
    </row>
    <row r="75" spans="8:13" x14ac:dyDescent="0.25">
      <c r="H75" s="41">
        <v>3</v>
      </c>
      <c r="K75" s="41">
        <v>3</v>
      </c>
      <c r="M75">
        <v>3</v>
      </c>
    </row>
    <row r="76" spans="8:13" x14ac:dyDescent="0.25">
      <c r="H76" s="41">
        <v>3</v>
      </c>
      <c r="K76" s="41">
        <v>3</v>
      </c>
      <c r="M76">
        <v>3</v>
      </c>
    </row>
    <row r="77" spans="8:13" x14ac:dyDescent="0.25">
      <c r="H77" s="41">
        <v>3</v>
      </c>
      <c r="K77" s="41">
        <v>3</v>
      </c>
      <c r="M77">
        <v>3</v>
      </c>
    </row>
    <row r="78" spans="8:13" x14ac:dyDescent="0.25">
      <c r="H78" s="41">
        <v>3</v>
      </c>
      <c r="K78" s="41">
        <v>3</v>
      </c>
      <c r="M78">
        <v>3</v>
      </c>
    </row>
    <row r="79" spans="8:13" x14ac:dyDescent="0.25">
      <c r="H79" s="41">
        <v>3</v>
      </c>
      <c r="K79" s="41">
        <v>3</v>
      </c>
      <c r="M79">
        <v>3</v>
      </c>
    </row>
  </sheetData>
  <dataValidations disablePrompts="1" count="2">
    <dataValidation type="list" allowBlank="1" showInputMessage="1" showErrorMessage="1" sqref="H4:H79 K4" xr:uid="{1477EB7B-EE5A-45A9-9AC6-204502D308A5}">
      <formula1>$C$1:$C$4</formula1>
    </dataValidation>
    <dataValidation type="list" allowBlank="1" showInputMessage="1" showErrorMessage="1" sqref="K5:K79" xr:uid="{9BD73FF5-44AC-4F65-998D-39F345E2A46D}">
      <formula1>$A$1:$A$4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B6A215AD238D744A2849813E507161B" ma:contentTypeVersion="11" ma:contentTypeDescription="Crear nuevo documento." ma:contentTypeScope="" ma:versionID="05fe4405d168c886b05e31e908ffbdf2">
  <xsd:schema xmlns:xsd="http://www.w3.org/2001/XMLSchema" xmlns:xs="http://www.w3.org/2001/XMLSchema" xmlns:p="http://schemas.microsoft.com/office/2006/metadata/properties" xmlns:ns2="59d785d6-5f37-4f48-9db0-1b36d2b8978b" xmlns:ns3="e6fb234c-a4e4-47ad-a9a2-c4ffd8ccfb42" targetNamespace="http://schemas.microsoft.com/office/2006/metadata/properties" ma:root="true" ma:fieldsID="6ab35ba273bb338ae1451fa1a57d5619" ns2:_="" ns3:_="">
    <xsd:import namespace="59d785d6-5f37-4f48-9db0-1b36d2b8978b"/>
    <xsd:import namespace="e6fb234c-a4e4-47ad-a9a2-c4ffd8ccf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785d6-5f37-4f48-9db0-1b36d2b897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9780208-c1b8-4a5f-abcc-3222658f9c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fb234c-a4e4-47ad-a9a2-c4ffd8ccfb4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de5cdf-c886-4763-9cb4-ca9f296e136f}" ma:internalName="TaxCatchAll" ma:showField="CatchAllData" ma:web="e6fb234c-a4e4-47ad-a9a2-c4ffd8ccf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9d785d6-5f37-4f48-9db0-1b36d2b8978b">
      <Terms xmlns="http://schemas.microsoft.com/office/infopath/2007/PartnerControls"/>
    </lcf76f155ced4ddcb4097134ff3c332f>
    <TaxCatchAll xmlns="e6fb234c-a4e4-47ad-a9a2-c4ffd8ccfb42" xsi:nil="true"/>
  </documentManagement>
</p:properties>
</file>

<file path=customXml/itemProps1.xml><?xml version="1.0" encoding="utf-8"?>
<ds:datastoreItem xmlns:ds="http://schemas.openxmlformats.org/officeDocument/2006/customXml" ds:itemID="{000E5486-71F5-44E4-8913-3AB8B28512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785d6-5f37-4f48-9db0-1b36d2b8978b"/>
    <ds:schemaRef ds:uri="e6fb234c-a4e4-47ad-a9a2-c4ffd8ccf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0FF7AA-285E-4F1D-A5F8-891EE3110F5E}">
  <ds:schemaRefs>
    <ds:schemaRef ds:uri="http://schemas.microsoft.com/sharepoint/v3/contenttype/forms"/>
  </ds:schemaRefs>
</ds:datastoreItem>
</file>

<file path=customXml/itemProps3.xml><?xml version="1.0" encoding="utf-8"?>
<ds:datastoreItem xmlns:ds="http://schemas.openxmlformats.org/officeDocument/2006/customXml" ds:itemID="{9DB9A2DD-9F31-4860-ABED-044966E7A063}">
  <ds:schemaRefs>
    <ds:schemaRef ds:uri="http://schemas.microsoft.com/office/2006/metadata/properties"/>
    <ds:schemaRef ds:uri="http://schemas.microsoft.com/office/infopath/2007/PartnerControls"/>
    <ds:schemaRef ds:uri="981d6fc7-5bde-4bf6-9d2b-9d43377a7dc7"/>
    <ds:schemaRef ds:uri="50ada778-8ef8-49cd-9d3e-8471ab984f96"/>
    <ds:schemaRef ds:uri="59d785d6-5f37-4f48-9db0-1b36d2b8978b"/>
    <ds:schemaRef ds:uri="e6fb234c-a4e4-47ad-a9a2-c4ffd8ccfb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GTC 45_Julio 2024</vt:lpstr>
      <vt:lpstr>GTC 45 - Julio 2026</vt:lpstr>
      <vt:lpstr>Hoja1</vt:lpstr>
      <vt:lpstr>'GTC 45 - Julio 2026'!Área_de_impresión</vt:lpstr>
      <vt:lpstr>'GTC 45_Julio 2024'!Área_de_impresión</vt:lpstr>
      <vt:lpstr>'GTC 45 - Julio 2026'!Títulos_a_imprimir</vt:lpstr>
      <vt:lpstr>'GTC 45_Julio 2024'!Títulos_a_imprimir</vt:lpstr>
    </vt:vector>
  </TitlesOfParts>
  <Manager/>
  <Company>Chevron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GTC45 Dynadrill</dc:title>
  <dc:subject/>
  <dc:creator>Juldel</dc:creator>
  <cp:keywords/>
  <dc:description/>
  <cp:lastModifiedBy>Cristhian Herrera</cp:lastModifiedBy>
  <cp:revision/>
  <cp:lastPrinted>2025-11-29T21:30:21Z</cp:lastPrinted>
  <dcterms:created xsi:type="dcterms:W3CDTF">2004-07-22T20:39:29Z</dcterms:created>
  <dcterms:modified xsi:type="dcterms:W3CDTF">2026-07-16T22:22:34Z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ContentTypeId">
    <vt:lpwstr>0x0101002B6A215AD238D744A2849813E507161B</vt:lpwstr>
  </property>
  <property fmtid="{D5CDD505-2E9C-101B-9397-08002B2CF9AE}" pid="5" name="MediaServiceImageTags">
    <vt:lpwstr/>
  </property>
</Properties>
</file>