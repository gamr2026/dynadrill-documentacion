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192.168.1.15\publico\DPTO FACTURACION-COMPRAS-CONTRATOS\CONTRATOS CLIENTES\PAM - PETROECUADOR\C2025201\Documentos Contrato\Lista de precios\"/>
    </mc:Choice>
  </mc:AlternateContent>
  <xr:revisionPtr revIDLastSave="0" documentId="8_{762049EC-1884-4196-9994-BFE6FECCA6DE}" xr6:coauthVersionLast="47" xr6:coauthVersionMax="47" xr10:uidLastSave="{00000000-0000-0000-0000-000000000000}"/>
  <bookViews>
    <workbookView xWindow="-110" yWindow="-110" windowWidth="19420" windowHeight="10300" xr2:uid="{3335CF33-7604-4984-B1BB-B78DBD45B652}"/>
  </bookViews>
  <sheets>
    <sheet name="LISTA DE PRECIOS" sheetId="1" r:id="rId1"/>
  </sheets>
  <externalReferences>
    <externalReference r:id="rId2"/>
    <externalReference r:id="rId3"/>
  </externalReferences>
  <definedNames>
    <definedName name="_1__123Graph_BCHART_1" hidden="1">[1]PWA!#REF!</definedName>
    <definedName name="_2__123Graph_CCHART_1" hidden="1">[1]PWA!#REF!</definedName>
    <definedName name="_3__123Graph_DCHART_1" hidden="1">[1]PWA!#REF!</definedName>
    <definedName name="_4__123Graph_LBL_BCHART_1" hidden="1">[1]PWA!#REF!</definedName>
    <definedName name="_5__123Graph_LBL_CCHART_1" hidden="1">[1]PWA!#REF!</definedName>
    <definedName name="_6__123Graph_LBL_DCHART_1" hidden="1">[1]PWA!#REF!</definedName>
    <definedName name="_Fill" hidden="1">#REF!</definedName>
    <definedName name="_xlnm._FilterDatabase" localSheetId="0" hidden="1">'LISTA DE PRECIOS'!$B$1:$AD$1324</definedName>
    <definedName name="_Order1" hidden="1">0</definedName>
    <definedName name="_Table1_In1" hidden="1">#REF!</definedName>
    <definedName name="_Table1_Out" hidden="1">#REF!</definedName>
    <definedName name="asetrastWET" hidden="1">[1]PWA!#REF!</definedName>
    <definedName name="DME_Dirty" hidden="1">"False"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7" i="1"/>
  <c r="A8" i="1" s="1"/>
</calcChain>
</file>

<file path=xl/sharedStrings.xml><?xml version="1.0" encoding="utf-8"?>
<sst xmlns="http://schemas.openxmlformats.org/spreadsheetml/2006/main" count="3932" uniqueCount="2620">
  <si>
    <t>LISTA DE PRECIOS DYNADRILL ECUADOR C.A.</t>
  </si>
  <si>
    <t>CODIGO</t>
  </si>
  <si>
    <t>DESCRIPCION DE ITEMS</t>
  </si>
  <si>
    <t>UNIDAD</t>
  </si>
  <si>
    <t>Nuevo Precio</t>
  </si>
  <si>
    <t>2.2.15 Servicios de Estimulación y Limpieza de Pozos</t>
  </si>
  <si>
    <t>SB3201</t>
  </si>
  <si>
    <t>Viaje por unidad de bombeo para estimulación</t>
  </si>
  <si>
    <t>km</t>
  </si>
  <si>
    <t>SB3205</t>
  </si>
  <si>
    <t>Unidad de bombeo para estimulación por hora adicional o fracción</t>
  </si>
  <si>
    <t>hr</t>
  </si>
  <si>
    <t>SB3206</t>
  </si>
  <si>
    <t>Mezcla de materiales suministrados por la contratista.</t>
  </si>
  <si>
    <t>gls</t>
  </si>
  <si>
    <t>SB3207</t>
  </si>
  <si>
    <t>Mezcla de materiales no suministrados por la contratista.</t>
  </si>
  <si>
    <t>SB3208</t>
  </si>
  <si>
    <t>Bombeo de ácido primeros 2.000 galones</t>
  </si>
  <si>
    <t>SB3209</t>
  </si>
  <si>
    <t>Bombeo de ácido de 2.001 a 4.000 galones</t>
  </si>
  <si>
    <t>SB3210</t>
  </si>
  <si>
    <t>Bombeo de ácido de 4001 galones en adelante</t>
  </si>
  <si>
    <t>SB3211</t>
  </si>
  <si>
    <t>Bombeo de fluidos no corrosivos primeros 2.000 galones</t>
  </si>
  <si>
    <t>SB3212</t>
  </si>
  <si>
    <t>Bombeo de fluidos no corrosivos de 2.001 a 4.000 galones</t>
  </si>
  <si>
    <t>SB3213</t>
  </si>
  <si>
    <t>Bombeo de Fluidos no corrosivos de 4001 galones en adelante</t>
  </si>
  <si>
    <t>SB3214</t>
  </si>
  <si>
    <t>Tanque para tratamiento de 100 barriles</t>
  </si>
  <si>
    <t>unidad</t>
  </si>
  <si>
    <t>SB3215</t>
  </si>
  <si>
    <t>Tanques para ácido o solventes de 1.000 a 1500 galones</t>
  </si>
  <si>
    <t>SB3216</t>
  </si>
  <si>
    <t>Cargo por monitoreo standard  de presión, caudal y densidad</t>
  </si>
  <si>
    <t>SB3217</t>
  </si>
  <si>
    <t>Substitutos de 2 7/8" hasta 7" acoples por trabajo</t>
  </si>
  <si>
    <t>SB3218</t>
  </si>
  <si>
    <t>Medidor de flujo adicional por trabajo de servicio de  estimulación</t>
  </si>
  <si>
    <t>SB3219</t>
  </si>
  <si>
    <t>Registrador de presión tipo Martín Decker por trabajo</t>
  </si>
  <si>
    <t>SB3220</t>
  </si>
  <si>
    <t>Movilización de tanques para estimulación</t>
  </si>
  <si>
    <t>SB3225</t>
  </si>
  <si>
    <t>Movilización de equipo adicional, unidad de filtración</t>
  </si>
  <si>
    <t>SB3226</t>
  </si>
  <si>
    <t>Supervisor para estimulación dia o fraccion</t>
  </si>
  <si>
    <t>día</t>
  </si>
  <si>
    <t>SB3227</t>
  </si>
  <si>
    <t>Operador para estimulación dia o fraccion</t>
  </si>
  <si>
    <t>SB3228</t>
  </si>
  <si>
    <t>Asistente de Operaciones para estimulación dia o fraccion</t>
  </si>
  <si>
    <t>SB3229</t>
  </si>
  <si>
    <t>Tanque para fluidos de estimulación 500 bbls</t>
  </si>
  <si>
    <t>SB3230</t>
  </si>
  <si>
    <t>Servicio de Winche para bajar o subir tanques y silos</t>
  </si>
  <si>
    <t>SB3231</t>
  </si>
  <si>
    <t>Servicio de Filtración (unidad de filtración y tanque de 500 bls por tres días)</t>
  </si>
  <si>
    <t>trabajo</t>
  </si>
  <si>
    <t>SB3232</t>
  </si>
  <si>
    <t>Unidad de Monitoreo parámetros de Operación en camper</t>
  </si>
  <si>
    <t>SB3233</t>
  </si>
  <si>
    <t>Movilización unidades livianas para personal</t>
  </si>
  <si>
    <t>SB3234</t>
  </si>
  <si>
    <t>Movilización de equipo adicional, unidades pesadas.</t>
  </si>
  <si>
    <t>SB3235</t>
  </si>
  <si>
    <t>Cargo Básico Vacuum para transporte agua limpia 4 hr, capacidad 180 bbls</t>
  </si>
  <si>
    <t>SB3236</t>
  </si>
  <si>
    <t>Cargo Hora adicional Vaccum 180 bbls</t>
  </si>
  <si>
    <t>SB3237</t>
  </si>
  <si>
    <t>Cargo  Básico unidad de slick line 4 hr</t>
  </si>
  <si>
    <t>SB3238</t>
  </si>
  <si>
    <t>Cargo hora  adicional slick line después de primeras 4 hr.</t>
  </si>
  <si>
    <t>SB3239</t>
  </si>
  <si>
    <t>Ingeniero de Operaciones de estimulación</t>
  </si>
  <si>
    <t>SB3240</t>
  </si>
  <si>
    <t>Cargo básico, primeras 4 horas o fracción de bombeo unidad de estimulación (700 HP)</t>
  </si>
  <si>
    <t>SB3241</t>
  </si>
  <si>
    <t>Unidad de bombeo para estimulación por hora adicional o fracción (700 HP)</t>
  </si>
  <si>
    <t>SB3242</t>
  </si>
  <si>
    <t>Supervisor Senior para estimulación dia o fraccion</t>
  </si>
  <si>
    <t>SB3243</t>
  </si>
  <si>
    <t>Ingeniero de estimulación</t>
  </si>
  <si>
    <t>SB3701</t>
  </si>
  <si>
    <t>Viaje por unidad de bombeo para tratamientos en superficie</t>
  </si>
  <si>
    <t>LAB8006</t>
  </si>
  <si>
    <t>Reología de lechadas de cemento</t>
  </si>
  <si>
    <t>LAB8007</t>
  </si>
  <si>
    <t>Filtrado de lechadas de cemento</t>
  </si>
  <si>
    <t>LAB8008</t>
  </si>
  <si>
    <t>Bombeabilidad de lechadas de cemento I, hasta 360 minutos.</t>
  </si>
  <si>
    <t>LAB8009</t>
  </si>
  <si>
    <t>Ensayo de UCA con SGSA I, hasta 360 minutos.</t>
  </si>
  <si>
    <t>LAB8010</t>
  </si>
  <si>
    <t>Ensayo de crush sobre probetas de cemento, en prensa (3 roturas)</t>
  </si>
  <si>
    <t>LAB8011</t>
  </si>
  <si>
    <t>Determinación de densidad en alivian antes utilizando picnómetro de helio.</t>
  </si>
  <si>
    <t>LAB8012</t>
  </si>
  <si>
    <t>Determinación de densidad en lechadas de cemento.</t>
  </si>
  <si>
    <t>LAB8013</t>
  </si>
  <si>
    <t>Determinación de settling y agua libre.</t>
  </si>
  <si>
    <t>LAB8014</t>
  </si>
  <si>
    <t>Ensayos de expansión.</t>
  </si>
  <si>
    <t>LAB8015</t>
  </si>
  <si>
    <t>Ensayos de remoción de residuos de Workovers de fractura, selección del mejor colchón lavador.</t>
  </si>
  <si>
    <t>LAB8101</t>
  </si>
  <si>
    <t>Ensayo estático de hinchamiento de arcillas, utilizando método centrífugo.</t>
  </si>
  <si>
    <t>LAB8102</t>
  </si>
  <si>
    <t xml:space="preserve">Evaluación de inhibidores de corrosión, ensayo gravimétrico con cupones N80 y J55. </t>
  </si>
  <si>
    <t>LAB8103</t>
  </si>
  <si>
    <t>Ensayo de emulsión agua-petróleo en probeta selección del surfactante adecuado y concentración óptima.</t>
  </si>
  <si>
    <t>LAB8104</t>
  </si>
  <si>
    <t>Ensayos de análisis de agua en HACH-200, determinación de Hierro, Calcio, Bario, estroncio, turbidez.</t>
  </si>
  <si>
    <t>LAB8105</t>
  </si>
  <si>
    <t>Determinación de tensión superficial y ángulo de contacto en surfactantes medíante método Pendant Drop.</t>
  </si>
  <si>
    <t>LAB8106</t>
  </si>
  <si>
    <t>Análisis de distribución granulométrico en agentes de sosten, determinación de esfericidad, solubilidad en HCL</t>
  </si>
  <si>
    <t>LAB8107</t>
  </si>
  <si>
    <t>Ensayos de retornos de permeabilidad a fluidos de completación</t>
  </si>
  <si>
    <t>LAB8108</t>
  </si>
  <si>
    <t>Ensayos de retornos de permeabilidad a sistemas ácidos</t>
  </si>
  <si>
    <t>LAB8109</t>
  </si>
  <si>
    <t>Ensayos de Reductores de fricción, en distintos fluidos.</t>
  </si>
  <si>
    <t>LAB8110</t>
  </si>
  <si>
    <t>TEST DE CO2 (% EN GAS)</t>
  </si>
  <si>
    <t>LAB8111</t>
  </si>
  <si>
    <t>TEST DE H2S (% EN GAS)</t>
  </si>
  <si>
    <t>LAB8112</t>
  </si>
  <si>
    <t>TEST DE BSW CENTRIFUGACION</t>
  </si>
  <si>
    <t>LAB8113</t>
  </si>
  <si>
    <t>TEST DE API 60</t>
  </si>
  <si>
    <t>LAB8114</t>
  </si>
  <si>
    <t>TEST DE API SECO</t>
  </si>
  <si>
    <t>LAB8115</t>
  </si>
  <si>
    <t>TEST DE ALCALINIDAD TOTAL COMO ppm de CaCO3</t>
  </si>
  <si>
    <t>LAB8116</t>
  </si>
  <si>
    <t>TEST DE DUREZA TOTAL COMO ppm de CaCO3</t>
  </si>
  <si>
    <t>LAB8117</t>
  </si>
  <si>
    <t>TEST DE DUREZA CALCICA TOTAL COMO ppm de CaCO3</t>
  </si>
  <si>
    <t>LAB8118</t>
  </si>
  <si>
    <t>TEST DE CLORURO COMO ppm DE CL. SALINIDAD</t>
  </si>
  <si>
    <t>LAB8119</t>
  </si>
  <si>
    <t>TEST DE SULFATO COMO ppm DE SO4</t>
  </si>
  <si>
    <t>LAB8120</t>
  </si>
  <si>
    <t>TEST DE SODIO CALCULADO COMO ppm Na++</t>
  </si>
  <si>
    <t>LAB8121</t>
  </si>
  <si>
    <t>TEST DE HIERRO EN CABEZA COMO ppm Fe2+</t>
  </si>
  <si>
    <t>LAB8122</t>
  </si>
  <si>
    <t>TEST DE HIERRO EN MANIFOLD COMO ppm Fe2+</t>
  </si>
  <si>
    <t>LAB8123</t>
  </si>
  <si>
    <t>TEST DE PH</t>
  </si>
  <si>
    <t>DYFS-100</t>
  </si>
  <si>
    <t>Estabilizador de Finos</t>
  </si>
  <si>
    <t>DYCLAY PLUS-50</t>
  </si>
  <si>
    <t>Inhibidor de Arcillas</t>
  </si>
  <si>
    <t>DYCLAYM-500</t>
  </si>
  <si>
    <t>Inhibidor de Arcillas HP</t>
  </si>
  <si>
    <t>DYCLAY NORM-30</t>
  </si>
  <si>
    <t>Estabilizador de Arcillas</t>
  </si>
  <si>
    <t>DYIC-100</t>
  </si>
  <si>
    <t>Inhibidor de Corrosión Inorgánico</t>
  </si>
  <si>
    <t>DYIC-150</t>
  </si>
  <si>
    <t>Inhibidor de Corrosión orgánico</t>
  </si>
  <si>
    <t>DYIC-200</t>
  </si>
  <si>
    <t>Inhibidor de Corrosión Inorgánico HT</t>
  </si>
  <si>
    <t>DYIC-250</t>
  </si>
  <si>
    <t>Inhibidor de Corrosión Biodegradable</t>
  </si>
  <si>
    <t>DY-200</t>
  </si>
  <si>
    <t>Antiemulsificante  Base agua crudos livianos</t>
  </si>
  <si>
    <t>DY-1000</t>
  </si>
  <si>
    <t>Antiemulsificante  Base agua crudos pesados</t>
  </si>
  <si>
    <t>DY-1100</t>
  </si>
  <si>
    <t>Antiemulsificante  Base aceite</t>
  </si>
  <si>
    <t>DYAS-30</t>
  </si>
  <si>
    <t>Surfactante Catiónico</t>
  </si>
  <si>
    <t>DYAS-60</t>
  </si>
  <si>
    <t>Surfactante No-iónico estimulación</t>
  </si>
  <si>
    <t>DYSURF-100</t>
  </si>
  <si>
    <t>Surfactante No-iónico limpieza</t>
  </si>
  <si>
    <t>DYSURF-180</t>
  </si>
  <si>
    <t>Surfactante No-iónico base oil</t>
  </si>
  <si>
    <t>DYSURF-200</t>
  </si>
  <si>
    <t>Surfactante Demulsificante No-iónico base agua</t>
  </si>
  <si>
    <t>DYSURF-250</t>
  </si>
  <si>
    <t>Surfactante No-iónico base agua HT</t>
  </si>
  <si>
    <t>DYS-301</t>
  </si>
  <si>
    <t>Surfactante Aniónico Antisludge</t>
  </si>
  <si>
    <t>DYS-302</t>
  </si>
  <si>
    <t>Surfactante Aniónico base agua</t>
  </si>
  <si>
    <t>DYS-400</t>
  </si>
  <si>
    <t>Surfactante limpiador</t>
  </si>
  <si>
    <t>DYZL-100</t>
  </si>
  <si>
    <t>Reductor de Tensión Superficial HP</t>
  </si>
  <si>
    <t>DYRE-76</t>
  </si>
  <si>
    <t>Reductor de Tensión Superficial HT</t>
  </si>
  <si>
    <t>DYFE - 100</t>
  </si>
  <si>
    <t>CONTROLADOR DE HIERRO  DYFE - 100</t>
  </si>
  <si>
    <t>lbs</t>
  </si>
  <si>
    <t>DYFE - 200</t>
  </si>
  <si>
    <t>CONTROLADOR DE HIERRO  DYFE - 200</t>
  </si>
  <si>
    <t>DYFE-  300</t>
  </si>
  <si>
    <t>SECUESTRANTE DE HIERRO  DYFE - 300</t>
  </si>
  <si>
    <t>DYFE -400HT</t>
  </si>
  <si>
    <t>CONTROLADOR DE HIERRO  DYFE - 400</t>
  </si>
  <si>
    <t>DYLMY- 250</t>
  </si>
  <si>
    <t>INHIBIDOR DE PARAFINA CRUDOS PESADOS</t>
  </si>
  <si>
    <t>DYLMY- 150 HT</t>
  </si>
  <si>
    <t>INHIBIDOR DE PARAFINA CRUDOS LIVIANOS</t>
  </si>
  <si>
    <t>DYSCALY- 90C</t>
  </si>
  <si>
    <t>Anti - escala base fosfonatos</t>
  </si>
  <si>
    <t>DYTHY 757</t>
  </si>
  <si>
    <t>Anti - escala tratamientos</t>
  </si>
  <si>
    <t>DYACET-100</t>
  </si>
  <si>
    <t>ACIDO ACETICO</t>
  </si>
  <si>
    <t>DYAF-500</t>
  </si>
  <si>
    <t>ACIDO FORMICO</t>
  </si>
  <si>
    <t>DYAG-400</t>
  </si>
  <si>
    <t>ACIDO GLIICOLICO</t>
  </si>
  <si>
    <t>DYAG-450</t>
  </si>
  <si>
    <t>ACIDO GLIICOLICO 50%</t>
  </si>
  <si>
    <t>DYSC-345</t>
  </si>
  <si>
    <t>SODA CAUSTICA 50%</t>
  </si>
  <si>
    <t>DYXYL-100</t>
  </si>
  <si>
    <t>Xileno</t>
  </si>
  <si>
    <t>DYTERP-100</t>
  </si>
  <si>
    <t>Solvente Mutual Acuohumectante</t>
  </si>
  <si>
    <t>DYTERP-150</t>
  </si>
  <si>
    <t>Solvente Base Terpenos biodegradable</t>
  </si>
  <si>
    <t>DYORGSOLV-376</t>
  </si>
  <si>
    <t>Solvente Bio Orgánico Tipo 2</t>
  </si>
  <si>
    <t>DYORGSOLV-576</t>
  </si>
  <si>
    <t>Solvente Mutual HP</t>
  </si>
  <si>
    <t>DY ACIDHT</t>
  </si>
  <si>
    <t>ACIDO FOSFONICO</t>
  </si>
  <si>
    <t>DYHOT-400</t>
  </si>
  <si>
    <t>REMOVEDOR DE PARAFINA</t>
  </si>
  <si>
    <t>DYBF-300</t>
  </si>
  <si>
    <t>BICARBONATO DE SODIO</t>
  </si>
  <si>
    <t>DYAM-675</t>
  </si>
  <si>
    <t>BIFLORURO DE AM ONIO ( PARA RMA)</t>
  </si>
  <si>
    <t>DYGY-120</t>
  </si>
  <si>
    <t>GELIFICANTE DE ACIDO</t>
  </si>
  <si>
    <t>DYHS-654</t>
  </si>
  <si>
    <t>HIPOCLORITO DE SODIO</t>
  </si>
  <si>
    <t>DYSASH-100</t>
  </si>
  <si>
    <t>SODA ASH NEUTRALIZANTE</t>
  </si>
  <si>
    <t>DYNITRO-200</t>
  </si>
  <si>
    <t>NITROGENO CRIOGENICO</t>
  </si>
  <si>
    <t>DYCA-100</t>
  </si>
  <si>
    <t>Control de arena Flow back (fibras)</t>
  </si>
  <si>
    <t>DYSFE-100</t>
  </si>
  <si>
    <t>RETARDADOR DE SISTEMA DYH2V ACIDO</t>
  </si>
  <si>
    <t>DYPLUG</t>
  </si>
  <si>
    <t>TAPON TEMPORAL</t>
  </si>
  <si>
    <t>DYSOR-1</t>
  </si>
  <si>
    <t>SISTEMA REMOCION OXIDO TUBERIA</t>
  </si>
  <si>
    <t>DYSRC-2</t>
  </si>
  <si>
    <t>SISTEMA REMOCION DANO FORMACION</t>
  </si>
  <si>
    <t>DYSTIM-76</t>
  </si>
  <si>
    <t>SISTEMA ESTIMULACION ACIDA ORGANICA</t>
  </si>
  <si>
    <t>DYSTIM-80</t>
  </si>
  <si>
    <t>SISTEMA ESTIMULACION ACIDA INORGÁNICA</t>
  </si>
  <si>
    <t>DYSTIM-87</t>
  </si>
  <si>
    <t>SISTEMA ESTIMULACION ACIDA BASE HF</t>
  </si>
  <si>
    <t>DYSOLVE II</t>
  </si>
  <si>
    <t>SISTEMA LIMPIEZA SOLVENTE</t>
  </si>
  <si>
    <t>DYNACLEAN-PLUS</t>
  </si>
  <si>
    <t>SISTEMA REMOVEDOR DE CARBONATOS</t>
  </si>
  <si>
    <t>DYMBA-100</t>
  </si>
  <si>
    <t>SISTEMA REMOVEDOR DE CARBONATOS ORGÁNICO</t>
  </si>
  <si>
    <t>DYSRP-1</t>
  </si>
  <si>
    <t>SISTEMA REMOVEDOR DE HERRUMBRE</t>
  </si>
  <si>
    <t>DYISOP</t>
  </si>
  <si>
    <t>ISOPROPANOL</t>
  </si>
  <si>
    <t>DYGUAR-100</t>
  </si>
  <si>
    <t>Agente Gelificante Para Fluido Base Agua pureza tipo 1</t>
  </si>
  <si>
    <t>DYGUAR-200</t>
  </si>
  <si>
    <t>Agente Gelificante Para Fluido Base Agua pureza tipo 2</t>
  </si>
  <si>
    <t>DYGUAR-300</t>
  </si>
  <si>
    <t>Agente Gelificante Para Fluido Base Agua pureza tipo 3</t>
  </si>
  <si>
    <t>DYHPG-500</t>
  </si>
  <si>
    <t>Agente Gelificante Para Fluido Base Agua HT LP</t>
  </si>
  <si>
    <t>DYHEC-600</t>
  </si>
  <si>
    <t>Agente Gelificante Para Fluido Base Agua HP HT</t>
  </si>
  <si>
    <t>DYGUAR-400</t>
  </si>
  <si>
    <t>Agente Gelificante Para Fluido Base Aceite</t>
  </si>
  <si>
    <t>DYGH-100</t>
  </si>
  <si>
    <t>Agente Gelificante Para Hidrocarburos</t>
  </si>
  <si>
    <t>DYAC-100</t>
  </si>
  <si>
    <t>Agente Gelificante Para Acido</t>
  </si>
  <si>
    <t>DYRBH-100L</t>
  </si>
  <si>
    <t>Rompedor de Gel para cisternas base hidrocar pureza tipo 1</t>
  </si>
  <si>
    <t>DYRBH-200</t>
  </si>
  <si>
    <t>Rompedor de Gel para cisternas base hidrocar pureza tipo 2</t>
  </si>
  <si>
    <t>DYencap-CA</t>
  </si>
  <si>
    <t>Rompedor de Gel encapsulado base acido cítrico</t>
  </si>
  <si>
    <t>DYencap-LE</t>
  </si>
  <si>
    <t>Rompedor de Gel encapsulado enzimático</t>
  </si>
  <si>
    <t>DYencap-PP</t>
  </si>
  <si>
    <t>Rompedor de Gel base persulfato de potasio</t>
  </si>
  <si>
    <t>DYRG-300</t>
  </si>
  <si>
    <t>Rompedor de Gel tipo oxidante base persurfato</t>
  </si>
  <si>
    <t>DYRGE-400</t>
  </si>
  <si>
    <t>Rompedor de Gel enzimático granulado</t>
  </si>
  <si>
    <t>DYRGE-500L</t>
  </si>
  <si>
    <t>Rompedor de Gel enzimático liquido</t>
  </si>
  <si>
    <t>DYROC-100</t>
  </si>
  <si>
    <t>Catalizador para ruptor oxidante</t>
  </si>
  <si>
    <t>DYBC-100</t>
  </si>
  <si>
    <t>Agente Reticulador base boro</t>
  </si>
  <si>
    <t>DYBC-200</t>
  </si>
  <si>
    <t>Agente Reticulador base boro en hidrocarburo</t>
  </si>
  <si>
    <t>DYBC-400</t>
  </si>
  <si>
    <t>Agente Reticulador base boro pH alcalino</t>
  </si>
  <si>
    <t>DYBC-500</t>
  </si>
  <si>
    <t>Agente Reticulador base boro retardado HT</t>
  </si>
  <si>
    <t>DYBC-600</t>
  </si>
  <si>
    <t>Agente Reticulador base boro retardado HP</t>
  </si>
  <si>
    <t>DYBC-700</t>
  </si>
  <si>
    <t>Agente Reticulador base  boro retardado HT</t>
  </si>
  <si>
    <t>DYCC-800</t>
  </si>
  <si>
    <t>Agente Reticulador base cromo</t>
  </si>
  <si>
    <t>DYZC-900</t>
  </si>
  <si>
    <t>Agente Reticulador base Zirconio</t>
  </si>
  <si>
    <t>DYEG-100L</t>
  </si>
  <si>
    <t>Estabilizador de Geles</t>
  </si>
  <si>
    <t>DYFR-100</t>
  </si>
  <si>
    <t>Reductor de fricción Anionic liquid polymer, viscosifier</t>
  </si>
  <si>
    <t>DYFR-200</t>
  </si>
  <si>
    <t>Reductor de fricción Oil dispersible, water-Soluble</t>
  </si>
  <si>
    <t>DYFRY-180</t>
  </si>
  <si>
    <t>Reductor de Fricción Anionic powder for acid, brines and fresh water</t>
  </si>
  <si>
    <t>DYFY-170</t>
  </si>
  <si>
    <t>Controlador de Filtrado tipo 1 HP HT</t>
  </si>
  <si>
    <t>DYFY-420</t>
  </si>
  <si>
    <t>Controlador de Filtrado tipo 2 HT LP</t>
  </si>
  <si>
    <t>DYFLY-410</t>
  </si>
  <si>
    <t>Controlador de Filtrado tipo 3 LT LP</t>
  </si>
  <si>
    <t>DYD-100</t>
  </si>
  <si>
    <t>Agente Divergente Orgánico</t>
  </si>
  <si>
    <t>DYD-200</t>
  </si>
  <si>
    <t>Agente Divergente Polímero</t>
  </si>
  <si>
    <t>DYF-200</t>
  </si>
  <si>
    <t>Agente Espumante base hidrocarburo</t>
  </si>
  <si>
    <t>DYF-210</t>
  </si>
  <si>
    <t>Agente Espumante base agua para tratamientos ácidos</t>
  </si>
  <si>
    <t>DYF-250</t>
  </si>
  <si>
    <t>Agente Espumante base agua</t>
  </si>
  <si>
    <t>Q21147</t>
  </si>
  <si>
    <t>Arena Carbolite 20/40 LP</t>
  </si>
  <si>
    <t>Q21148</t>
  </si>
  <si>
    <t>Arena Carbolite 16/20 HP</t>
  </si>
  <si>
    <t>Q21149</t>
  </si>
  <si>
    <t>Arena Bauxita 20/40 LP</t>
  </si>
  <si>
    <t>Q21150</t>
  </si>
  <si>
    <t>Arena Bauxita 12/20 HP</t>
  </si>
  <si>
    <t>Q21151</t>
  </si>
  <si>
    <t>Arena Sand Jet Perforación Micro arena</t>
  </si>
  <si>
    <t>2.2.14 Servicios de Completacion de Pozos</t>
  </si>
  <si>
    <t>PCK 50001</t>
  </si>
  <si>
    <t xml:space="preserve"> HYDRAULIC SET RETRIEVABLE PACKER 5" x 2 3/8'' EUE Box-Pin CASING 5'' WEIGHT 18-21 lbs/FT</t>
  </si>
  <si>
    <t>PCK 50002</t>
  </si>
  <si>
    <t xml:space="preserve"> HYDRAULIC SET RETRIEVABLE PACKER 7" x 2 7/8'' EUE Box-Pin CASING 7'' WEIGHT 26-29 lbs/FT</t>
  </si>
  <si>
    <t>PCK 50003</t>
  </si>
  <si>
    <t xml:space="preserve"> HYDRAULIC SET RETRIEVABLE PACKER 7" x 3 1/2'' EUE Box-Pin CASING 7'' WEIGHT 26-29 lbs/FT</t>
  </si>
  <si>
    <t>PCK 50004</t>
  </si>
  <si>
    <t xml:space="preserve"> HYDRAULIC SET RETRIEVABLE PACKER 9 5/8" x 3 1/2'' EUE Box-Pin CASING 9 5/8'' WEIGHT 43.5-53.5 lbs/FT</t>
  </si>
  <si>
    <t>PCK 50005</t>
  </si>
  <si>
    <t xml:space="preserve"> RETRIEVABLE HYDRAULIC PACKER  STRING 7" x 2 7/8'' EUE Box-Pin CASING 7'' WEIGHT 26-29 lbs/FT</t>
  </si>
  <si>
    <t>PCK 50006</t>
  </si>
  <si>
    <t xml:space="preserve"> RETRIEVABLE HYDRAULIC PACKER STRING 7" x 3 1/2'' EUE Box-Pin CASING 7'' WEIGHT 26-29 lbs/FT</t>
  </si>
  <si>
    <t>PCK 50007</t>
  </si>
  <si>
    <t xml:space="preserve"> RETRIEVABLE HYDRAULIC PACKER STRING 9 5/8" x 3 1/2'' EUE Box-Pin CASING 9 5/8'' WEIGHT 47-53.5 lbs/FT</t>
  </si>
  <si>
    <t>PCK 50008</t>
  </si>
  <si>
    <t>DOUBLE GRIP RETRIEVABLE PACKER MODEL R 5" x 2 3/8'' EUE Box-Pin CASING 5'' WEIGHT 15-18 lbs/FT</t>
  </si>
  <si>
    <t>PCK 50009</t>
  </si>
  <si>
    <t>DOUBLE GRIP RETRIEVABLE PACKER MODEL R  7" x 2 7/8'' EUE Box-Pin CASING 7'' WEIGHT 26-29 lbs/FT</t>
  </si>
  <si>
    <t>PCK 50010</t>
  </si>
  <si>
    <t>DOUBLE GRIP RETRIEVABLE PACKER MODEL R  7" x 3 1/2'' EUE Box-Pin CASING 7'' WEIGHT 26-29 lbs/FT</t>
  </si>
  <si>
    <t>PCK 50011</t>
  </si>
  <si>
    <t>DOUBLE GRIP RETRIEVABLE PACKER MODEL R 9 5/8" x 3 1/2'' EUE Box-Pin CASING 9 5/8'' WEIGHT 47''-53.5 lbs/FT</t>
  </si>
  <si>
    <t>PCK 50012</t>
  </si>
  <si>
    <t>MODEL TST-1 MECHANICAL SET PACKER 5" x 2 3/8'' EUE Box-Pin CASING 5'' WEIGHT 18-21 lbs/FT</t>
  </si>
  <si>
    <t>PCK 50013</t>
  </si>
  <si>
    <t>MODEL TST-1 MECHANICAL SET PACKER 7" x 2 7/8'' EUE Box-Pin CASING 7'' WEIGHT 26-32 lbs/FT</t>
  </si>
  <si>
    <t>PCK 50014</t>
  </si>
  <si>
    <t>MODEL TST-1 MECHANICAL SET PACKER 7" x 3 1/2'' EUE Box-Pin CASING 7'' WEIGHT 26-32lbs/FT</t>
  </si>
  <si>
    <t>PCK 50015</t>
  </si>
  <si>
    <t>MODEL TST-1 MECHANICAL SET PACKER 9 5/8" x 3 1/2'' EUE Box-Pin CASING 9 5/8'' WEIGHT 43.5-53.5 lbs/FT</t>
  </si>
  <si>
    <t>PCK 50016</t>
  </si>
  <si>
    <t>MECHANICAL PACKER  5" x 2 3/8'' EUE Box-Pin CASING 5'' WEIGHT 18-20.8 lbs/FT</t>
  </si>
  <si>
    <t>PCK 50017</t>
  </si>
  <si>
    <t>MECHANICAL PACKER  7" x 2 7/8'' EUE Box-Pin CASING 7'' WEIGHT 26-32 lbs/FT</t>
  </si>
  <si>
    <t>PCK 50018</t>
  </si>
  <si>
    <t>MECHANICAL PACKER  7" x 3 1/2'' EUE Box-Pin CASING 7'' WEIGHT 26-32 lbs/FT</t>
  </si>
  <si>
    <t>PCK 50019</t>
  </si>
  <si>
    <t>MECHANICAL PACKER   9 5/8" x 3 1/2'' EUE Box-Pin CASING 9 5/8'' WEIGHT 43.5-53.5 lbs/FT</t>
  </si>
  <si>
    <t>PCK 50020</t>
  </si>
  <si>
    <t>ERD RETRIEVABLE SEAL BORE PACKER 7'' CASING 7'' WEIGHT 26-29 lbs/FT</t>
  </si>
  <si>
    <t>PCK 50021</t>
  </si>
  <si>
    <t>ERD RETRIEVABLE SEAL BORE PACKER 9 5/8'' CASING 9 5/8'' WEIGHT 40 -53.5 lbs/FT</t>
  </si>
  <si>
    <t>PCK 50022</t>
  </si>
  <si>
    <t>T2 ON/OFF TOOL R/L  3.75'' OD x  2 3/8'' EUE Box- Pin CASING 5''</t>
  </si>
  <si>
    <t>PCK 50023</t>
  </si>
  <si>
    <t>T2 ON/OFF TOOL R/L 5.5'' OD x  2 7/8'' EUE Box- Pin CASING SIZE 7''</t>
  </si>
  <si>
    <t>PCK 50024</t>
  </si>
  <si>
    <t>T2 ON/OFF TOOL R/L 5.5'' OD x  3 1/2'' EUE Box- Pin CASING SIZE 7''</t>
  </si>
  <si>
    <t>PCK 50025</t>
  </si>
  <si>
    <t>T2 ON/OFF TOOL R/L  8'' OD x  3 1/2'' EUE Box - Pin CASING SIZE  9 5/8''</t>
  </si>
  <si>
    <t>GPK55001</t>
  </si>
  <si>
    <t>DeltaWeld-Slip-On ALL WELDED 316L S.S. GPS SIZE 2-3/8" WEIGHT lbs./FT. 4.6 JACKET MAT - 316L JACKET L 33 FT. BASE PIPE L 37 FT</t>
  </si>
  <si>
    <t>GPK55002</t>
  </si>
  <si>
    <t>DeltaWeld-Slip-On  ALL WELDED 316L S.S. GPS SIZE 2-7/8" WEIGHT lbs./FT. 6.4 JACKET MAT - 316L JACKET L 33 FT. BASE PIPE L 37 FT</t>
  </si>
  <si>
    <t>GPK55003</t>
  </si>
  <si>
    <t>DeltaWeld-Slip-On ALL WELDED 316L S.S. GPS SIZE 3-1/2" WEIGHT lbs./FT. 9.2 JACKET MAT - 316L JACKET L 33 FT. BASE PIPE L 37 FT</t>
  </si>
  <si>
    <t>GPK55004</t>
  </si>
  <si>
    <t>DeltaWeld-Slip-On ALL WELDED 316L S.S. GPS SIZE 4" WEIGHT lbs./FT. 9.5 JACKET MAT - 316L JACKET L 33 FT. BASE PIPE L 37 FT</t>
  </si>
  <si>
    <t>GPK55005</t>
  </si>
  <si>
    <t>DeltaWeld-Slip-On ALL WELDED 316L S.S. GPS SIZE 4-1/2" WEIGHT lbs./FT. 11.6 JACKET MAT - 316L JACKET L 33 FT. BASE PIPE L 37 FT</t>
  </si>
  <si>
    <t>GPK55006</t>
  </si>
  <si>
    <t>DeltaWeld-Slip-On ALL WELDED 316L S.S. GPS SIZE 5" WEIGHT lbs./FT. 15 JACKET MAT - 316L JACKET L 33 FT. BASE PIPE L 37 FT</t>
  </si>
  <si>
    <t>GPK55007</t>
  </si>
  <si>
    <t>DeltaWeld-Slip-On ALL WELDED 316L S.S. GPS SIZE 5-1/2" WEIGHT lbs./FT. 17 JACKET MAT - 316L JACKET L 33 FT. BASE PIPE L 37 FT</t>
  </si>
  <si>
    <t>GPK55008</t>
  </si>
  <si>
    <t>DeltaWeld-Slip-On ALL WELDED 316L S.S. GPS SIZE 2-3/8" WEIGHT lbs./FT. 4.6 JACKET MAT - 316L JACKET L 7.2 FT. BASE PIPE L 9.25 FT</t>
  </si>
  <si>
    <t>GPK55009</t>
  </si>
  <si>
    <t>DeltaWeld-Slip-On ALL WELDED 316L S.S. GPS SIZE 2-7/8" WEIGHT lbs./FT. 6.4 JACKET MAT - 316L JACKET L 7.2 FT. BASE PIPE L 9.25 FT</t>
  </si>
  <si>
    <t>GPK55010</t>
  </si>
  <si>
    <t>DeltaWeld-Slip-On ALL WELDED 316L S.S. GPS SIZE 3-1/2" WEIGHT lbs./FT. 9.2 JACKET MAT - 316L JACKET L 7.2 FT. BASE PIPE L 9.25 FT</t>
  </si>
  <si>
    <t>GPK55011</t>
  </si>
  <si>
    <t>DeltaWeld-Slip-On ALL WELDED 316L S.S. GPS SIZE 4" WEIGHT lbs./FT. 9.5 JACKET MAT - 316L JACKET L 7.2 FT. BASE PIPE L 9.25 FT</t>
  </si>
  <si>
    <t>GPK55012</t>
  </si>
  <si>
    <t>DeltaWeld-Slip-On ALL WELDED 316L S.S. GPS SIZE 4-1/2" WEIGHT lbs./FT. 11.6 JACKET MAT - 316L JACKET L 7.2 FT. BASE PIPE L 9.25 FT</t>
  </si>
  <si>
    <t>GPK55013</t>
  </si>
  <si>
    <t>DeltaWeld-Slip-On ALL WELDED 316L S.S. GPS SIZE 5" WEIGHT lbs./FT. 15 JACKET MAT - 316L JACKET L 7.2 FT. BASE PIPE L 9.25 FT</t>
  </si>
  <si>
    <t>GPK55014</t>
  </si>
  <si>
    <t>DeltaWeld-Slip-On ALL WELDED 316L S.S. GPS SIZE 5-1/2" WEIGHT lbs./FT. 17 JACKET MAT - 316L JACKET L 7.2 FT. BASE PIPE L 9.25 FT</t>
  </si>
  <si>
    <t>GPK55015</t>
  </si>
  <si>
    <t>DeltaWeld-Slip-On ALL WELDED 316L S.S. GPS SIZE 2-3/8" WEIGHT lbs./FT. 4.6 JACKET MAT - 316L JACKET L 16.5 FT. BASE PIPE L 18.5 FT</t>
  </si>
  <si>
    <t>GPK55016</t>
  </si>
  <si>
    <t>DeltaWeld-Slip-On ALL WELDED 316L S.S. GPS SIZE 2-7/8" WEIGHT lbs./FT. 6.4 JACKET MAT - 316L JACKET L 16.5 FT. BASE PIPE L 18.5 FT</t>
  </si>
  <si>
    <t>GPK55017</t>
  </si>
  <si>
    <t>DeltaWeld-Slip-On ALL WELDED 316L S.S. GPS SIZE 3-1/2" WEIGHT lbs./FT. 9.2 JACKET MAT - 316L JACKET L 16.5 FT. BASE PIPE L 18.5 FT</t>
  </si>
  <si>
    <t>GPK55018</t>
  </si>
  <si>
    <t>DeltaWeld-Slip-On  ALL WELDED 316L S.S. GPS SIZE 4" WEIGHT lbs./FT. 9.5 JACKET MAT - 316L JACKET L 16.5 FT. BASE PIPE L 18.5 FT</t>
  </si>
  <si>
    <t>GPK55019</t>
  </si>
  <si>
    <t>DeltaWeld-Slip-On ALL WELDED 316L S.S. GPS SIZE 4-1/2" WEIGHT lbs./FT. 11.6 JACKET MAT - 316L JACKET L 16.5 FT. BASE PIPE L 18.5 FT</t>
  </si>
  <si>
    <t>GPK55020</t>
  </si>
  <si>
    <t>DeltaWeld-Slip-On ALL WELDED 316L S.S. GPS SIZE 5" WEIGHT lbs./FT. 15 JACKET MAT - 316L JACKET L 16.5 FT. BASE PIPE L 18.5 FT</t>
  </si>
  <si>
    <t>GPK55021</t>
  </si>
  <si>
    <t>DeltaElite- 316L FILTER CARTRIDGE MOUNTED ON L-80 OR 13CR BASE PIPE SIZE 2-3/8" WEIGHT lbs./FT. 4.60 L-80 BASE PIPE LENGTH 9.25 FT</t>
  </si>
  <si>
    <t>GPK55022</t>
  </si>
  <si>
    <t>DeltaElite- 316L FILTER CARTRIDGE MOUNTED ON L-80 BASE PIPE SIZE 2-7/8" WEIGHT lbs./FT. 6.40 L-80 BASE PIPE LENGTH 9.25 FT</t>
  </si>
  <si>
    <t>GPK55023</t>
  </si>
  <si>
    <t>DeltaElite- 316L FILTER CARTRIDGE MOUNTED ON L-80BASE PIPE SIZE 3-1/2" WEIGHT lbs./FT. 9.20 L-80 BASE PIPE LENGTH 9.25 FT</t>
  </si>
  <si>
    <t>GPK55024</t>
  </si>
  <si>
    <t>DeltaElite- 316L FILTER CARTRIDGE MOUNTED ON L-80  BASE PIPE SIZE 4" WEIGHT lbs./FT. 9.50 L-80 BASE PIPE LENGTH 9.25 FT</t>
  </si>
  <si>
    <t>GPK55025</t>
  </si>
  <si>
    <t>DeltaElite- 316L FILTER CARTRIDGE MOUNTED ON L-80  BASE PIPE SIZE 4-1/2" WEIGHT lbs./FT. 11.60 L-80 BASE PIPE LENGTH 9.25 FT</t>
  </si>
  <si>
    <t>GPK55026</t>
  </si>
  <si>
    <t>DeltaElite- 316L FILTER CARTRIDGE MOUNTED ON L-80 BASE PIPE SIZE 5-1/2" WEIGHT lbs./FT. 17.00 L-80 BASE PIPE LENGTH 9.25 FT</t>
  </si>
  <si>
    <t>GPK55027</t>
  </si>
  <si>
    <t>DeltaElite- 316L FILTER CARTRIDGE MOUNTED ON L-80  BASE PIPE SIZE 6-5/8" WEIGHT lbs./FT. 24.00 L-80 BASE PIPE LENGTH 9.25 FT</t>
  </si>
  <si>
    <t>GPK55028</t>
  </si>
  <si>
    <t>DeltaElite- 316L FILTER CARTRIDGE MOUNTED ON L-80  BASE PIPE SIZE 2-3/8" WEIGHT lbs./FT. 4.60 L-80 BASE PIPE LENGTH 18.5 FT</t>
  </si>
  <si>
    <t>GPK55029</t>
  </si>
  <si>
    <t>DeltaElite- 316L FILTER CARTRIDGE MOUNTED ON L-80 BASE PIPE SIZE 2-7/8" WEIGHT lbs./FT. 6.40 L-80 BASE PIPE LENGTH 18.5 FT</t>
  </si>
  <si>
    <t>GPK55030</t>
  </si>
  <si>
    <t>DeltaElite - 316L FILTER CARTRIDGE MOUNTED ON L-80  BASE PIPE SIZE 3-1/2" WEIGHT lbs./FT. 9.20 L-80 BASE PIPE LENGTH 18.5 FT</t>
  </si>
  <si>
    <t>GPK55031</t>
  </si>
  <si>
    <t>DeltaElite- 316L FILTER CARTRIDGE MOUNTED ON L-80  BASE PIPE SIZE 4" WEIGHT lbs./FT. 9.50 L-80 BASE PIPE LENGTH 18.5 FT</t>
  </si>
  <si>
    <t>GPK55032</t>
  </si>
  <si>
    <t>DeltaElite- 316L FILTER CARTRIDGE MOUNTED ON L-80  BASE PIPE SIZE 4-1/2" WEIGHT lbs./FT. 11.60 L-80 BASE PIPE LENGTH 18.5 FT</t>
  </si>
  <si>
    <t>GPK55033</t>
  </si>
  <si>
    <t>DeltaElite- 316L FILTER CARTRIDGE MOUNTED ON L-80 BASE PIPE SIZE 5-1/2" WEIGHT lbs./FT. 17.00 L-80 BASE PIPE LENGTH 18.5 FT</t>
  </si>
  <si>
    <t>GPK55034</t>
  </si>
  <si>
    <t>DeltaElite - 316L FILTER CARTRIDGE MOUNTED ON L-80  BASE PIPE SIZE 6-5/8" WEIGHT lbs./FT. 24.00 L-80 BASE PIPE LENGTH 18.5 FT</t>
  </si>
  <si>
    <t>GPK55035</t>
  </si>
  <si>
    <t>DeltaElite- 316L FILTER CARTRIDGE MOUNTED ON L-80  BASE PIPE SIZE 2-3/8" WEIGHT lbs./FT. 4.60 L-80 BASE PIPE LENGTH 37 FT</t>
  </si>
  <si>
    <t>GPK55036</t>
  </si>
  <si>
    <t>DeltaElite- 316L FILTER CARTRIDGE MOUNTED ON L-80  BASE PIPE SIZE 2-7/8" WEIGHT lbs./FT. 6.40 L-80 BASE PIPE LENGTH 37 FT</t>
  </si>
  <si>
    <t>GPK55037</t>
  </si>
  <si>
    <t>DeltaElite- 316L FILTER CARTRIDGE MOUNTED ON L-80 BASE PIPE SIZE 3-1/2" WEIGHT lbs./FT. 9.20 L-80 BASE PIPE LENGTH 37 FT</t>
  </si>
  <si>
    <t>GPK55038</t>
  </si>
  <si>
    <t>DeltaElite- 316L FILTER CARTRIDGE MOUNTED ON L-80 BASE PIPE SIZE 4" WEIGHT lbs./FT. 9.50 L-80 BASE PIPE LENGTH 37 FT</t>
  </si>
  <si>
    <t>GPK55039</t>
  </si>
  <si>
    <t>DeltaElite- 316L FILTER CARTRIDGE MOUNTED ON L-80  BASE PIPE SIZE 4-1/2" WEIGHT lbs./FT. 11.60 L-80 BASE PIPE LENGTH 37 FT</t>
  </si>
  <si>
    <t>GPK55040</t>
  </si>
  <si>
    <t>DeltaElite- 316L FILTER CARTRIDGE MOUNTED ON L-80  BASE PIPE SIZE 5-1/2" WEIGHT lbs./FT. 17.00 L-80 BASE PIPE LENGTH 37 FT</t>
  </si>
  <si>
    <t>GPK55041</t>
  </si>
  <si>
    <t>DeltaElite- 316L FILTER CARTRIDGE MOUNTED ON L-80  BASE PIPE SIZE 6-5/8" WEIGHT lbs./FT. 24.00 L-80 BASE PIPE LENGTH 37 FT</t>
  </si>
  <si>
    <t>GPK55042</t>
  </si>
  <si>
    <t>BULL PLUG SIZE 2-3/8"</t>
  </si>
  <si>
    <t>GPK55043</t>
  </si>
  <si>
    <t>BULL PLUG SIZE 2.615</t>
  </si>
  <si>
    <t>GPK55044</t>
  </si>
  <si>
    <t>BULL PLUG SIZE 2-7/8"</t>
  </si>
  <si>
    <t>GPK55045</t>
  </si>
  <si>
    <t>BULL PLUG SIZE 3.093</t>
  </si>
  <si>
    <t>GPK55046</t>
  </si>
  <si>
    <t>BULL PLUG SIZE 3-1/2"</t>
  </si>
  <si>
    <t>GPK55047</t>
  </si>
  <si>
    <t>BULL PLUG SIZE 4"</t>
  </si>
  <si>
    <t>GPK55048</t>
  </si>
  <si>
    <t>BULL PLUG SIZE 4-1/2"</t>
  </si>
  <si>
    <t>GPK55049</t>
  </si>
  <si>
    <t>BULL PLUG SIZE 5"</t>
  </si>
  <si>
    <t>GPK55050</t>
  </si>
  <si>
    <t>BULL PLUG SIZE 5-1/2"</t>
  </si>
  <si>
    <t>GPK55053</t>
  </si>
  <si>
    <t>DOUBLE PIN CROSSOVER SUB SIZE 2-3/8" L-80 OR EQUIVALENT MATERIAL</t>
  </si>
  <si>
    <t>GPK55054</t>
  </si>
  <si>
    <t>DOUBLE PIN CROSSOVER SUB SIZE 2-7/8" L-80 OR EQUIVALENT MATERIAL</t>
  </si>
  <si>
    <t>GPK55055</t>
  </si>
  <si>
    <t>DOUBLE PIN CROSSOVER SUB SIZE 3-1/2" L-80 OR EQUIVALENT MATERIAL</t>
  </si>
  <si>
    <t>GPK55056</t>
  </si>
  <si>
    <t>DOUBLE PIN CROSSOVER SUB SIZE 4" L-80 OR EQUIVALENT MATERIAL</t>
  </si>
  <si>
    <t>GPK55057</t>
  </si>
  <si>
    <t>DOUBLE PIN CROSSOVER SUB SIZE 4-1/2" L-80 OR EQUIVALENT MATERIAL</t>
  </si>
  <si>
    <t>GPK55058</t>
  </si>
  <si>
    <t>DOUBLE PIN CROSSOVER SUB SIZE 5" L-80 OR EQUIVALENT MATERIAL</t>
  </si>
  <si>
    <t>GPK55059</t>
  </si>
  <si>
    <t>DOUBLE PIN CROSSOVER SUB SIZE 5-1/2" L-80 OR EQUIVALENT MATERIAL</t>
  </si>
  <si>
    <t>GPK55060</t>
  </si>
  <si>
    <t>DOUBLE PIN CROSSOVER SUB SIZE 2-3/8" P-110 OR EQUIVALENT MATERIAL WITH 13,000 PSI MIN. COLLAPSE</t>
  </si>
  <si>
    <t>GPK55061</t>
  </si>
  <si>
    <t>DOUBLE PIN CROSSOVER SUB SIZE 2-7/8" P-110 OR EQUIVALENT MATERIAL WITH 13,000 PSI MIN. COLLAPSE</t>
  </si>
  <si>
    <t>GPK55062</t>
  </si>
  <si>
    <t>DOUBLE PIN CROSSOVER SUB SIZE 3-1/2" P-110 OR EQUIVALENT MATERIAL WITH 13,000 PSI MIN. COLLAPSE</t>
  </si>
  <si>
    <t>GPK55063</t>
  </si>
  <si>
    <t>DOUBLE PIN CROSSOVER SUB SIZE 4" P-110 OR EQUIVALENT MATERIAL WITH 13,000 PSI MIN. COLLAPSE</t>
  </si>
  <si>
    <t>GPK55064</t>
  </si>
  <si>
    <t>DOUBLE PIN CROSSOVER SUB SIZE 4-1/2" P-110 OR EQUIVALENT MATERIAL WITH 13,000 PSI MIN. COLLAPSE</t>
  </si>
  <si>
    <t>GPK55065</t>
  </si>
  <si>
    <t>DOUBLE PIN CROSSOVER SUB SIZE 5" P-110 OR EQUIVALENT MATERIAL WITH 13,000 PSI MIN. COLLAPSE</t>
  </si>
  <si>
    <t>GPK55066</t>
  </si>
  <si>
    <t>DOUBLE PIN CROSSOVER SUB SIZE 5-1/2" P-110 OR EQUIVALENT MATERIAL WITH 13,000 PSI MIN. COLLAPSE</t>
  </si>
  <si>
    <t>GPK55067</t>
  </si>
  <si>
    <t>RATCHETING MULE SHOE THREAD SIZE 3-1/2" STANDARD</t>
  </si>
  <si>
    <t>GPK55068</t>
  </si>
  <si>
    <t>SHEAR OUT SAFETY JOINT THREAD SIZE 2-7/8" STANDARD</t>
  </si>
  <si>
    <t>GPK55069</t>
  </si>
  <si>
    <t>SHEAR OUT SAFETY JOINT THREAD SIZE 3-1/2" STANDARD</t>
  </si>
  <si>
    <t>GPK55070</t>
  </si>
  <si>
    <t xml:space="preserve">GRAVEL PACK PACKERS, "´PACK-2", Nitrile P.E.  70-32              </t>
  </si>
  <si>
    <t>GPK55071</t>
  </si>
  <si>
    <t>PERMANENT PACKERS-MISCELLANEOUS 6ft MILLOUT EXT ALL MODELS RETAINER PRODUCTION PACKERS SIZE STANDARD THREAD PIN X PIN 4-1/2in STC</t>
  </si>
  <si>
    <t>GPK55072</t>
  </si>
  <si>
    <t>PERMANENT PACKERS-MISCELLANEOUS MILLOUT EXT CONNECTOR SUBS (TO SEAL BORE EXTENSION) ALL MODELS RETAINER PRODUCTION PACKERS STANDARD THREADS BOX x BOX 3-1/2in NU BOX x STR. THD. BOX</t>
  </si>
  <si>
    <t>GPK55073</t>
  </si>
  <si>
    <t xml:space="preserve">PERMANENT PACKERS-MISCELLANEOUS 10ft SEAL BORE EXT USE W/ALL MODELS RETAINER PRODUCTION PACKER LOW ALLOY STEEL </t>
  </si>
  <si>
    <t>GPK55074</t>
  </si>
  <si>
    <t>PERMANENT PACKERS-MISCELLANEOUS THREADED B GUIDES SEAL BORE EXT ALL MODELS RETAINER PRODUCTION PACKERS  LOW ALLOY STEEL H2S SERVICE</t>
  </si>
  <si>
    <t>GPK55075</t>
  </si>
  <si>
    <t>PERMANENT PACKER SEAL ASSEMBLIES-ACCESSORIES SPACER TUBES USE W/STANDARD MODEL G-22 LOCATOR TUBING SEAL ASSEMBLY SHORT SPACER TUBE (6ft) BOX x PIN</t>
  </si>
  <si>
    <t>GPK55076</t>
  </si>
  <si>
    <t>PERMANENT PACKER SEAL ASSEMBLIES-ACCESSORIES LOCATOR TUBING SEAL ASSEMBLY, W/TWO BONDED SEAL UNS SIZE 80-40 THREAD  BOX UP 3-1/2in EU THREAD SPECIFICATIONS PIN DWN 3-1/2in NU NITRILE BONDED 90 HARD</t>
  </si>
  <si>
    <t>GPK55077</t>
  </si>
  <si>
    <t xml:space="preserve">SEAL BORE EXTENSION CROSSOVER SUBS TO TUBING FOR ALL MODELS </t>
  </si>
  <si>
    <t>GPK55078</t>
  </si>
  <si>
    <t>MULE SHOE 2 3/8" EUE</t>
  </si>
  <si>
    <t>GPK55079</t>
  </si>
  <si>
    <t>MULE SHOE 2 7/8" EUE</t>
  </si>
  <si>
    <t>GPK55080</t>
  </si>
  <si>
    <t>MULE SHOE 3 1/2" EUE</t>
  </si>
  <si>
    <t>HCF10001</t>
  </si>
  <si>
    <t>ACT MODEL F NOGO SEAL BORE 1.875'' Connection 2 3/8'' EUE Box-Pin</t>
  </si>
  <si>
    <t>HCF10002</t>
  </si>
  <si>
    <t>ACT MODEL F NOGO SEAL BORE 2.312'' Connection 2 7/8'' EUE Box-Pin</t>
  </si>
  <si>
    <t>HCF10003</t>
  </si>
  <si>
    <t>ACT MODEL F NOGO SEAL BORE 2.812'' Connection  3 1/2'' EUE Box-Pin</t>
  </si>
  <si>
    <t>HCF10004</t>
  </si>
  <si>
    <t>ACT MODEL F NOGO SEAL BORE 3.812'' Connection  4 1/2'' EUE Box-Pin</t>
  </si>
  <si>
    <t>HCF10005</t>
  </si>
  <si>
    <t>ACT MODEL R NOGO SEAL BORE 1.812'' Connection 2 3/8'' EUE Box-Pin</t>
  </si>
  <si>
    <t>HCF10006</t>
  </si>
  <si>
    <t>ACT MODEL R NOGO SEAL BORE 2.250'' Connection 2 7/8'' EUE Box-Pin</t>
  </si>
  <si>
    <t>HCF10007</t>
  </si>
  <si>
    <t>ACT MODEL R NOGO SEAL BORE 2.750'' Connection  3 1/2'' EUE Box-Pin</t>
  </si>
  <si>
    <t>HCF10008</t>
  </si>
  <si>
    <t>ACT MODEL R NOGO SEAL BORE 3.750'' Connection  4 1/2'' EUE Box-Pin</t>
  </si>
  <si>
    <t>HCF10009</t>
  </si>
  <si>
    <t>ACT MODEL L SLIDING SLEEVE PROFILE F 1.875'' Connection 2 3/8'' EUE Box-Pin</t>
  </si>
  <si>
    <t>HCF10010</t>
  </si>
  <si>
    <t>ACT MODEL L SLIDING SLEEVE PROFILE F 2.312'' Connection 2 7/8'' EUE Box-Pin</t>
  </si>
  <si>
    <t>HCF10011</t>
  </si>
  <si>
    <t>ACT MODEL L SLIDING SLEEVE PROFILE F 2.812'' Connection 3 1/2'' EUE Box-Pin</t>
  </si>
  <si>
    <t>HCF10012</t>
  </si>
  <si>
    <t>ACT MODEL L SLIDING SLEEVE PROFILE F 3.312'' Connection 4 1/2'' EUE Box-Pin</t>
  </si>
  <si>
    <t>HCF10013</t>
  </si>
  <si>
    <t>ACT MODEL FB-2 EQUALIZING CHECK VALVES 1.87'' x 2 3/8</t>
  </si>
  <si>
    <t>HCF10014</t>
  </si>
  <si>
    <t>ACT MODEL FB-2 EQUALIZING CHECK VALVES 2.31'' x 2 7/8</t>
  </si>
  <si>
    <t>HCF10015</t>
  </si>
  <si>
    <t>ACT MODEL FB-2 EQUALIZING CHECK VALVES 2.81'' x 3 1/2</t>
  </si>
  <si>
    <t>HCF10016</t>
  </si>
  <si>
    <t>ACT MODEL FB-2 EQUALIZING CHECK VALVES 3.81'' x 4 1/2</t>
  </si>
  <si>
    <t>HCF10017</t>
  </si>
  <si>
    <t>ACT MODEL RB-2 EQUALIZING CHECK VALVES 1.81'' x 2 3/8</t>
  </si>
  <si>
    <t>HCF10018</t>
  </si>
  <si>
    <t>ACT MODEL RB-2 EQUALIZING CHECK VALVES 2.25'' x 2 7/8</t>
  </si>
  <si>
    <t>HCF10019</t>
  </si>
  <si>
    <t>ACT MODEL RB-2 EQUALIZING CHECK VALVES 2.75'' x 3 1/2</t>
  </si>
  <si>
    <t>HCF10020</t>
  </si>
  <si>
    <t>ACT MODEL RB-2 EQUALIZING CHECK VALVES 3.75' x 4 1/2</t>
  </si>
  <si>
    <t>DYEF6056</t>
  </si>
  <si>
    <t xml:space="preserve">Packer Hinchable reactivo al Agua 7.0 BTC </t>
  </si>
  <si>
    <t>DYEF6057</t>
  </si>
  <si>
    <t xml:space="preserve">Packer Hinchable reactivo  al crudo 7.0 BTC </t>
  </si>
  <si>
    <t>DYEF6058</t>
  </si>
  <si>
    <t xml:space="preserve">Packer Hinchable reactivo al Agua 4 1/2 BTC </t>
  </si>
  <si>
    <t>DYEF6059</t>
  </si>
  <si>
    <t xml:space="preserve">Packer Hinchable reactivo al crudo 4 1/2 BTC </t>
  </si>
  <si>
    <t>DYEF6060</t>
  </si>
  <si>
    <t>Baker lock 10 OZ</t>
  </si>
  <si>
    <t>DYPK0001</t>
  </si>
  <si>
    <t>Redress Kit Sliding Sleeve 2.81"</t>
  </si>
  <si>
    <t>DYPK0002</t>
  </si>
  <si>
    <t>Redress Kit, 1.81 / 1.87 RB-2 / FB-2 Standing Valve.</t>
  </si>
  <si>
    <t>DYPK0003</t>
  </si>
  <si>
    <t>Redress Kit, 2.25 / 2.31 / RB-2 / FB-2 Standing Valve.</t>
  </si>
  <si>
    <t>DYPK0004</t>
  </si>
  <si>
    <t>Redress Kit, 2.75 / 2.81 / RB-2 / FB-2 Standing Valve.</t>
  </si>
  <si>
    <t>DYPK0005</t>
  </si>
  <si>
    <t>5 1/2" x 3-1/2" EUE T-2 On-Off Tool Assembly, including Stinger.  RIGHT-HAND.</t>
  </si>
  <si>
    <t>DYPK0006</t>
  </si>
  <si>
    <t>5 1/2" x 3-1/2" EUE T-2 On-Off Tool Assembly, including Stinger.  LEFT-HAND.</t>
  </si>
  <si>
    <t>DYPK0007</t>
  </si>
  <si>
    <t>7" x 2/7/8" EUE 26-32ppf (5.875" OD) Hydro-Grip Packer.</t>
  </si>
  <si>
    <t>DYPK0008</t>
  </si>
  <si>
    <t>7" x 3-1/2" EUE 26-32ppf (5.875" OD) Hydro-Grip Packer.</t>
  </si>
  <si>
    <t>DYPK0009</t>
  </si>
  <si>
    <t>9-5/8" x 3-1/2" EUE 43.5-53.5ppf (8.218" OD) Hydro-Grip Packer.</t>
  </si>
  <si>
    <t>DYPK0010</t>
  </si>
  <si>
    <t>7" x 2-7/8" EUE 23-32ppf (5.875" OD) G1-X Mechanical Packer.</t>
  </si>
  <si>
    <t>DYPK0011</t>
  </si>
  <si>
    <t>7" x 3-1/2" EUE 23-32ppf (5.875" OD) G1-X  Mechanical  Packer.</t>
  </si>
  <si>
    <t>DYPK0012</t>
  </si>
  <si>
    <t>9-5/8" x 3-1/2" EUE 43.5-53.5ppf (8.250" OD) G1-X Mechanical Packer.</t>
  </si>
  <si>
    <t>DYPK0013</t>
  </si>
  <si>
    <t>Redress Kit, 7" x 3-1/2" EUE 26-32ppf (5.875" OD) Hydro-Grip Packer.</t>
  </si>
  <si>
    <t>DYPK0014</t>
  </si>
  <si>
    <t>Redress Kit, 7" x 2-7/8" EUE 26-32ppf (5.875" OD) Hydro-Grip Packer.</t>
  </si>
  <si>
    <t>DYPK0015</t>
  </si>
  <si>
    <t>Redress Kit 7" x 2-7/8" EUE 23-32ppf (5.875" OD) G1-X Mechanical Packer.</t>
  </si>
  <si>
    <t>DYPK0016</t>
  </si>
  <si>
    <t>Redress Kit  7" x 3-1/2" EUE 23-32ppf (5.875" OD) G1-X  Mechanical  Packer.</t>
  </si>
  <si>
    <t>DYPK0017</t>
  </si>
  <si>
    <t>Redrdess Kit 9-5/8" x 3-1/2" EUE 43.5-53.5ppf (8.218" OD) Hydro-Grip Packer.</t>
  </si>
  <si>
    <t>DYPK0018</t>
  </si>
  <si>
    <t>Redress Kit 9-5/8" x 3-1/2" EUE 43.5-53.5ppf (8.250" OD) G1-X Mechanical Packer.</t>
  </si>
  <si>
    <t>DYPK0019</t>
  </si>
  <si>
    <t>Blanking Plug RZR / RZG 2.75''</t>
  </si>
  <si>
    <t>DYPK0020</t>
  </si>
  <si>
    <t>Blanking Plug RZR / RZG 2.81''</t>
  </si>
  <si>
    <t>DYPK0021</t>
  </si>
  <si>
    <t>9-5/8" 47# Y-Tool Assembly / Handling Sub 6ft 3-1/2" 9.3# EUE Box x 3-1/2" 9.2# Vam Top Pin / 2.75" Bypass Nipple PTX 3.30" Stub Acme Pin x Pin</t>
  </si>
  <si>
    <t>DYPK0022</t>
  </si>
  <si>
    <t>Blanking Plug 2.75" PTX with Equalising Feature</t>
  </si>
  <si>
    <t>DYPK0023</t>
  </si>
  <si>
    <t>15ft Bypass Tubing Joint 2-7/8" 6.4# PTX Box x Pin Drift:2.347</t>
  </si>
  <si>
    <t>DYPK0024</t>
  </si>
  <si>
    <t xml:space="preserve">Universal Bypass Neck Clamp 500 Series ESP x 2-7/8" Bypass Tubing c/w Cable Clip for MLE </t>
  </si>
  <si>
    <t>DYPK0025</t>
  </si>
  <si>
    <t>Dummy Neck 2-3/8" 4.7# EUE Pin for Motor Base</t>
  </si>
  <si>
    <t>DYPK0026</t>
  </si>
  <si>
    <t>Re-Entry Guide 2-7/8" 6.4# PTX Box</t>
  </si>
  <si>
    <t>DYPK0027</t>
  </si>
  <si>
    <t>Servicio de Reparacion de Y-Tool 9 5/8'' Assembly, Incluye RK y prueba de presion.</t>
  </si>
  <si>
    <t>DYPK0028</t>
  </si>
  <si>
    <t>Dual 9-5/8"" 47# Y-Tool Assembly: Handling Sub 6ft 4-1/2"" 12.7# EUE Box x Pin, 9-5/8"" 47# Y-Tool Body, w/ 3.125"" Integral Top Nipple, Prod Conn: 4-1/2"" 12.7# Vam Top, Byp Conn: 3.30"" Stub Acme, Disch Conn: 3-1/2"" 9.2# Vam Top, c/w Cable Clip, 2.75"" PBR Seal Bore Nipple, 3.30"" Stub Acme Pin x Pin, Nogo Sub, 3.30"" Stub Acme Box x Pin, Telescopic Swivel, 2-7/8"" 8.6# Vam FJL Pin, 20"" Adjustment</t>
  </si>
  <si>
    <t>DYPK0029</t>
  </si>
  <si>
    <t>Pump Sub 8ft 3.30" Stub Acme Box x 3-1/2" 9.3# EUE Pin</t>
  </si>
  <si>
    <t>DYPK0030</t>
  </si>
  <si>
    <t xml:space="preserve">Concentric Tubing Seal Mandrel / Blast Joint Consisting of: Crossover 2-3/8" 4.7# EUE Box x 2-3/8" 4.6# Vam FJL Pin, Blast Joint 2-3/8" 4.6# Vam FJL Box x Pin, 2.75" Stinger Seal 2-3/8" 4.6# Vam FJL Box Up
</t>
  </si>
  <si>
    <t>DYPK0031</t>
  </si>
  <si>
    <t>Universal Bypass Neck Clamp 500 Series ESP x 2-7/8" Bypass Tubing c/w 2x Cable Clips for MLE (size TBC), 3/8" and 1/4" Control Lines</t>
  </si>
  <si>
    <t>DYPK0032</t>
  </si>
  <si>
    <t>Bypass Body Clamp (Running) to suit 562 Motor with 2 7/8" bypass tubing (recesses) - Clip for power cable #1 AWG flat cable with 3/8" integral capillary line</t>
  </si>
  <si>
    <t>DYPK0033</t>
  </si>
  <si>
    <t>15ft Bypass Tubing Joint 2-7/8" 8.6# Vam FJL Box x Pin (Drift: 2.165") w/ 2 Recesses</t>
  </si>
  <si>
    <t>DYPK0034</t>
  </si>
  <si>
    <t>9-5/8" Pump Support Block Consisting of: 3ft Bypass Tubing Joint 2-7/8" 8.6# Vam FJL Box Up (Recessed) Pump Support Block Body 15ft Extension Joint 2-7/8" 6.5# EUE Pin Down Assemble and Pressure Test of above PSB Assy Included</t>
  </si>
  <si>
    <t>DYPK0035</t>
  </si>
  <si>
    <t xml:space="preserve">5-1/2" Offset Shroud Hanger Assembly (Optional) Consisting of: Handling Sub 10ft 2-7/8" 6.4# EUE Box Up 5-1/2" Shroud Hanger Body 2-3/8" 4.6# Vam Top Box x Box 3x 3/8" NPT Ports for RMS Split Phase Packer Penetrator 2x 3/8" NPT Ports for Capillary Lines Shroud Adaptor 5-1/2" 17# STL Pin Down Spin Collar for 5-1/2" Shroud Pump Sub 10ft 2-7/8" 6.5# EUE Pin Down
</t>
  </si>
  <si>
    <t>DYPK0036</t>
  </si>
  <si>
    <t xml:space="preserve">Redress Kits to suit 2.75" Blanking Plug PTX </t>
  </si>
  <si>
    <t>DYPK0037</t>
  </si>
  <si>
    <t>Y-Tool Installation all Size, Tools Stove Pipe Installation Table c/w Safety Gat, Safety Lifting Clamp for 2-7/8" Bypass Tubing, Bypass Tubing Lifting Nubbin 2-7/8" 6.4# PTX  por trabajo</t>
  </si>
  <si>
    <t>DYPK0038</t>
  </si>
  <si>
    <t>Y-Tool Especilista día/ fraccion</t>
  </si>
  <si>
    <t>DYPK0039</t>
  </si>
  <si>
    <t>SEAL BORE PACKER RECUPERABLE PARA CASING 7''</t>
  </si>
  <si>
    <t>DYPK0040</t>
  </si>
  <si>
    <t>SEAL BORE PACKER RECUPERABLE PARA CASING 9 5/8''</t>
  </si>
  <si>
    <t>DYPK0041</t>
  </si>
  <si>
    <t>ESP PACKER  7''  x  2 7/8 EUE x 2 3/8 EUE or 1.9 EUE</t>
  </si>
  <si>
    <t>DYPK0042</t>
  </si>
  <si>
    <t>ESP PACKER  9 5/8'' x 4 1/2 LTC x 2 3/8 EUE or 1.9 EUE</t>
  </si>
  <si>
    <t>SFS6288</t>
  </si>
  <si>
    <t>TOP PACKER 5'' X 7''</t>
  </si>
  <si>
    <t>SFS6289</t>
  </si>
  <si>
    <t>TOP PACKER 7'' X 9 5/8''</t>
  </si>
  <si>
    <t>SFS6290</t>
  </si>
  <si>
    <t>TIE-BACK SEAL ASSEMBLY 5'' X 7''</t>
  </si>
  <si>
    <t>SFS6291</t>
  </si>
  <si>
    <t>TIE-BACK SEAL ASSEMBLY 7'' x 9 5/8''</t>
  </si>
  <si>
    <t>SFS6292</t>
  </si>
  <si>
    <t>TOP PACKER SETTING TOOL ALL SIZE</t>
  </si>
  <si>
    <t>Corrida</t>
  </si>
  <si>
    <t>2.1.30. Servicios de Taponamiento de cemento para desvíos o abandonos de pozo</t>
  </si>
  <si>
    <t>SC2301</t>
  </si>
  <si>
    <t>Viaje unidad de bombeo, para el servicio de cementación forzada</t>
  </si>
  <si>
    <t>SC2304</t>
  </si>
  <si>
    <t>Primeras 4 horas o fracción, cargo básico por unidad de bombeo alta presión</t>
  </si>
  <si>
    <t>SC2305</t>
  </si>
  <si>
    <t>Cada hora adicional o fracción de trabajo, por unidad de bombeo alta presión</t>
  </si>
  <si>
    <t>SC2306</t>
  </si>
  <si>
    <t>Cargo por profundidad, hasta 11.000 pies.</t>
  </si>
  <si>
    <t>Pie</t>
  </si>
  <si>
    <t>SC2307</t>
  </si>
  <si>
    <t>Cargo por profundidad, de 11.001 hasta 14.000 Pies</t>
  </si>
  <si>
    <t>SC2308</t>
  </si>
  <si>
    <t>Batch mixer de 100 barriles por trabajo</t>
  </si>
  <si>
    <t>SC2309</t>
  </si>
  <si>
    <t>Adaptador  de 2 3/8", 2 7/8", 3 1/2", 4 1/2" para cementación forzada</t>
  </si>
  <si>
    <t>SC2310</t>
  </si>
  <si>
    <t>Cargo por monitoreo standard  de presión, caudal y densidad para lechadas</t>
  </si>
  <si>
    <t>SC2311</t>
  </si>
  <si>
    <t>Registrador de presión tipo Martín Decker, por trabajo</t>
  </si>
  <si>
    <t>SC2312</t>
  </si>
  <si>
    <t>Setting Tool para cementacion forzada, por trabajo</t>
  </si>
  <si>
    <t>SC2313</t>
  </si>
  <si>
    <t>Stinger cementación forzada, por trabajo</t>
  </si>
  <si>
    <t>SC2314</t>
  </si>
  <si>
    <t>Manifold de alta presión, por trabajo</t>
  </si>
  <si>
    <t>SC2315</t>
  </si>
  <si>
    <t>Mov. Cemento y adit.:Ton-Km,( incluido manipuleo)</t>
  </si>
  <si>
    <t>Tn - km</t>
  </si>
  <si>
    <t>SC2318</t>
  </si>
  <si>
    <t>Mezcla cemento + adit. , por cada cuft de material seco proporcionado por la contratista.</t>
  </si>
  <si>
    <t>Ft3</t>
  </si>
  <si>
    <t>SC2319</t>
  </si>
  <si>
    <t>Mezcla cemento + adit., por cada Libra de material seco proporcionado por la Empresa o terceros.</t>
  </si>
  <si>
    <t>SC2320</t>
  </si>
  <si>
    <t>Tanque de fractura de 500 barriles, por primeros 3 días o fracción</t>
  </si>
  <si>
    <t>SC2321</t>
  </si>
  <si>
    <t>Tanque de fractura de 500 bbls,cada dia adicional después del 3er día</t>
  </si>
  <si>
    <t>SC2322</t>
  </si>
  <si>
    <t>Mezcla de preflujo (colchón Lavador)</t>
  </si>
  <si>
    <t>SC2323</t>
  </si>
  <si>
    <t>Mezcla de aditivos en agua</t>
  </si>
  <si>
    <t>SC2324</t>
  </si>
  <si>
    <t>Uso de recirculador, por trabajo</t>
  </si>
  <si>
    <t>SC2325</t>
  </si>
  <si>
    <t>Movilización de frac tank 500 bbls</t>
  </si>
  <si>
    <t>SC2326</t>
  </si>
  <si>
    <t>Movilización de batch mixer para cementación forzada</t>
  </si>
  <si>
    <t>SC2327</t>
  </si>
  <si>
    <t>Supervisor para operaciones de cementación forzada dia o fraccion</t>
  </si>
  <si>
    <t>SC2328</t>
  </si>
  <si>
    <t>Operador para operaciones de cementación forzada dia o fraccion</t>
  </si>
  <si>
    <t>SC2329</t>
  </si>
  <si>
    <t>Asistente de Operaciones para operaciones de cementación forzada dia o fraccion</t>
  </si>
  <si>
    <t>SC2330</t>
  </si>
  <si>
    <t>Movilización unidades livianas para cementación forzada</t>
  </si>
  <si>
    <t>SC2331</t>
  </si>
  <si>
    <t>Supervisor Senior para cementación dia o fraccion</t>
  </si>
  <si>
    <t>SC2332</t>
  </si>
  <si>
    <t>Ingeniero de cementación</t>
  </si>
  <si>
    <t>SC2333</t>
  </si>
  <si>
    <t>Primeras 4 horas o fracción, cargo básico por unidad de bombeo alta presión (700 HP)</t>
  </si>
  <si>
    <t>SC2334</t>
  </si>
  <si>
    <t>Cada hora adicional o fracción de trabajo, por unidad de bombeo alta presión (700 HP)</t>
  </si>
  <si>
    <t>SC2401</t>
  </si>
  <si>
    <t>Viaje por unidad de Bombeo</t>
  </si>
  <si>
    <t>SC2405</t>
  </si>
  <si>
    <t>Cada hora adicional o fracción de trabajo, por unidad de bombeo</t>
  </si>
  <si>
    <t>SC2406</t>
  </si>
  <si>
    <t>SC2407</t>
  </si>
  <si>
    <t>SC2408</t>
  </si>
  <si>
    <t>Segundo tapón de cemento , costo por unidad</t>
  </si>
  <si>
    <t>SC2409</t>
  </si>
  <si>
    <t>Tercer tapón de cemento, costo por unidad</t>
  </si>
  <si>
    <t>SC2410</t>
  </si>
  <si>
    <t>Adaptador de  2 3/8", 2 7/8", 3 1/2", 4 1/2" para operaciones de bombeo de cementación</t>
  </si>
  <si>
    <t>SC2411</t>
  </si>
  <si>
    <t>Cargo mínimo por movilización de cemento más aditivos, para tapones de cemento</t>
  </si>
  <si>
    <t>SC2412</t>
  </si>
  <si>
    <t>SC2413</t>
  </si>
  <si>
    <t>SC2415</t>
  </si>
  <si>
    <t>Registrador electrónico de presión, rata y densidad, por trabajo</t>
  </si>
  <si>
    <t>SC2416</t>
  </si>
  <si>
    <t>Cargo por mezcla de colchón lavador</t>
  </si>
  <si>
    <t>SC2417</t>
  </si>
  <si>
    <t>SC2418</t>
  </si>
  <si>
    <t>Mezcla de aditivo en agua</t>
  </si>
  <si>
    <t>SC2419</t>
  </si>
  <si>
    <t>SC2420</t>
  </si>
  <si>
    <t>SC2422</t>
  </si>
  <si>
    <t xml:space="preserve">Movilización de equipos pesados </t>
  </si>
  <si>
    <t>SC2423</t>
  </si>
  <si>
    <t>Supervisor para operaciones de cementación dia o fraccion</t>
  </si>
  <si>
    <t>SC2424</t>
  </si>
  <si>
    <t>Operador para operaciones de cementación dia o fraccion</t>
  </si>
  <si>
    <t>SC2425</t>
  </si>
  <si>
    <t>Movilización unidades livianas para servicio de tapón cemento</t>
  </si>
  <si>
    <t>SC2426</t>
  </si>
  <si>
    <t>Servicio de Winche para bajar tanques y silos</t>
  </si>
  <si>
    <t>SC2427</t>
  </si>
  <si>
    <t>Asistente de Operaciones para tapones de cemento dia o fraccion</t>
  </si>
  <si>
    <t>SC2428</t>
  </si>
  <si>
    <t>Supervisor Senior para tapones de cemento dia o fraccion</t>
  </si>
  <si>
    <t>SC2429</t>
  </si>
  <si>
    <t>Primeras 4 horas o fracción, cargo básico por unidad de bombeo (350 HP)</t>
  </si>
  <si>
    <t>SC2430</t>
  </si>
  <si>
    <t>Cada hora adicional o fracción de trabajo, por unidad de bombeo  (350 HP)</t>
  </si>
  <si>
    <t>DYRY-210L</t>
  </si>
  <si>
    <t>Retardador  para lechada convencional</t>
  </si>
  <si>
    <t>DYRY - 80</t>
  </si>
  <si>
    <t>Retardador  de fragüe para lechadas pesadas</t>
  </si>
  <si>
    <t>DYLIG-SCL</t>
  </si>
  <si>
    <t>Retardador de fragüe liquido</t>
  </si>
  <si>
    <t>DYLIG-HTL</t>
  </si>
  <si>
    <t>Retardador de fragüe liquido para HT</t>
  </si>
  <si>
    <t>DYFY-320</t>
  </si>
  <si>
    <t xml:space="preserve">Controlador de Filtrado para lechada </t>
  </si>
  <si>
    <t>DYFY-330</t>
  </si>
  <si>
    <t>Controlador de Filtrado para lechada livianas</t>
  </si>
  <si>
    <t>DYFY-330L</t>
  </si>
  <si>
    <t>Controlador de Filtrado lechadas densidad superior</t>
  </si>
  <si>
    <t>DYRF-300</t>
  </si>
  <si>
    <t>Reductor de filtrado celulósico</t>
  </si>
  <si>
    <t>DYRF-400</t>
  </si>
  <si>
    <t>Reductor de filtrado vinílico para Temp medía</t>
  </si>
  <si>
    <t>DYRF-700</t>
  </si>
  <si>
    <t>Reductor de filtrado celulósico para Temp medía</t>
  </si>
  <si>
    <t>DYRF-800</t>
  </si>
  <si>
    <t>Reductor de filtrado celulósico para Temp alta</t>
  </si>
  <si>
    <t>DYBY-100</t>
  </si>
  <si>
    <t>Aditivo para mejorar adherencia polimérico</t>
  </si>
  <si>
    <t>DYBY-100L</t>
  </si>
  <si>
    <t>Aditivo para mejorar adherencia rápido</t>
  </si>
  <si>
    <t>DYBY-560</t>
  </si>
  <si>
    <t>Aditivo para mejorar adherencia solido para pre mezcla</t>
  </si>
  <si>
    <t>DYBY-580L</t>
  </si>
  <si>
    <t>Aditivo para mejorar adherencia para lechadas livianas</t>
  </si>
  <si>
    <t>DYBY-860L</t>
  </si>
  <si>
    <t>Aditivo para mejorar adherencia lechadas alta densidad</t>
  </si>
  <si>
    <t>DYCY-320 HT</t>
  </si>
  <si>
    <t>DISPERSANTE para lechadas pesadas</t>
  </si>
  <si>
    <t>DYCY-330 HT</t>
  </si>
  <si>
    <t>DISPERSANTE para lechadas livianas</t>
  </si>
  <si>
    <t>DYD-110</t>
  </si>
  <si>
    <t>Dispersante base naftalen sulfonato de sodio</t>
  </si>
  <si>
    <t>DYD-200L</t>
  </si>
  <si>
    <t>Dispersante base naftalen sulfonato liquido</t>
  </si>
  <si>
    <t>DYCY-321 HT</t>
  </si>
  <si>
    <t xml:space="preserve">Dispersante polimérico liquido </t>
  </si>
  <si>
    <t>DY GEL</t>
  </si>
  <si>
    <t>EXTENDEDOR</t>
  </si>
  <si>
    <t>DYAF-100L</t>
  </si>
  <si>
    <t>ANTI - ESPUMANTE para SQZ</t>
  </si>
  <si>
    <t xml:space="preserve">gls </t>
  </si>
  <si>
    <t>DYAF-200L</t>
  </si>
  <si>
    <t>ANTI - ESPUMANTE para lechadas pesadas</t>
  </si>
  <si>
    <t>DYDSFT SSL</t>
  </si>
  <si>
    <t>DENSIFICANTE (Barita, sx de 100 lbs).</t>
  </si>
  <si>
    <t>sx</t>
  </si>
  <si>
    <t>DYDSFT HT</t>
  </si>
  <si>
    <t>DENSIFICANTE (Hermatite, sx de 100 lbs).</t>
  </si>
  <si>
    <t>DYA-100</t>
  </si>
  <si>
    <t>Material Alivianador de lechada</t>
  </si>
  <si>
    <t>DYEF6061</t>
  </si>
  <si>
    <t>Act model BKR premium Bridge Plug- WIRELINE SET/ DRILLABLE FOR  CASING 5' 11.5-18 lbs/FT</t>
  </si>
  <si>
    <t>DYEF6062</t>
  </si>
  <si>
    <t>Act model BKR premium Bridge Plug - WIRELINE SET/ DRILLABLE  FOR CASING 7'' 17-35 lbs/FT</t>
  </si>
  <si>
    <t>DYEF6063</t>
  </si>
  <si>
    <t>Act model BKR premium Bridge Plug - WIRELINE SET/ DRILLABLE FOR CASING 9 5/8'' 29.3-53.5 lbs/FT</t>
  </si>
  <si>
    <t>DYEF6064</t>
  </si>
  <si>
    <t>Act model BKR premium Bridge Plug- MECHANICAL SET/ DRILLABLE FOR CASING 5' 11.5-18 lbs/FT</t>
  </si>
  <si>
    <t>DYEF6065</t>
  </si>
  <si>
    <t>Act model BKR premium Bridge Plug - MECHANICAL SET/ DRILLABLE FOR  CASING 7'' 17-35 lbs/FT</t>
  </si>
  <si>
    <t>DYEF6066</t>
  </si>
  <si>
    <t>Act model BKR premium Bridge Plug - MECHANICAL SET/ DRILLABLE  FOR CASING 9 5/8'' 29.3-53.5 lbs/FT</t>
  </si>
  <si>
    <t>DYEF6067</t>
  </si>
  <si>
    <t>Act model BKR premium cement retainer- WIRELINE SET/ DRILLABLE FOR CASING 5' 11.5-18 lbs/FT</t>
  </si>
  <si>
    <t>DYEF6068</t>
  </si>
  <si>
    <t>Act model BKR premium cement retainer - WIRELINE SET/ DRILLABLE FOR CASING 7'' 17-35 lbs/FT</t>
  </si>
  <si>
    <t>DYEF6069</t>
  </si>
  <si>
    <t>Act model BKR premium cement retainer - WIRELINE SET/ DRILLABLE FOR CASING 9 5/8'' 29.3-53.5 lbs/FT</t>
  </si>
  <si>
    <t>DYEF6070</t>
  </si>
  <si>
    <t>Act model BKR premium cement retainer- MECHANICAL  SET/ DRILLABLE FOR CASING 5' 11.5-18 lbs/FT</t>
  </si>
  <si>
    <t>DYEF6071</t>
  </si>
  <si>
    <t>Act model BKR premium cement retainer - MECHANICAL  SET/ DRILLABLE FOR CASING 7'' 17-35 lbs/FT</t>
  </si>
  <si>
    <t>DYEF6072</t>
  </si>
  <si>
    <t>Act model BKR premium cement retainer - MECHANICAL  SET/ DRILLABLE FOR CASING 9 5/8'' 29.3-53.5 lbs/FT</t>
  </si>
  <si>
    <t>DYRTY-80</t>
  </si>
  <si>
    <t>Aditivo de Retrogresión de Resistencia para SQZ</t>
  </si>
  <si>
    <t xml:space="preserve">DYRTYS-80C </t>
  </si>
  <si>
    <t>Aditivo de Retrogresión de Resistencia para lechadas livianas</t>
  </si>
  <si>
    <t xml:space="preserve">DY-ULTRA </t>
  </si>
  <si>
    <t xml:space="preserve">Espaciador tipo 1             </t>
  </si>
  <si>
    <t>DYRYS-1</t>
  </si>
  <si>
    <t xml:space="preserve">Espaciador tipo 2              </t>
  </si>
  <si>
    <t>DYCD-200</t>
  </si>
  <si>
    <t>Colchón mecánico limpieza y remoción de residuos de Workover</t>
  </si>
  <si>
    <t>bbl</t>
  </si>
  <si>
    <t>DYCG-300</t>
  </si>
  <si>
    <t>Colchón gelificado limpieza</t>
  </si>
  <si>
    <t>DYCQ-400</t>
  </si>
  <si>
    <t>Colchón Químico acción rápida remoción residuos de Workover</t>
  </si>
  <si>
    <t>DYCX-500</t>
  </si>
  <si>
    <t>Colchón mecánico limpiador</t>
  </si>
  <si>
    <t>DYLX-100</t>
  </si>
  <si>
    <t>Látex Solido</t>
  </si>
  <si>
    <t>DYLA-200</t>
  </si>
  <si>
    <t>Látex base polímeros vinílico</t>
  </si>
  <si>
    <t>DYLX-300</t>
  </si>
  <si>
    <t>Látex base polímeros estirenicos</t>
  </si>
  <si>
    <t>DYLX-400 PLUS</t>
  </si>
  <si>
    <t>Látex base polímeros estirenicos para HT</t>
  </si>
  <si>
    <t>DYELX-104</t>
  </si>
  <si>
    <t>Estabilizador para Látex</t>
  </si>
  <si>
    <t>DYMPSL</t>
  </si>
  <si>
    <t>Aditivo multipropósito para lechadas</t>
  </si>
  <si>
    <t>DYAS-100</t>
  </si>
  <si>
    <t>Antisetting para cementación</t>
  </si>
  <si>
    <t>DYCM-100</t>
  </si>
  <si>
    <t>Cemento Magnésico</t>
  </si>
  <si>
    <t>DYCP-101</t>
  </si>
  <si>
    <t>Cemento Puzolanico</t>
  </si>
  <si>
    <t>SX</t>
  </si>
  <si>
    <t>DYCP-102</t>
  </si>
  <si>
    <t>Cemento Dyckerhoff</t>
  </si>
  <si>
    <t>DYAE-100</t>
  </si>
  <si>
    <t>Aditivo expansivo de lechada</t>
  </si>
  <si>
    <t>DYAA-150</t>
  </si>
  <si>
    <t>Aditivo Antiretrogresivo</t>
  </si>
  <si>
    <t>DYAX-200</t>
  </si>
  <si>
    <t>Aditivo Extendedor de lechada</t>
  </si>
  <si>
    <t>DYEC-100</t>
  </si>
  <si>
    <t>Espumante para Cemento</t>
  </si>
  <si>
    <t>DYFM-100</t>
  </si>
  <si>
    <t>Fibra Monofilamento 12 mm</t>
  </si>
  <si>
    <t>DYOP-100</t>
  </si>
  <si>
    <t>Obturante Polimérico</t>
  </si>
  <si>
    <t>DYSC-800</t>
  </si>
  <si>
    <t>Soda Caustica solido</t>
  </si>
  <si>
    <t>DYXYC- 2007</t>
  </si>
  <si>
    <t>Biocida alta concentración para tratamientos</t>
  </si>
  <si>
    <t>DYBF-70L</t>
  </si>
  <si>
    <t>Buffer acido</t>
  </si>
  <si>
    <t>DYBF-10L</t>
  </si>
  <si>
    <t>Buffer liquido alcalino mezcla de sales regula pH</t>
  </si>
  <si>
    <t>DYBF-20L</t>
  </si>
  <si>
    <t>Buffer liquido alcalino regula pH</t>
  </si>
  <si>
    <t>DYBF-30L</t>
  </si>
  <si>
    <t>Regulador de pH Alcalino</t>
  </si>
  <si>
    <t>DYBF-40</t>
  </si>
  <si>
    <t>Regulador de pH solido</t>
  </si>
  <si>
    <t>DYBF-50L</t>
  </si>
  <si>
    <t>Regulador de pH evita hidratación violenta</t>
  </si>
  <si>
    <t>DYCIDE-57</t>
  </si>
  <si>
    <t>Bactericida para preservar geles</t>
  </si>
  <si>
    <t>DYCIDE-100</t>
  </si>
  <si>
    <t>Bactericida para preservar degradación bacteriana</t>
  </si>
  <si>
    <t>DYFK-100</t>
  </si>
  <si>
    <t>Fluoruro de Potasio</t>
  </si>
  <si>
    <t>DYMFP-100</t>
  </si>
  <si>
    <t>Mono fosfato de potasio</t>
  </si>
  <si>
    <t>DYHK-100</t>
  </si>
  <si>
    <t>hidróxido de Potasio</t>
  </si>
  <si>
    <t>DYBYF-90L</t>
  </si>
  <si>
    <t>Hidróxido de potasio 15%</t>
  </si>
  <si>
    <t>DYCC-200</t>
  </si>
  <si>
    <t>Carbonato de Calcio</t>
  </si>
  <si>
    <t>DYE-10</t>
  </si>
  <si>
    <t>Agente Pegante (50 sx)</t>
  </si>
  <si>
    <t>DYPSA - 10</t>
  </si>
  <si>
    <t>Componente para Gel</t>
  </si>
  <si>
    <t>DYRG - 350</t>
  </si>
  <si>
    <t>Rompedor de Crudo</t>
  </si>
  <si>
    <t>DYRPM-100</t>
  </si>
  <si>
    <t>MODIFICADOR DE PERMEABILIDAD RELATIVA HTP</t>
  </si>
  <si>
    <t>DYRPM-101</t>
  </si>
  <si>
    <t>MODIFICADOR DE PERMEABILIDAD RELATIVA LPT</t>
  </si>
  <si>
    <t>DY Fill</t>
  </si>
  <si>
    <t xml:space="preserve">CEMENTOS TIXOTROPICOS </t>
  </si>
  <si>
    <t>DY Fill HT</t>
  </si>
  <si>
    <t>CEMENTOS TIXOTROPICOS RAPIDA ACCION</t>
  </si>
  <si>
    <t>DYCEM-A</t>
  </si>
  <si>
    <t>Cemento Nacional sx de 100  libras</t>
  </si>
  <si>
    <t>DYCEM-G</t>
  </si>
  <si>
    <t>Cemento G API importado sx 94 lbs</t>
  </si>
  <si>
    <t>DYCEMMF</t>
  </si>
  <si>
    <t>Cemento ultra fino (sx 44 lbs)</t>
  </si>
  <si>
    <t>Q21081</t>
  </si>
  <si>
    <t>DYLG- Lubricante Sólido – micro esferas de copolímero. Grav. Espec.: 1.06</t>
  </si>
  <si>
    <t>Q21082</t>
  </si>
  <si>
    <t>DYCLube - Lubricante Líquido Base-Sintética para aplicaciones en pesca</t>
  </si>
  <si>
    <t>Q21083</t>
  </si>
  <si>
    <t>DYEzeSlide - Lubricante Líquido Base-Sintética para aplicaciones metal con metal – completación y/o Coiled Tubing</t>
  </si>
  <si>
    <t>Q21084</t>
  </si>
  <si>
    <t>DYDrilcon - Inhibidor de arcillas</t>
  </si>
  <si>
    <t>Q21085</t>
  </si>
  <si>
    <t>DYC-Mul - Mejorador de ROP</t>
  </si>
  <si>
    <t>Q21086</t>
  </si>
  <si>
    <t>DYBlacknite - Estabilizador/fortalecedor de pared de pozo. Reductor de filtrado. Tiene efecto lubricante secundario.</t>
  </si>
  <si>
    <t>Q21087</t>
  </si>
  <si>
    <t>DYSunSweep - Fibra limpiadora de pozo</t>
  </si>
  <si>
    <t>Q21088</t>
  </si>
  <si>
    <t>DYSX Plus - Reductor de perdida de fluido. Partículas Sólidas de Grafito.</t>
  </si>
  <si>
    <t>Q21089</t>
  </si>
  <si>
    <t>DYCoastalSpot - Concentrado para píldora despegante de Pega Diferencial</t>
  </si>
  <si>
    <t>2.1.31. Servicios de Limpieza de Revestidor</t>
  </si>
  <si>
    <t xml:space="preserve">SH1100   </t>
  </si>
  <si>
    <t xml:space="preserve">SARTA DE LIMPIEZA PARA CASING 5'' - 5 1/2'' Incuye   (casing scraper, cepillo  , magneto , canasta), personal tecnico, redress.  </t>
  </si>
  <si>
    <t>SH1101</t>
  </si>
  <si>
    <t xml:space="preserve">SARTA DE LIMPIEZA PARA CASING 7'' Incuye  (casing scraper, cepillo  , magneto , canasta), personal tecnico, redress.  </t>
  </si>
  <si>
    <t>SH1102</t>
  </si>
  <si>
    <t xml:space="preserve">SARTA DE LIMPIEZA PARA CASING 9 5/8'' Incuye  (casing scraper, cepillo  , magneto , canasta), personal tecnico, redress.  </t>
  </si>
  <si>
    <t>SH1103</t>
  </si>
  <si>
    <t xml:space="preserve">SARTAS DE LIMPIEZA EN TANDEM PARA CASING  7" Y 9-5/8" Incluye  (casing scraper, cepillo , magneto , canasta), personal tecnico, redress.   </t>
  </si>
  <si>
    <t>SH1104</t>
  </si>
  <si>
    <t xml:space="preserve">SARTAS DE LIMPIEZA EN TANDEM PARA CASING  5" Y 7"  Incluye (casing scraper, cepillo , magneto , canasta), personal tecnico, redress.  </t>
  </si>
  <si>
    <t>SH1105</t>
  </si>
  <si>
    <t xml:space="preserve">SCRAPER PARA CASING 4 1/2-5 1/2" </t>
  </si>
  <si>
    <t>SH1106</t>
  </si>
  <si>
    <t>SCRAPER PARA CASING 7"</t>
  </si>
  <si>
    <t>SH1107</t>
  </si>
  <si>
    <t>SCRAPER PARA CASING 9 5/8"</t>
  </si>
  <si>
    <t>SH1108</t>
  </si>
  <si>
    <t>CANASTA PARA CASING  4 1/2-5 1/2"</t>
  </si>
  <si>
    <t>SH1109</t>
  </si>
  <si>
    <t>CANASTA PARA CASING  7"</t>
  </si>
  <si>
    <t>SH1110</t>
  </si>
  <si>
    <t>CANASTA PARA CASING  9 5/8"</t>
  </si>
  <si>
    <t>SCR5201</t>
  </si>
  <si>
    <t xml:space="preserve">ROTATING JET CLEAN SYSTEM TOOL 2.5¨ - 2 3/8¨ EUE BOX UP </t>
  </si>
  <si>
    <t>SCR5202</t>
  </si>
  <si>
    <t>SAND JET PERFORATING TOOL - 3.500¨ - 2 3/8¨ EUE BOX x PIN - PRIMERAS 8 HORAS</t>
  </si>
  <si>
    <t>SCR5203</t>
  </si>
  <si>
    <t>SAND JET PERFORATING TOOL -POR PUNZADO</t>
  </si>
  <si>
    <t>SCR5204</t>
  </si>
  <si>
    <t>CIRCULATION SUB ROTATING JET CLEAN</t>
  </si>
  <si>
    <t>SCR5205</t>
  </si>
  <si>
    <t>Supervisor para operaciones de Sand Jetting dia o fraccion</t>
  </si>
  <si>
    <t>SCR5206</t>
  </si>
  <si>
    <t>OPERADOR SAND JETTING dia o fraccion</t>
  </si>
  <si>
    <t>SCR5207</t>
  </si>
  <si>
    <t>Asistente de Operaciones para fluidos de completacion dia o fraccion</t>
  </si>
  <si>
    <t>2.1.07. Servicios de Pesca</t>
  </si>
  <si>
    <t>SH1001</t>
  </si>
  <si>
    <t>Operador de Thru Tubing dia o fraccion dia o fraccion</t>
  </si>
  <si>
    <t>SH1006</t>
  </si>
  <si>
    <t>Tapon Inflable de 1-11/16" HASTA 2-1/8'' OD</t>
  </si>
  <si>
    <t>SH1007</t>
  </si>
  <si>
    <t>SARTA DE (MHA): O.D 1-11/16"</t>
  </si>
  <si>
    <t>SH1008</t>
  </si>
  <si>
    <t>SARTA DE (MHA): O.D 1-1/2"</t>
  </si>
  <si>
    <t>SH1009</t>
  </si>
  <si>
    <t>SARTA DE (MHA): O.D 2-1/8"</t>
  </si>
  <si>
    <t>SH1010</t>
  </si>
  <si>
    <t>SARTA DE (MHA): O.D 2-7/8"</t>
  </si>
  <si>
    <t>SH1011</t>
  </si>
  <si>
    <t>SARTA DE (MHA) PARA BAJAR TAPON RECUPERABLE 1-11/16" HASTA 2-1/8'' OD</t>
  </si>
  <si>
    <t>SH1012</t>
  </si>
  <si>
    <t>SARTA DE GS SPEAR HIDRAULICO: O.D 1-3/4"</t>
  </si>
  <si>
    <t>SH1013</t>
  </si>
  <si>
    <t>SARTA DE PESCANTE DE GUAYA TIPO CAIMAN</t>
  </si>
  <si>
    <t>SH1014</t>
  </si>
  <si>
    <t>SARTA DE PESCANTE DE GUAYA TIPO ARPON</t>
  </si>
  <si>
    <t>SH1015</t>
  </si>
  <si>
    <t>SARTA DE JDC HIDRAULICO: 2'' HASTA 3 1/2'' OD</t>
  </si>
  <si>
    <t>SH1016</t>
  </si>
  <si>
    <t>SARTA DE OVERSHOT-CONTINUO MECANICO: HASTA 3 1/2 O.D</t>
  </si>
  <si>
    <t>SH1017</t>
  </si>
  <si>
    <t>SARTA DE OVERSHOT HIDRAULICO : HASTA 3 1/2 OD</t>
  </si>
  <si>
    <t>SH1018</t>
  </si>
  <si>
    <t>SARTA DE INDEXING TOOL MECANICA/HIDRAULICA</t>
  </si>
  <si>
    <t>SH1019</t>
  </si>
  <si>
    <t>SARTA DE BLOQUE DE IMPRESIÓN: HASTA 3-3/4"</t>
  </si>
  <si>
    <t>SH1020</t>
  </si>
  <si>
    <t>SARTA DE SETTING TOOL HIDRAULICO: OD. 2''</t>
  </si>
  <si>
    <t>SH1021</t>
  </si>
  <si>
    <t>SARTA DE VENTURY BASKET: 1-11/16" hasta 2 1/2'' OD</t>
  </si>
  <si>
    <t>SH1022</t>
  </si>
  <si>
    <t>SARTA DE JET ROTATORIO: OD. 1-11/16"</t>
  </si>
  <si>
    <t>SH1023</t>
  </si>
  <si>
    <t>SARTA DE JET ROTATORIO: OD. 2-1/2"</t>
  </si>
  <si>
    <t>SH1024</t>
  </si>
  <si>
    <t>SARTA DE CORTADOR DE TUBERIA HIDRAULICO:  1-11/16, 2 1/8''</t>
  </si>
  <si>
    <t>SH1025</t>
  </si>
  <si>
    <t>UNDERIMER: OD. 2", 2-1/8"</t>
  </si>
  <si>
    <t>SH1026</t>
  </si>
  <si>
    <t>PERCUSIÓN HIDRÁULICA O.D 1-11/16'' , 1-1/4''</t>
  </si>
  <si>
    <t>SH1027</t>
  </si>
  <si>
    <t>LOCALIZADOR: O.D 1-11/16 , 2-1/8"</t>
  </si>
  <si>
    <t>SH1029</t>
  </si>
  <si>
    <t>SARTA DE EMPACADURA INFLEBLE: 1-11/16",</t>
  </si>
  <si>
    <t>SH1030</t>
  </si>
  <si>
    <t>CONECTOR DE TUBERIA 1-1/4” – 1-1/2”</t>
  </si>
  <si>
    <t>SH1031</t>
  </si>
  <si>
    <t>CONECTOR DE TUBERIA Coil: 1-3/4” – 2.00”</t>
  </si>
  <si>
    <t>SH1032</t>
  </si>
  <si>
    <t>VALVULA FLAPPLER</t>
  </si>
  <si>
    <t>SH1033</t>
  </si>
  <si>
    <t>SUB DE CIRCULACIÓN</t>
  </si>
  <si>
    <t>SH1034</t>
  </si>
  <si>
    <t>DESCONECTOR HIDRAULICO</t>
  </si>
  <si>
    <t>SH1035</t>
  </si>
  <si>
    <t>JET FIJO PARA LIMPIEZA</t>
  </si>
  <si>
    <t>SH1036</t>
  </si>
  <si>
    <t>JET FIJO PARA CEMENTACIÓN</t>
  </si>
  <si>
    <t>SH1037</t>
  </si>
  <si>
    <t xml:space="preserve">Venturi Junk Basket 2 1/16'' /  1 1/2”  </t>
  </si>
  <si>
    <t>SH1038</t>
  </si>
  <si>
    <t xml:space="preserve">Fishing Grab Tool 2 1/16'' /  1 1/2”  </t>
  </si>
  <si>
    <t>SH1039</t>
  </si>
  <si>
    <t xml:space="preserve">Coiled Tubing Anchor with Mechanical Shear Release 1-11/16'' / 1” </t>
  </si>
  <si>
    <t>SH1040</t>
  </si>
  <si>
    <t xml:space="preserve">Coiled Tubing Anchor with Mechanical Shear Release 2-1/8'' / 1 1/2”  </t>
  </si>
  <si>
    <t>SH1041</t>
  </si>
  <si>
    <t xml:space="preserve">Hydraulic Pipe Cutter 1-11/16'' / 1”  </t>
  </si>
  <si>
    <t>SH1042</t>
  </si>
  <si>
    <t xml:space="preserve">Hydraulic Pipe Cutter 2-1/8'' / 1 1/2”  </t>
  </si>
  <si>
    <t>SH1043</t>
  </si>
  <si>
    <t xml:space="preserve">Multi-Jet Wash Tool T 1-11/16'' / 1”  </t>
  </si>
  <si>
    <t>SH1044</t>
  </si>
  <si>
    <t xml:space="preserve">Multi-Jet Wash Tool T 2-1/8'' / 1 1/2”  </t>
  </si>
  <si>
    <t>SH1045</t>
  </si>
  <si>
    <t xml:space="preserve">Flow Activated Releasable Overshot Tool thru 2 1/8 </t>
  </si>
  <si>
    <t>SH1046</t>
  </si>
  <si>
    <t>Basket downhole thru 2 1/8''</t>
  </si>
  <si>
    <t>SH1047</t>
  </si>
  <si>
    <t xml:space="preserve">Flow Activated Releasable Fishing/Bulldog Spear thru 2'' / 1”  </t>
  </si>
  <si>
    <t>SFS6001</t>
  </si>
  <si>
    <t>HYDRAULIC JAR  "ALL TYPES" TOOL OD 4.750'' TOOL ID 2.000'' OR 2.250'' THREATS 3 1/2 IF BOX - PIN PRIMER DIA</t>
  </si>
  <si>
    <t>SFS6002</t>
  </si>
  <si>
    <t>HYDRAULIC JAR  "ALL TYPES" TOOL OD 4.750'' TOOL ID 2.000'' OR 2.250'' THREATS 3 1/2 IF BOX - PIN DIA ADICIONAL</t>
  </si>
  <si>
    <t>SFS6003</t>
  </si>
  <si>
    <t>HYDRAULIC JAR  "ALL TYPES" TOOL OD 4.750'' TOOL ID 2.000'' OR 2.250'' THREATS 3 1/2 IF BOX - PIN PERDIDA EN EL HOYO O DAÑO IRREPARABLE</t>
  </si>
  <si>
    <t>SFS6004</t>
  </si>
  <si>
    <t>HYDRAULIC JAR  "ALL TYPES" TOOL OD 4.750'' TOOL ID 2.000'' OR 2.250'' THREATS 3 1/2 IF BOX - PIN REDRESS CHARGE</t>
  </si>
  <si>
    <t>SFS6005</t>
  </si>
  <si>
    <t>BUMPER SUB  "ALL TYPES" TOOL OD 4.750'' TOOL ID 2.000'' OR 2.250'' THREATS 3 1/2 IF BOX - PIN PRIMER DIA</t>
  </si>
  <si>
    <t>SFS6006</t>
  </si>
  <si>
    <t>BUMPER SUB "ALL TYPES" TOOL OD 4.750'' TOOL ID 2.000'' OR 2.250'' THREATS 3 1/2 IF BOX - PIN DIA ADICIONAL</t>
  </si>
  <si>
    <t>SFS6007</t>
  </si>
  <si>
    <t>BUMPER SUB "ALL TYPES" TOOL OD 4.750'' TOOL ID 2.000'' OR 2.250'' THREATS 3 1/2 IF BOX - PIN PERDIDA EN EL HOYO O DAÑO IRREPARABLE</t>
  </si>
  <si>
    <t>SFS6008</t>
  </si>
  <si>
    <t>BUMPER SUB  "ALL TYPES" TOOL OD 4.750'' TOOL ID 2.000'' OR 2.250'' THREATS 3 1/2 IF BOX - PIN REDRESS CHARGE</t>
  </si>
  <si>
    <t>SFS6009</t>
  </si>
  <si>
    <t>ACCELERATORS JARS ALL TYPES TOOL OD 4.750'' TOOL ID 2.000'' OR 2.250'' THREATS 3 1/2 IF BOX - PIN PRIMER DIA</t>
  </si>
  <si>
    <t>SFS6010</t>
  </si>
  <si>
    <t>ACCELERATORS JARS  ALL TYPES TOOL OD 4.750'' TOOL ID 2.000'' OR 2.250'' THREATS 3 1/2 IF BOX - PIN DIA ADICIONAL</t>
  </si>
  <si>
    <t>SFS6011</t>
  </si>
  <si>
    <t>ACCELERATORS JARS ALL TYPES TOOL OD 4.750'' TOOL ID 2.000'' OR 2.250'' THREATS 3 1/2 IF BOX - PERDIDA EN EL HOYO O DAÑO IRREPARABLE</t>
  </si>
  <si>
    <t>SFS6012</t>
  </si>
  <si>
    <t>ACCELERATORS JARS ALL TYPES TOOL OD 4.750'' TOOL ID 2.000'' OR 2.250'' THREATS 3 1/2 IF BOX - PIN REDRESS CHARGE</t>
  </si>
  <si>
    <t>SFS6013</t>
  </si>
  <si>
    <t>BUMPER SUB ALL TYPES" TOOL OD 6.250'' TOOL ID 2.250'' THREATS 4 1/2 IF BOX -PIN POR DIA</t>
  </si>
  <si>
    <t>SFS6014</t>
  </si>
  <si>
    <t>BUMPER SUB  "ALL TYPES" TOOL OD 6.250'' TOOL ID 2.250'' THREATS 4 1/2 IF BOX -PIN REDRESS CHARGE</t>
  </si>
  <si>
    <t>SFS6015</t>
  </si>
  <si>
    <t>HYDRAULIC JAR  "ALL TYPES" TOOL OD 6.250'' TOOL ID 2.250'' THREATS 4 1/2 IF BOX -PIN POR DIA</t>
  </si>
  <si>
    <t>SFS6016</t>
  </si>
  <si>
    <t>HYDRAULIC JAR  "ALL TYPES" TOOL OD 6.250'' TOOL ID 2.250'' THREATS 4 1/2 IF BOX -PIN PERDIDA EN EL HOYO O DAÑO IRREPARABLE</t>
  </si>
  <si>
    <t>SFS6017</t>
  </si>
  <si>
    <t>HYDRAULIC JAR  "ALL TYPES" TOOL OD 6.250'' TOOL ID 2.250'' THREATS 4 1/2 IF BOX -PIN REDRESS CHARGE</t>
  </si>
  <si>
    <t>SFS6018</t>
  </si>
  <si>
    <t xml:space="preserve">JUNK MILLS -(FLAT CONCAVE OR CONVEX) HASTA 4 3/4" OD      </t>
  </si>
  <si>
    <t>corrida</t>
  </si>
  <si>
    <t>SFS6019</t>
  </si>
  <si>
    <t xml:space="preserve">JUNK MILLS(FLAT CONCAVE OR CONVEX) HASTA 6-1/8" OD        </t>
  </si>
  <si>
    <t>SFS6020</t>
  </si>
  <si>
    <t xml:space="preserve">JUNK MILLS(FLAT CONCAVE OR CONVEX) HASTA 8 1/2 " OD       </t>
  </si>
  <si>
    <t>SFS6030</t>
  </si>
  <si>
    <t xml:space="preserve">SHOES - ROTARY, HASTA 4 1/8" OD      </t>
  </si>
  <si>
    <t>SFS6036</t>
  </si>
  <si>
    <t>SHOES - ROTARY, HASTA 4 1/8" OD  PERDIDA EN EL HOYO O DAÑO IRREPARABLE</t>
  </si>
  <si>
    <t>SFS6037</t>
  </si>
  <si>
    <t>SHOES - ROTARY, HASTA 6-1/2" OD  PERDIDA EN EL HOYO O DAÑO IRREPARABLE</t>
  </si>
  <si>
    <t>SFS6038</t>
  </si>
  <si>
    <t>SHOES - ROTARY,  HASTA 8-1/2" OD  PERDIDA EN EL HOYO O DAÑO IRREPARABLE</t>
  </si>
  <si>
    <t>SFS6040</t>
  </si>
  <si>
    <t>BASKETS-BOOT HASTA 4-1/4" OD     POR DIA</t>
  </si>
  <si>
    <t>SFS6041</t>
  </si>
  <si>
    <t>BASKETS-BOOT HASTA 4-3/4" OD     POR DIA</t>
  </si>
  <si>
    <t>SFS6042</t>
  </si>
  <si>
    <t>BASKETS-BOOT HASTA 5-3/4" OD     POR DIA</t>
  </si>
  <si>
    <t>SFS6043</t>
  </si>
  <si>
    <t>BASKETS-BOOT HASTA 6-1/8" OD     POR DIA</t>
  </si>
  <si>
    <t>SFS6044</t>
  </si>
  <si>
    <t>BASKETS-BOOT HASTA 6-3/4" OD     POR DIA</t>
  </si>
  <si>
    <t>SFS6045</t>
  </si>
  <si>
    <t>BASKETS-BOOT HASTA 7-3/4" OD     POR DIA</t>
  </si>
  <si>
    <t>SFS6049</t>
  </si>
  <si>
    <t>BASKETS-BOOT HASTA 4-3/4" OD PERDIDA EN EL HOYO O DAÑO IRREPARABLE</t>
  </si>
  <si>
    <t>SFS6050</t>
  </si>
  <si>
    <t>BASKETS-BOOT HASTA 6-1/8" OD PERDIDA EN EL HOYO O DAÑO IRREPARABLE</t>
  </si>
  <si>
    <t>SFS6051</t>
  </si>
  <si>
    <t>BASKETS-BOOT HASTA 7-3/4" OD PERDIDA EN EL HOYO O DAÑO IRREPARABLE</t>
  </si>
  <si>
    <t>SFS6052</t>
  </si>
  <si>
    <t>SUBS - ROTARY HASTA 2-3/8" JOINT SIZE     POR DIA</t>
  </si>
  <si>
    <t>SFS6053</t>
  </si>
  <si>
    <t>SUBS - ROTARY HASTA 2-7/8" JOINT SIZE     POR DIA</t>
  </si>
  <si>
    <t>SFS6054</t>
  </si>
  <si>
    <t>SUBS - ROTARY HASTA 3-1/2" JOINT SIZE     POR DIA</t>
  </si>
  <si>
    <t>SFS6055</t>
  </si>
  <si>
    <t>SUBS - ROTARY HASTA 4-1/2" JOINT SIZE     POR DIA</t>
  </si>
  <si>
    <t>SFS6056</t>
  </si>
  <si>
    <t>SUBS - ROTARY, BIT SUB, CROSSOVER SUB HASTA CONEXIÓN 2-7/8"  POR DIA</t>
  </si>
  <si>
    <t>SFS6057</t>
  </si>
  <si>
    <t>SUBS - ROTARY, BIT SUB, CROSSOVER SUB HASTA CONEXIÓN 4 1/2"  POR DIA</t>
  </si>
  <si>
    <t>SFS6074</t>
  </si>
  <si>
    <t>BOWEN SERIES 150 HASTA 4-3/8"     POR DIA</t>
  </si>
  <si>
    <t>SFS6075</t>
  </si>
  <si>
    <t>BOWEN SERIES 150 HASTA 6-1/4"     POR DIA</t>
  </si>
  <si>
    <t>SFS6076</t>
  </si>
  <si>
    <t>BOWEN SERIES 150 HASTA 7-7/8"     POR DIA</t>
  </si>
  <si>
    <t>SFS6099</t>
  </si>
  <si>
    <t>ACCESORIOS PARA RELEASING SPEARS GRAPPLE HASTA 2 3/8¨</t>
  </si>
  <si>
    <t>SFS6100</t>
  </si>
  <si>
    <t>ACCESORIOS PARA RELEASING SPEARS GRAPPLE HASTA 2 7/8¨</t>
  </si>
  <si>
    <t>SFS6101</t>
  </si>
  <si>
    <t>ACCESORIOS PARA RELEASING SPEARS GRAPPLE HASTA 3 1/2¨</t>
  </si>
  <si>
    <t>SFS6102</t>
  </si>
  <si>
    <t>ACCESORIOS PARA RELEASING SPEARS GRAPPLE HASTA 5.0¨</t>
  </si>
  <si>
    <t>SFS6130</t>
  </si>
  <si>
    <t xml:space="preserve">BLOCKS - LEAD IMPRESSION HASTA 6" OD      </t>
  </si>
  <si>
    <t>SFS6131</t>
  </si>
  <si>
    <t xml:space="preserve">BLOCKS - LEAD IMPRESSION HASTA 8" OD      </t>
  </si>
  <si>
    <t>SFS6132</t>
  </si>
  <si>
    <t xml:space="preserve">ROLLERS CASING ROLL OUT 5-1/2" OD AND SMALLER      </t>
  </si>
  <si>
    <t>SFS6133</t>
  </si>
  <si>
    <t xml:space="preserve">ROLLERS CASING ROLL OUT 7-5/8" OD AND SMALLER      </t>
  </si>
  <si>
    <t>SFS6134</t>
  </si>
  <si>
    <t xml:space="preserve">ROLLERS CASING ROLL OUT 9-5/8" OD AND SMALLER      </t>
  </si>
  <si>
    <t>SFS6145</t>
  </si>
  <si>
    <t>INSPECCION DE CONEXIONES DE HERRAMIENTAS</t>
  </si>
  <si>
    <t>SFS6146</t>
  </si>
  <si>
    <t>Movilizacion unidades livianas para transporte de personal</t>
  </si>
  <si>
    <t>SFS6147</t>
  </si>
  <si>
    <t>Movilizacion unidades pesadas para transporte de herramientas</t>
  </si>
  <si>
    <t>SFS6151</t>
  </si>
  <si>
    <t>HYDRAULIC SUPER FISHING JAR II HASTA 4 3/4'' OD POR DIA.</t>
  </si>
  <si>
    <t>SFS6152</t>
  </si>
  <si>
    <t>HYDRAULIC SUPER FISHING JAR II HASTA 4 3/4'' OD REDRESS CHARGE, TOTAL MAINTENANCE</t>
  </si>
  <si>
    <t>SFS6154</t>
  </si>
  <si>
    <t>JAR FISHING BUMPER SUB HASTA 4 3/4'' OD POR DIA.</t>
  </si>
  <si>
    <t>SFS6155</t>
  </si>
  <si>
    <t>JAR FISHING BUMPER SUB HASTA 4 3/4'' OD REDRESS CHARGE, TOTAL MAINTENANCE</t>
  </si>
  <si>
    <t>SFS6157</t>
  </si>
  <si>
    <t>SUPER II FISHING JAR INTENSIFIER HASTA 4 3/4'' OD POR DIA.</t>
  </si>
  <si>
    <t>SFS6158</t>
  </si>
  <si>
    <t>SUPER II FISHING JAR INTENSIFIER HASTA 4 3/4'' OD  DEDRESS CHARGE.</t>
  </si>
  <si>
    <t>SFS6160</t>
  </si>
  <si>
    <t xml:space="preserve">JUNK MILLS, SUPERLOY  (FLAT CONCAVE OR CONVEX) HASTA 4 7/8" OD  </t>
  </si>
  <si>
    <t>SFS6161</t>
  </si>
  <si>
    <t xml:space="preserve">JUNK MILLS,  SUPERLOY (FLAT CONCAVE OR CONVEX) HASTA 6-1/8" OD  </t>
  </si>
  <si>
    <t>SFS6162</t>
  </si>
  <si>
    <t xml:space="preserve">JUNK MILLS ,  SUPERLOY (FLAT CONCAVE OR CONVEX) HASTA 8 1/2" OD  </t>
  </si>
  <si>
    <t>SFS6163</t>
  </si>
  <si>
    <t xml:space="preserve">JUNK MILLS, PIRANHA MILL  (FLAT CONCAVE OR CONVEX) HASTA 4 7/8" OD  </t>
  </si>
  <si>
    <t>SFS6164</t>
  </si>
  <si>
    <t xml:space="preserve">JUNK MILLS,  PIRANHA MILL (FLAT CONCAVE OR CONVEX) HASTA 6-1/8" OD  </t>
  </si>
  <si>
    <t>SFS6165</t>
  </si>
  <si>
    <t xml:space="preserve">JUNK MILLS ,  PIRANHA MILL (FLAT CONCAVE OR CONVEX) HASTA 8 1/2" OD  </t>
  </si>
  <si>
    <t>SFS6166</t>
  </si>
  <si>
    <t>JUNK MILL, SUPERLOY- PIRANHA MILL HASTA 4 7/8" OD MANTENIMIENTO</t>
  </si>
  <si>
    <t>SFS6167</t>
  </si>
  <si>
    <t>JUNK MILL, SUPERLOY- PIRANHA MILL  HASTA 6 1/8" OD MANTENIMIENTO</t>
  </si>
  <si>
    <t>SFS6168</t>
  </si>
  <si>
    <t>JUNK MILL, SUPERLOY - PIRANHA MILL  HASTA 8 1/2" OD MANTENIMIENTO</t>
  </si>
  <si>
    <t>SFS6169</t>
  </si>
  <si>
    <t xml:space="preserve">SHOES - ROTARY, SUPERLOY HASTA 4 1/8" OD  </t>
  </si>
  <si>
    <t>SFS6170</t>
  </si>
  <si>
    <t xml:space="preserve">SHOES - ROTARY, SUPERLOY HASTA 6 1/8" OD  </t>
  </si>
  <si>
    <t>SFS6171</t>
  </si>
  <si>
    <t xml:space="preserve">SHOES - ROTARY, SUPERLOY HASTA 8 1/2" OD  </t>
  </si>
  <si>
    <t>SFS6172</t>
  </si>
  <si>
    <t xml:space="preserve">SHOES - ROTARY, PIRANHA MILL HASTA 4 1/8" OD  </t>
  </si>
  <si>
    <t>SFS6173</t>
  </si>
  <si>
    <t xml:space="preserve">SHOES - ROTARY, PIRANHA MILL HASTA 6 1/8" OD  </t>
  </si>
  <si>
    <t>SFS6174</t>
  </si>
  <si>
    <t xml:space="preserve">SHOES - ROTARY, PIRANHA MILL HASTA 8 1/8" OD  </t>
  </si>
  <si>
    <t>SFS6175</t>
  </si>
  <si>
    <t>SHOES - ROTARY, SUPERLOY- PIRANHA MILL HASTA 4 1/8" OD MANTENIMIENTO</t>
  </si>
  <si>
    <t>SFS6176</t>
  </si>
  <si>
    <t>SHOES - ROTARY, SUPERLOY- PIRANHA MILL HASTA 6 1/8" OD MANTENIMIENTO</t>
  </si>
  <si>
    <t>SFS6177</t>
  </si>
  <si>
    <t>SHOES - ROTARY, SUPERLOY- PIRANHA MILL HASTA 8 1/8" OD MANTENIMIENTO</t>
  </si>
  <si>
    <t>SFS6178</t>
  </si>
  <si>
    <t xml:space="preserve">ALTERED TO INCLUDE JUNK CATCHER (WIRELINE CABLES, ETC.) Hasta 6 1/2" O.D.,  </t>
  </si>
  <si>
    <t>SFS6179</t>
  </si>
  <si>
    <t xml:space="preserve">ALTERED TO INCLUDE JUNK CATCHER (WIRELINE CABLES, ETC.) Hasta 8 1/2" O.D.,  </t>
  </si>
  <si>
    <t>SFS6180</t>
  </si>
  <si>
    <t>BASKETS-BOOT HASTA 5-3/4" OD DIA ADICIONAL</t>
  </si>
  <si>
    <t>SFS6181</t>
  </si>
  <si>
    <t>WASHPIPE CONNECTION TYPE FJWP HASTA 5" CONNECTION RANGO 20-36 FT POR DIA</t>
  </si>
  <si>
    <t>SFS6182</t>
  </si>
  <si>
    <t>WASHPIPE CONNECTION TYPE FJWP 5-3/4" CONNECTION RANGO 20-36 FT POR DIA</t>
  </si>
  <si>
    <t>SFS6183</t>
  </si>
  <si>
    <t>WASHPIPE CONNECTION TYPE FJWP 8-1/8" CONNECTION RANGO 20-36 FT POR DIA</t>
  </si>
  <si>
    <t>SFS6186</t>
  </si>
  <si>
    <t>WASHPIPE EXTENSION  HASTA 5 3/4", RANGO 5-19 FT  POR DIA</t>
  </si>
  <si>
    <t>SFS6187</t>
  </si>
  <si>
    <t>WASHPIPE EXTENSION HASTA 8-1/8", RANGO 5-19 FT POR DIA</t>
  </si>
  <si>
    <t>SFS6190</t>
  </si>
  <si>
    <t>DRIVE BUSHINGS - TRIPLE CONNECTION WASHPIPE HASTA 5-3/4" OD POR DIA</t>
  </si>
  <si>
    <t>SFS6191</t>
  </si>
  <si>
    <t>DRIVE BUSHINGS - TRIPLE CONNECTION WASHPIPE HASTA 8-1/8" OD POR DIA</t>
  </si>
  <si>
    <t>SFS6194</t>
  </si>
  <si>
    <t xml:space="preserve">HOLLOW MILL GUIDE Hasta 5-3/4" Body OD  </t>
  </si>
  <si>
    <t>SFS6195</t>
  </si>
  <si>
    <t xml:space="preserve">HOLLOW MIL GUIDE  Hasta 8-1/2" Body OD  </t>
  </si>
  <si>
    <t>SFS6196</t>
  </si>
  <si>
    <t>WASHPIPE LIFT PLUG, Todos los díametros POR DIA</t>
  </si>
  <si>
    <t>SFS6197</t>
  </si>
  <si>
    <t>CASING (200 Ton) 5" Hasta 8" Spider y Slips POR DIA</t>
  </si>
  <si>
    <t>SFS6198</t>
  </si>
  <si>
    <t>OVERSHOTS, BOWEN SERIES 150 FS/SH HASTA 8 7/8" OD  POR DIA</t>
  </si>
  <si>
    <t>SFS6199</t>
  </si>
  <si>
    <t>OVERSHOTS, BOWEN EXTENSION LOWER HOLLOW  MILL CONTAINER HASTA 5 3/4" OD  POR DIA</t>
  </si>
  <si>
    <t>SFS6200</t>
  </si>
  <si>
    <t>OVERSHOTS, BOWEN EXTENSION LOWER HOLLOW  MILL CONTAINER HASTA 9 1/4" OD, (OVERSHOT, CROSSOVER, CONECTOR A ZAPATA, )  POR DIA</t>
  </si>
  <si>
    <t>SFS6201</t>
  </si>
  <si>
    <t>OVERSHOTS, BOWEN EXTENSION UPPER SERIES 150 HASTA 5 3/4" OD  POR DIA</t>
  </si>
  <si>
    <t>SFS6202</t>
  </si>
  <si>
    <t>OVERSHOTS, BOWEN EXTENSION UPPER SERIES 150 HASTA 9 1/4" OD  POR DIA</t>
  </si>
  <si>
    <t>SFS6203</t>
  </si>
  <si>
    <t>OVERSHOTS, BOWEN GUIDE  OVERSIZE  SERIES 150 HASTA 7" OD  POR DIA</t>
  </si>
  <si>
    <t>SFS6204</t>
  </si>
  <si>
    <t>OVERSHOTS, BOWEN GUIDE  OVERSIZE  SERIES 150 HASTA 9" OD  POR DIA</t>
  </si>
  <si>
    <t>SFS6205</t>
  </si>
  <si>
    <t>OVERSHOTS, BOWEN SERIES 70 SHORT CATCH HASTA 6-1/4" OD POR DIA</t>
  </si>
  <si>
    <t>SFS6206</t>
  </si>
  <si>
    <t>OVERSHOTS, BOWEN SERIES 70 SHORT CATCH HASTA 8 7/8" OD POR DIA</t>
  </si>
  <si>
    <t>SFS6214</t>
  </si>
  <si>
    <t>OVERSHOTS, KELO OVERSOCKET HASTA 5-3/4" OD POR DIA</t>
  </si>
  <si>
    <t>SFS6215</t>
  </si>
  <si>
    <t>OVERSHOTS, KELO OVERSOCKET OVERSIZE GUIDE 8 1/8" OD POR DIA</t>
  </si>
  <si>
    <t>SFS6216</t>
  </si>
  <si>
    <t>DRILLING SAFETY JOINT HASTA 7'' OD POR DIA</t>
  </si>
  <si>
    <t>SFS6218</t>
  </si>
  <si>
    <t>ACCESORIOS PARA OVERSHOTS, BASKET O SPIRAL GRAPPLE HASTA 5 1/8''</t>
  </si>
  <si>
    <t>SFS6219</t>
  </si>
  <si>
    <t>ACCESORIOS PARA OVERSHOTS, BASKET O SPIRAL GRAPPLE HASTA 7''</t>
  </si>
  <si>
    <t>SFS6220</t>
  </si>
  <si>
    <t>ACCESORIOS PARA OVERSHOTS, MILL CONTROL O ESTANDAR CONTROL HASTA 4''</t>
  </si>
  <si>
    <t>SFS6221</t>
  </si>
  <si>
    <t>ACCESORIOS PARA OVERSHOTS, MILL CONTROL O ESTANDAR CONTROL HASTA 7''</t>
  </si>
  <si>
    <t>SFS6222</t>
  </si>
  <si>
    <t>ACCESORIOS PARA RELEASING SPEARS GRAPPLE HASTA 7¨</t>
  </si>
  <si>
    <t>SFS6223</t>
  </si>
  <si>
    <t>SPEAR RELEASING ASSEMBLY 1227 TO CATCH HASTA 3 1/2'' POR DIA</t>
  </si>
  <si>
    <t>SFS6224</t>
  </si>
  <si>
    <t>SPEAR RELEASING ASSEMBLY 9410 TO CATCH HASTA 4'' POR DIA</t>
  </si>
  <si>
    <t>SFS6225</t>
  </si>
  <si>
    <t>SPEAR RELEASING ASSEMBLY 9485, 9680 TO CATCH HASTA 5 1/2'' POR DIA</t>
  </si>
  <si>
    <t>SFS6226</t>
  </si>
  <si>
    <t>SPEAR RELEASING ASSEMBLY 9266 TO CATCH HASTA 7'' POR DIA</t>
  </si>
  <si>
    <t>SFS6227</t>
  </si>
  <si>
    <t>STOP SUB,  RELEASING TO CATCH HASTA 2 3/8''  CONNECTION POR DIA</t>
  </si>
  <si>
    <t>SFS6228</t>
  </si>
  <si>
    <t>STOP SUB,  RELEASING TO CATCH HASTA 2 7/8'' CONNECTION POR DIA</t>
  </si>
  <si>
    <t>SFS6229</t>
  </si>
  <si>
    <t>STOP SUB,  RELEASING TO CATCH HASTA 3 1/2'' CONNECTION POR DIA</t>
  </si>
  <si>
    <t>SFS6230</t>
  </si>
  <si>
    <t>STOP SUB,  RELEASING TO CATCH HASTA 4 1/2'' CONNECTION POR DIA</t>
  </si>
  <si>
    <t>SFS6231</t>
  </si>
  <si>
    <t>STOP SUB,  RELEASING TO CATCH HASTA 5 1/2'' CONNECTION POR DIA</t>
  </si>
  <si>
    <t>SFS6232</t>
  </si>
  <si>
    <t>CASING SWAGE ROL OUT HASTA 7 5/8'' OD PRIMER DIA</t>
  </si>
  <si>
    <t>SFS6233</t>
  </si>
  <si>
    <t>CASING SWAGE ROL OUT HASTA 7 5/8'' OD DIA ADICIONAL</t>
  </si>
  <si>
    <t>SFS6234</t>
  </si>
  <si>
    <t>CASING SWAGE ROL OUT HASTA 9 5/8'' OD PRIMER DIA</t>
  </si>
  <si>
    <t>SFS6235</t>
  </si>
  <si>
    <t>CASING SWAGE ROL OUT HASTA 9 5/8'' OD DIA ADICIONAL</t>
  </si>
  <si>
    <t>SFS6236</t>
  </si>
  <si>
    <t>TAPS BOX, TAPER, HOLLOW PIN, DIE COLLAR y PIN Hasta 2" O.D. POR DIA</t>
  </si>
  <si>
    <t>SFS6237</t>
  </si>
  <si>
    <t>TAPS BOX, TAPER, HOLLOW PIN, DIE COLLAR y PIN Hasta 3 1/2" O.D. POR DIA</t>
  </si>
  <si>
    <t>SFS6238</t>
  </si>
  <si>
    <t>TAPS BOX, TAPER, HOLLOW PIN, DIE COLLAR y PIN Hasta 5 3/4'' O.D. POR DIA</t>
  </si>
  <si>
    <t>SFS6239</t>
  </si>
  <si>
    <t>TAPS BOX, TAPER, HOLLOW PIN, DIE COLLAR y PIN Hasta 8" O.D. POR DIA</t>
  </si>
  <si>
    <t>SFS6240</t>
  </si>
  <si>
    <t xml:space="preserve">TAPS, BOX SEGMENTED 6'' OD CATCH RANGE 1 5/8''- 5 1/2''  </t>
  </si>
  <si>
    <t>SFS6241</t>
  </si>
  <si>
    <t xml:space="preserve">TAPS, BOX CONVENTIONAL  8'' OD CATCH RANGE 5 1/8''- 7''  </t>
  </si>
  <si>
    <t>SFS6243</t>
  </si>
  <si>
    <t xml:space="preserve">VENTURI JET JUNK BASKET VJJB 5 1/2'' OD 7''- 9 5/8 CASING  </t>
  </si>
  <si>
    <t>SFS6244</t>
  </si>
  <si>
    <t xml:space="preserve">FINGER GAGES FISHING  MAX CATCH 3,7''  </t>
  </si>
  <si>
    <t>SFS6245</t>
  </si>
  <si>
    <t xml:space="preserve">JUNK CATCHER FISHING MAX CATCH 4 3/4''  </t>
  </si>
  <si>
    <t>SFS6246</t>
  </si>
  <si>
    <t xml:space="preserve">JUNK EXTENSION HASTA 5 3/4'' OD  </t>
  </si>
  <si>
    <t>SFS6248</t>
  </si>
  <si>
    <t>MAGNETS DITCH (MAGNETO DE ZARANDA) POR DIA</t>
  </si>
  <si>
    <t>SFS6249</t>
  </si>
  <si>
    <t xml:space="preserve">LINER TOP DRESS MILL HASTA 8 1/2'' OD  </t>
  </si>
  <si>
    <t>SFS6250</t>
  </si>
  <si>
    <t>BITS TRICONIC HASTA 6 1/8'' OD PRIMER DIA</t>
  </si>
  <si>
    <t>SFS6251</t>
  </si>
  <si>
    <t>BITS TRICONIC HASTA 6 1/8'' OD DIA ADICIONAL</t>
  </si>
  <si>
    <t>SFS6252</t>
  </si>
  <si>
    <t>BITS TRICONIC HASTA 8 1/2'' OD PRIMER DIA</t>
  </si>
  <si>
    <t>SFS6253</t>
  </si>
  <si>
    <t>BITS TRICONIC HASTA 8 1/2'' OD DIA ADICIONAL</t>
  </si>
  <si>
    <t>SFS6254</t>
  </si>
  <si>
    <t xml:space="preserve">STRING MILL, WATERMELON, TAPER, WINDOW, PACKER, PILOT, PIRANHA HASTA 6-1/8" OD  </t>
  </si>
  <si>
    <t>SFS6255</t>
  </si>
  <si>
    <t xml:space="preserve">STRING MILL, WATERMELON, TAPER, WINDOW, PACKER, PILOT, PIRANHA HASTA  8 1/2" OD  </t>
  </si>
  <si>
    <t>SFS6256</t>
  </si>
  <si>
    <t>STRING MILL y WATERMELON MILL HASTA 5" OD  MANTENIMIENTO</t>
  </si>
  <si>
    <t>SFS6257</t>
  </si>
  <si>
    <t>STRING MILL y WATERMELON MILL HASTA 5" OD  PERDIDA EN EL HOYO O DAÑO IRREPARABLE</t>
  </si>
  <si>
    <t>SFS6258</t>
  </si>
  <si>
    <t>STRING MILL y WATERMELON MILL  HASTA 6 1/4" OD MANTENIMIENTO</t>
  </si>
  <si>
    <t>SFS6259</t>
  </si>
  <si>
    <t>STRING MILL y WATERMELON MILL HASTA 6 1/4" OD  PERDIDA EN EL HOYO O DAÑO IRREPARABLE</t>
  </si>
  <si>
    <t>SFS6260</t>
  </si>
  <si>
    <t>STRING MILL y WATERMELON MILL  HASTA 8 1/2" OD MANTENIMIENTO</t>
  </si>
  <si>
    <t>SFS6261</t>
  </si>
  <si>
    <t>STRING MILL y WATERMELON MILL  HASTA 8 1/2" OD PERDIDA EN EL HOYO O DAÑO IRREPARABLE</t>
  </si>
  <si>
    <t>SFS6262</t>
  </si>
  <si>
    <t>MILLS SUPERLOY STRING AND WATERMELON HASTA 4" OD     DIA ADICIONAL</t>
  </si>
  <si>
    <t>SFS6263</t>
  </si>
  <si>
    <t>MILLS SUPERLOY STRING AND WATERMELON HASTA 6" OD     DIA ADICIONAL</t>
  </si>
  <si>
    <t>SFS6264</t>
  </si>
  <si>
    <t>MILLS SUPERLOY STRING AND WATERMELON HASTA 8-1/2" OD     DIA ADICIONAL</t>
  </si>
  <si>
    <t>SFS6265</t>
  </si>
  <si>
    <t>ESPECIALISTA DE PESCA día O FRACCION</t>
  </si>
  <si>
    <t>SFS6266</t>
  </si>
  <si>
    <t>MAGNET FISHING Hasta 6 1/2" OD POR DIA</t>
  </si>
  <si>
    <t>SFS6267</t>
  </si>
  <si>
    <t>SUBS, CUT LIP/SCREW IN THRU 3 1/2 JOINT SIZE POR DIA</t>
  </si>
  <si>
    <t>SFS6268</t>
  </si>
  <si>
    <t>SUBS, CUT LIP/SCREW IN THRU 4 1/2 JOINT SIZE POR DIA</t>
  </si>
  <si>
    <t>SFS6269</t>
  </si>
  <si>
    <t>SUBS, DRAIN THRU 3 1/2'' JOINT SIZE POR DIA</t>
  </si>
  <si>
    <t>SFS6270</t>
  </si>
  <si>
    <t>SUBS, DRAIN THRU 4 1/2'' JOINT SIZE POR DIA</t>
  </si>
  <si>
    <t>SFS6271</t>
  </si>
  <si>
    <t>SPEAR ROPE, CENTER PRONG, LATCH JACK, CRANK SHAFT PARA CASING 7'' POR DIA</t>
  </si>
  <si>
    <t>SFS6272</t>
  </si>
  <si>
    <t>SPEAR ROPE, CENTER PRONG, LATCH JACK, CRANK SHAFT PARA CASING 9 5/8'' POR DIA</t>
  </si>
  <si>
    <t>SFS6274</t>
  </si>
  <si>
    <t>GS FLOW RELEASE PULLING TOOL 2.875 OD  F/ 7" MAXR ANCHOR RELEASE SLEEVE ASSEMBLY W/ 2-3/8" PAC BOX THREAD PRIMER DIA</t>
  </si>
  <si>
    <t>SFS6275</t>
  </si>
  <si>
    <t>GS FLOW RELEASE PULLING TOOL 2.875 OD  F/ 7" MAXR ANCHOR RELEASE SLEEVE ASSEMBLY W/ 2-3/8" PAC BOX THREAD DIA ADICIONAL</t>
  </si>
  <si>
    <t>SFS6277</t>
  </si>
  <si>
    <t xml:space="preserve">Whipstock Systems ONE-TRIP Casing 9 5/8'' 43.5 -53.5 lb/ft / Bottom trip Anchor ( Mechanical Set Systems) Casing 9 5/8'' 43.5 -53.5 lb/ft </t>
  </si>
  <si>
    <t>SFS6278</t>
  </si>
  <si>
    <t xml:space="preserve">8 1/2'' OD Mill Assembly ( Window Mill , Lower Watermellon , Flex Joint, Upper Watermellon)  </t>
  </si>
  <si>
    <t>SFS6279</t>
  </si>
  <si>
    <t xml:space="preserve">Whipstock Systems ONE-TRIP Casing 7'' 26 - 29 lb/ft /Bottom trip Anchor ( Mechanical Set Systems) Casing 7'' 26 - 29 lb/ft </t>
  </si>
  <si>
    <t>SFS6280</t>
  </si>
  <si>
    <t xml:space="preserve">6 1/8'' OD Mill Assembly ( Window Mill , Lower Watermellon , Flex Joint, Upper Watermellon)  </t>
  </si>
  <si>
    <t>SFS6281</t>
  </si>
  <si>
    <t>Whipstock / Casing Exit Especialista día / fraccion</t>
  </si>
  <si>
    <t>SFS6282</t>
  </si>
  <si>
    <t>BREAK OUT MACHINE APRIETE / DESENROSQUE TODAS LAS CONEXIONES POR HORA</t>
  </si>
  <si>
    <t>SFS6283</t>
  </si>
  <si>
    <t xml:space="preserve">WELLBORE-CLEAN UP TOOLS-MAGNET TOOLS CASING 7  </t>
  </si>
  <si>
    <t>SFS6284</t>
  </si>
  <si>
    <t xml:space="preserve">WELLBORE-CLEAN UP TOOLS-MAGNET TOOLS CASING 9 5/8  </t>
  </si>
  <si>
    <t>SFS6285</t>
  </si>
  <si>
    <t>HIGH PRESSURE TEST UNIT POR HORA / FRACCION</t>
  </si>
  <si>
    <t>SSFS6288</t>
  </si>
  <si>
    <t>DYNA  EXTERNAL CUT HASTA 5 7/8''  OD WITH REGULAR CUTTER SIZE PIPE TO CUT ( 2 3/8'' THRU 3 1/2'') CARGO POR CORRIDA</t>
  </si>
  <si>
    <t>SSFS6290</t>
  </si>
  <si>
    <t>TUBING BAILER COMPLETE ASSEMBLY. SIZE 3 ¾" HASTA 5-3/4" CARGO PRIMERA CORRIDA</t>
  </si>
  <si>
    <t>SSFS6291</t>
  </si>
  <si>
    <t>TUBING BAILER COMPLETE ASSEMBLY. SIZE 3 ¾" HASTA 5 ¾" CARGO CORRIDA ADICIONAL</t>
  </si>
  <si>
    <t>SH2039</t>
  </si>
  <si>
    <t>MOTOR DE FONDO: 1 11/16" O.D. (incluye 3 días de operación, hole assemble, soporte tecnico, back up de motor de 1 11/16")</t>
  </si>
  <si>
    <t>SH2040</t>
  </si>
  <si>
    <t>MOTOR DE FONDO:2-1/8" O.D.  (incluye 3 días de operación, hole assemble, soporte tecnico, back up de motor de 2 1/8")</t>
  </si>
  <si>
    <t>SH2041</t>
  </si>
  <si>
    <t>FILTRO DE LINEA</t>
  </si>
  <si>
    <t>SH2042</t>
  </si>
  <si>
    <t>MECHAS JUNK MILL 1-3/4" a 2-1/8"</t>
  </si>
  <si>
    <t>SH2043</t>
  </si>
  <si>
    <t>MECHAS JUNK MILL 2-1/4" a 3"</t>
  </si>
  <si>
    <t>SH2044</t>
  </si>
  <si>
    <t>MECHAS BLADE, TAPERED, FLAT, CONCAVE, RO</t>
  </si>
  <si>
    <t>SH2045</t>
  </si>
  <si>
    <t>PESCANTE GS SPEAR HIDRÁULICO</t>
  </si>
  <si>
    <t>SH2046</t>
  </si>
  <si>
    <t>PESCANTE JDC HIDRÁULICO</t>
  </si>
  <si>
    <t>SH2047</t>
  </si>
  <si>
    <t>PESCANTE OVER SHOT HIDRÁULICO</t>
  </si>
  <si>
    <t>SH2048</t>
  </si>
  <si>
    <t>PESCANTE OVER SHOT CONTINUO MECÁNICO</t>
  </si>
  <si>
    <t>SH2049</t>
  </si>
  <si>
    <t>PESCANTE DE GUAYA TIPO CAIMA MECÁNICO</t>
  </si>
  <si>
    <t>SH2050</t>
  </si>
  <si>
    <t>PESCANTE DE GUAYA TIPO ALPON MECÁNICO</t>
  </si>
  <si>
    <t>SH2051</t>
  </si>
  <si>
    <t>MARTILLO MECÁNICO/HIDRAULICO 1-11/16" - 2-7/8"</t>
  </si>
  <si>
    <t>SH2052</t>
  </si>
  <si>
    <t>ACELERADOR HIDRÁULICO/MECANICO 1-11/16" - 2-7/8"</t>
  </si>
  <si>
    <t>SH2053</t>
  </si>
  <si>
    <t>INDEXING TOOL HIDRÁULICO/MECANICO</t>
  </si>
  <si>
    <t>SH2054</t>
  </si>
  <si>
    <t>BENT SUB</t>
  </si>
  <si>
    <t>SH2055</t>
  </si>
  <si>
    <t>BLOQUE DE IMPRESIÓN 1 1/16 HASTA 2 7/8''</t>
  </si>
  <si>
    <t>SH2056</t>
  </si>
  <si>
    <t>HERRAMIENTA DE ASENTAMIENTO (Setting Tool)</t>
  </si>
  <si>
    <t>SH2057</t>
  </si>
  <si>
    <t>VENTURY BASKET</t>
  </si>
  <si>
    <t>SH2058</t>
  </si>
  <si>
    <t>JET ROTATORIO</t>
  </si>
  <si>
    <t>SH2059</t>
  </si>
  <si>
    <t>WASH TOOL (High Flow Spinning Tool)</t>
  </si>
  <si>
    <t>SH2060</t>
  </si>
  <si>
    <t>ESTABILIZADOR</t>
  </si>
  <si>
    <t>SH2061</t>
  </si>
  <si>
    <t>CORTADOR DE TUBERIA TBG 2 7/8- 3 1/2</t>
  </si>
  <si>
    <t>SH2062</t>
  </si>
  <si>
    <t>PERCUTOR HIDRAULICO</t>
  </si>
  <si>
    <t>SH2063</t>
  </si>
  <si>
    <t>LOCALIZADOR</t>
  </si>
  <si>
    <t>SH2064</t>
  </si>
  <si>
    <t>SWIVEL</t>
  </si>
  <si>
    <t>SH2065</t>
  </si>
  <si>
    <t>LOCKABLE SWIDEL</t>
  </si>
  <si>
    <t>SH2066</t>
  </si>
  <si>
    <t>MUÑECO</t>
  </si>
  <si>
    <t>SH2067</t>
  </si>
  <si>
    <t>BARRA (DEPLOYMENT BAR)</t>
  </si>
  <si>
    <t>SH2068</t>
  </si>
  <si>
    <t>ZAPATA</t>
  </si>
  <si>
    <t>SH2069</t>
  </si>
  <si>
    <t>EXTENSIONES PARA PESCANTES OVER SHOTS</t>
  </si>
  <si>
    <t>SH2070</t>
  </si>
  <si>
    <t>GUIAS PARA PESCANTES OVER SHOTS</t>
  </si>
  <si>
    <t>SH2071</t>
  </si>
  <si>
    <t>CESTA RECOLECTORA</t>
  </si>
  <si>
    <t>SH2074</t>
  </si>
  <si>
    <t>MAGNETOS Fishing Magnet - Thru 2-1/2"</t>
  </si>
  <si>
    <t>SH2075</t>
  </si>
  <si>
    <t>CENTRALIZADORES</t>
  </si>
  <si>
    <t>SH2076</t>
  </si>
  <si>
    <t>ANCLA HIDRAULICA</t>
  </si>
  <si>
    <t>SH2077</t>
  </si>
  <si>
    <t>CROOS-OVER SUBS</t>
  </si>
  <si>
    <t>SH2078</t>
  </si>
  <si>
    <t>SARTA DE TAPON RECUPERABLE INFLABLE</t>
  </si>
  <si>
    <t>SH2079</t>
  </si>
  <si>
    <t>SARTA DE PESCA DE TAPON RECUPERABLE INFLABLE 1 11/16</t>
  </si>
  <si>
    <t>SH2080</t>
  </si>
  <si>
    <t>SARTA DE EMPACADURA INFLABLE: 1-11/16",</t>
  </si>
  <si>
    <t>SH2081</t>
  </si>
  <si>
    <t>CARGO POR DIA ADICIONAL DE SARTA DE EMPAQUETADURA</t>
  </si>
  <si>
    <t>SH2082</t>
  </si>
  <si>
    <t>TAPONES RECUPERABLES MECÁNICOS.</t>
  </si>
  <si>
    <t>SH2083</t>
  </si>
  <si>
    <t>SARTA DE TAPON RECUPERABLE MECÁNICO 2 1/8</t>
  </si>
  <si>
    <t>SH2084</t>
  </si>
  <si>
    <t>TAPONES RECUPERABLES MECÁNICOS 1 11/16 - 2 7/8</t>
  </si>
  <si>
    <t>SH2085</t>
  </si>
  <si>
    <t>SARTA DE PESCA DE TAPON RECUPERABLE MECÁNICO 2 1/8 - 2 7/8</t>
  </si>
  <si>
    <t>SH2086</t>
  </si>
  <si>
    <t>EMPAQUETADURA MECANICA DE 2 9/16"</t>
  </si>
  <si>
    <t>SH2087</t>
  </si>
  <si>
    <t>SARTA DE EMPAQUETADURA MECANICA DE 2 9/16" OD</t>
  </si>
  <si>
    <t>SH2088</t>
  </si>
  <si>
    <t>MARTILLOS HIDRAULICOS DE 1-1/2" - 2 7/8" OD</t>
  </si>
  <si>
    <t>SH2089</t>
  </si>
  <si>
    <t>díaS ADICIONALES DE MARTILLO  HIDRAULICO DE 1-1/2" - 2 7/8"</t>
  </si>
  <si>
    <t>SH2090</t>
  </si>
  <si>
    <t>TAPER MILL 1 1/2'' HASTA 4''</t>
  </si>
  <si>
    <t>SH2091</t>
  </si>
  <si>
    <t>STRING MILL 1 1/2 HASTA 4''</t>
  </si>
  <si>
    <t>SH3041</t>
  </si>
  <si>
    <t xml:space="preserve">MOTOR DE FONDO: HASTA 2 7/8" O.D. (incluye 3 días de operación, hole assemble, soporte tecnico)  </t>
  </si>
  <si>
    <t>SH3042</t>
  </si>
  <si>
    <t xml:space="preserve">MOTOR DE FONDO: HASTA 3 7/8" O.D. (incluye 3 días de operación, hole assemble, soporte tecnico)  </t>
  </si>
  <si>
    <t>SH3043</t>
  </si>
  <si>
    <t xml:space="preserve">MOTOR DE FONDO: HASTA 4 3/4" O.D. (incluye 3 días de operación, hole assemble, soporte tecnico)  </t>
  </si>
  <si>
    <t>SMT3023</t>
  </si>
  <si>
    <t>THERMAL SPRY APPLICATIONS EACH 0.1" THICKNESS / UNTIL LENGTH 1.0" FOR MAINTENANCE</t>
  </si>
  <si>
    <t>SMT3024</t>
  </si>
  <si>
    <t>THERMAL SPRY APPLICATIONS EACH 0.1" THICKNESS / UNTIL LENGTH 1.0" FOR REBUILDING</t>
  </si>
  <si>
    <t>SMT3025</t>
  </si>
  <si>
    <t>THERMAL SPRY APPLICATIONS EACH 0.1" THICKNESS / UNTIL LENGTH 1.0" FOR COVERING</t>
  </si>
  <si>
    <t>SMT3001</t>
  </si>
  <si>
    <t>THERMAL SPRY CENTRALIZER UNTIL 1/4" THICKNESS-FOR TUBULAR FROM 2 7/8 TO 5.0"-LENGHT 18 INCH PER BLADE</t>
  </si>
  <si>
    <t>SMT3004</t>
  </si>
  <si>
    <t>THERMAL SPRY CENTRALIZER UNTIL 1/2" THICKNESS-FOR TUBULAR FROM 2 7/8 TO 5.0" -LENGHT 18 INCH PER BLADE</t>
  </si>
  <si>
    <t>SMT3007</t>
  </si>
  <si>
    <t>THERMAL SPRY CENTRALIZER UNTIL 3/4" THICKNESS-FOR TUBULAR FROM 2 7/8 TO 5.0" -LENGHT 18 INCH PER BLADE</t>
  </si>
  <si>
    <t>SMT3010</t>
  </si>
  <si>
    <t>THERMAL SPRYFRICTION REDUCTOR UNTIL 1/16" THICKNESS-FOR PIPE-FROM 2 7/8 TO 3 1/2"-STANDARD LENGHT 8 INCH-PER BAND</t>
  </si>
  <si>
    <t>SMT3011</t>
  </si>
  <si>
    <t>THERMAL SPRYFRICTION REDUCTOR UNTIL 1/16" THICKNESS-FOR  PIPE-FROM 4.0 TO 4 1/2"-STANDARD LENGHT 8 INCH- PER BAND</t>
  </si>
  <si>
    <t>SMT3012</t>
  </si>
  <si>
    <t>THERMAL SPRYFRICTION REDUCTOR UNTIL 1/16" THICKNESS-FOR PIPE-FROM 5.0 TO 5 1/2"-STANDARD LENGHT 8 INCH-PER BAND</t>
  </si>
  <si>
    <t>SMT3014</t>
  </si>
  <si>
    <t>THERMAL SPRYFRICTION REDUCTOR UNTIL 1/8" THICKNESS-FOR PIPE-FROM 2 7/8 TO 3 1/2"-STANDARD LENGHT 8 INCH-PER BAND</t>
  </si>
  <si>
    <t>SMT3015</t>
  </si>
  <si>
    <t>THERMAL SPRYFRICTION REDUCTOR UNTIL 1/8" THICKNESS-FOR PIPE-FROM 4.0 TO 4 1/2"-STANDARD LENGHT 8 INCH-PER BAND</t>
  </si>
  <si>
    <t>SMT3016</t>
  </si>
  <si>
    <t>THERMAL SPRYFRICTION REDUCTOR UNTIL 1/8" THICKNESS-FOR PIPE-FROM 5.0 TO 5 1/2"-STANDARD LENGHT 8 INCH-PER BAND</t>
  </si>
  <si>
    <t>SMT3018</t>
  </si>
  <si>
    <t>THERMAL SPRYFRICTION REDUCTOR UNTIL 3/16" THICKNESS-FOR PIPE-FROM 2 7/8 TO 3 1/2"-STANDARD LENGHT 8 INCH-PER BAND</t>
  </si>
  <si>
    <t>SMT3019</t>
  </si>
  <si>
    <t>THERMAL SPRYFRICTION REDUCTOR UNTIL 3/16" THICKNESS-FOR PIPE-FROM 4.0 TO 4 1/2"-STANDARD LENGHT 8 INCH-PER BAND</t>
  </si>
  <si>
    <t>SMT3020</t>
  </si>
  <si>
    <t>THERMAL SPRYFRICTION REDUCTOR UNTIL 3/16" THICKNESS-FOR PIPE-FROM 5.0 TO 5 1/2"-STANDARD LENGHT 8 INCH-PER BAND</t>
  </si>
  <si>
    <t>SMT3022</t>
  </si>
  <si>
    <t>THERMAL SPRYFRICTION REDUCTOR UNTIL 1/4" THICKNESS-FOR PIPE-FROM 2 7/8 TO 3 1/2"-STANDARD LENGHT 8 INCH-PER BAND</t>
  </si>
  <si>
    <t>SFS6286</t>
  </si>
  <si>
    <t>ZAPATA TIPO POOR BOY HASTA 6 1/8</t>
  </si>
  <si>
    <t>SFS6287</t>
  </si>
  <si>
    <t>ZAPATA TIPO POOR BOY HASTA 8 1/2</t>
  </si>
  <si>
    <t>SFS6293</t>
  </si>
  <si>
    <t>Tubing Bailer Assembly (incluye flapper) - hasta 5-3/4" OD -  Cargo por Corrida</t>
  </si>
  <si>
    <t>2.2.11. Servicios de Reacondicionamiento</t>
  </si>
  <si>
    <t>SCR5001</t>
  </si>
  <si>
    <t>SUPERVISOR PARA COMPLETACIONES, REMEDIACION dia o fraccion</t>
  </si>
  <si>
    <t>SCR5002</t>
  </si>
  <si>
    <t>SCR5003</t>
  </si>
  <si>
    <t>SCR5004</t>
  </si>
  <si>
    <t xml:space="preserve">MODEL "DYNBKR"  MECHANICAL SETTING TOOL PARA COMPLETACION. TODOS LOS DIAMETROS  </t>
  </si>
  <si>
    <t>SCR5005</t>
  </si>
  <si>
    <t xml:space="preserve">MODEL "DYNBKR" STINGER CARGO  </t>
  </si>
  <si>
    <t>SCR5006</t>
  </si>
  <si>
    <t xml:space="preserve">MODEL "FURY 20" HYDRAULIC SETTING TOOL FOR PACKERS, CR, CIBP, ETC. TODOS LOS DIAMETROS  </t>
  </si>
  <si>
    <t>SCR5007</t>
  </si>
  <si>
    <t xml:space="preserve">ACT WIRELINE ADAPTER KIT FOR WIRELINE SET TOOLS. TODOS LOS DIAMETROS  </t>
  </si>
  <si>
    <t>SCR5008</t>
  </si>
  <si>
    <t>MODEL TST-1 O R MECHANICAL SET PACKER 9 5/8" x 3 1/2'' EUE Box-Pin CASING 9 5/8'' WEIGHT 43.5-53.5 lbs/FT CARGO   HASTA ASENTAMIENTO</t>
  </si>
  <si>
    <t>SCR5009</t>
  </si>
  <si>
    <t>MODEL TST-1 O R MECHANICAL SET PACKER 9 5/8" x 3 1/2'' EUE Box-Pin CASING 9 5/8'' WEIGHT 43.5-53.5 lbs/FT CARGO POR HORA DESPUES DE ASENTAMIENTO</t>
  </si>
  <si>
    <t>SCR5010</t>
  </si>
  <si>
    <t>MODEL TST-1 O R MECHANICAL SET PACKER 7" x 3 1/2'' O 2 7/8'' EUE Box-Pin CASING 7'' WEIGHT 26-32lbs/FT CARGO   HASTA ASENTAMIENTO</t>
  </si>
  <si>
    <t>SCR5011</t>
  </si>
  <si>
    <t>MODEL TST-1 O R MECHANICAL SET PACKER 7" x 3 1/2'' O 2 7/8''  EUE Box-Pin CASING 7'' WEIGHT 26-32lbs/FT CARGO POR HORA DESPUES DE ASENTAMIENTO</t>
  </si>
  <si>
    <t>SCR5012</t>
  </si>
  <si>
    <t>MODEL TST-1 O R MECHANICAL SET PACKER 5" x 2 3/8'' EUE Box-Pin CASING 5'' WEIGHT 18-21 lbs/FT CARGO   HASTA ASENTAMIENTO</t>
  </si>
  <si>
    <t>SCR5013</t>
  </si>
  <si>
    <t>MODEL TST-1 O R MECHANICAL SET PACKER 5" x 2 3/8'' EUE Box-Pin CASING 5'' WEIGHT 18-21 lbs/FT CARGO POR HORA DESPUES DE ASENTAMIENTO</t>
  </si>
  <si>
    <t>SCR5014</t>
  </si>
  <si>
    <t xml:space="preserve">CROSSOVER 3 1/2'' IF BOX- 3 1/2'' EUE PIN  </t>
  </si>
  <si>
    <t>SCR5015</t>
  </si>
  <si>
    <t>CROSSOVER 3 1/2'' IF BOX- 3 1/2'' EUE PIN POR DIA ADICIONAL</t>
  </si>
  <si>
    <t>SCR5016</t>
  </si>
  <si>
    <t xml:space="preserve">CROSSOVER 3 1/2'' IF BOX- 2 7/8'' EUE PIN  </t>
  </si>
  <si>
    <t>SCR5017</t>
  </si>
  <si>
    <t>CROSSOVER 3 1/2'' IF BOX- 2 7/8'' EUE PIN POR DIA ADICIONAL</t>
  </si>
  <si>
    <t>SCR5023</t>
  </si>
  <si>
    <t>INGENIERO DE SOPORTE - CAMPO POR DIA</t>
  </si>
  <si>
    <t>SCR5025</t>
  </si>
  <si>
    <t>Tratamiento a través de la empacadura recuperable período de 8 horas c/u COMPRESSION PAKER  7" / RBP BRIDGE PLUG RECUPERABLE /  PACKER MECANICO / MODELO TST</t>
  </si>
  <si>
    <t>SCR5030</t>
  </si>
  <si>
    <t>SARTA DE EVALUACION : COMPRESSION PACKER - PACKER MECANICO - PACKER TIPO TAPON RECUPERABLE PARA CASING 7'' WEIGHT 26-32lbs/FT CARGO   HASTA ASENTAMIENTO</t>
  </si>
  <si>
    <t>SCR5031</t>
  </si>
  <si>
    <t>SARTA DE EVALUACION : COMPRESSION PACKER - PACKER MECANICO - PACKER TIPO TAPON RECUPERABLE PARA CASING 7'' WEIGHT 26-32lbs/FT CARGO POR HORA DESPUES DE ASENTAMIENTO</t>
  </si>
  <si>
    <t>SCR5032</t>
  </si>
  <si>
    <t>SARTA DE EVALUACION : COMPRESSION PACKER - PACKER MECANICO - PACKER TIPO TAPON RECUPERABLE PARA CASING 9 5/8'' WEIGHT 47 - 53,5 lbs/FT CARGO   HASTA ASENTAMIENTO</t>
  </si>
  <si>
    <t>SCR5033</t>
  </si>
  <si>
    <t>SARTA DE EVALUACION : COMPRESSION PACKER - PACKER MECANICO - PACKER TIPO TAPON RECUPERABLE CASING 7'' WEIGHT47 - 53,5  lbs/FT CARGO POR HORA DESPUES DE ASENTAMIENTO</t>
  </si>
  <si>
    <t>SCR5034</t>
  </si>
  <si>
    <t>COMPRESSION PACKER 5''-  7''  CARGO   HASTA ASENTAMIENTO</t>
  </si>
  <si>
    <t>SCR5035</t>
  </si>
  <si>
    <t>COMPRESSION PACKER 5''-  7''  CARGO POR HORA DESPUES DE ASENTAMIENTO</t>
  </si>
  <si>
    <t>SCR5036</t>
  </si>
  <si>
    <t>COMPRESSION PACKER 9 5/8''  CARGO   HASTA ASENTAMIENTO</t>
  </si>
  <si>
    <t>SCR5037</t>
  </si>
  <si>
    <t>COMPRESSION PACKER 9 5/8''  CARGO POR HORA DESPUES DE ASENTAMIENTO</t>
  </si>
  <si>
    <t>SCR5038</t>
  </si>
  <si>
    <t>RBP RETRIEVABLE BRIDGE PLUG 5'' - 7''  CARGO   HASTA ASENTAMIENTO</t>
  </si>
  <si>
    <t>SCR5039</t>
  </si>
  <si>
    <t>RBP RETRIEVABLE BRIDGE PLUG 5'' -  7''  CARGO POR HORA DESPUES DE ASENTAMIENTO</t>
  </si>
  <si>
    <t>SCR5040</t>
  </si>
  <si>
    <t xml:space="preserve">RETRIEVING HEAD TODOS LOS DIAMETROS  </t>
  </si>
  <si>
    <t>SCR5041</t>
  </si>
  <si>
    <t>RBP RETRIEVABLE BRIDGE PLUG 9 5/8''  CARGO   HASTA ASENTAMIENTO</t>
  </si>
  <si>
    <t>SCR5042</t>
  </si>
  <si>
    <t>RBP RETRIEVABLE BRIDGE PLUG 9 5/8''  CARGO POR HORA DESPUES DE ASENTAMIENTO</t>
  </si>
  <si>
    <t>SCR5043</t>
  </si>
  <si>
    <t>SLIDING SLEEVE MODELO L 2.81'' x 3 1/2 EUE, POR DIA</t>
  </si>
  <si>
    <t>SCR5044</t>
  </si>
  <si>
    <t>SLIDING SLEEVE MODELO L 2.31'' x 2 7/8 EUE, POR DIA</t>
  </si>
  <si>
    <t>SCR5045</t>
  </si>
  <si>
    <t xml:space="preserve">SEAL NIPPLE - ON OFF, TODOS LOS DIAMETROS  </t>
  </si>
  <si>
    <t>SCR5046</t>
  </si>
  <si>
    <t xml:space="preserve">CAMPANA ON-OFF, TODOS LOS DIAMETROS  </t>
  </si>
  <si>
    <t>SCR5047</t>
  </si>
  <si>
    <t>STANDING VALVE RB / FB-2 2.75-2.81'' POR DIA</t>
  </si>
  <si>
    <t>SCR5048</t>
  </si>
  <si>
    <t>STANDING VALVE RB / FB-2 2.25-2.31'' POR DIA</t>
  </si>
  <si>
    <t>SRPN7194</t>
  </si>
  <si>
    <t>UPR SUB F/1.87 L SLDSLV F</t>
  </si>
  <si>
    <t>SRPN7195</t>
  </si>
  <si>
    <t>HSG F/2.375 L SLDSLV F/STD</t>
  </si>
  <si>
    <t>SRPN7196</t>
  </si>
  <si>
    <t>LWR SUB F/1.87 L SLDSLV F/STD SVC</t>
  </si>
  <si>
    <t>SRPN7197</t>
  </si>
  <si>
    <t>UPR SUB F/2.31 L SLDSLV 2.8"6.5#EU B</t>
  </si>
  <si>
    <t>SRPN7198</t>
  </si>
  <si>
    <t>HSG F/2.875 X 2.25 L SLD SLV F/STD SVC</t>
  </si>
  <si>
    <t>SRPN7199</t>
  </si>
  <si>
    <t>LWR SUB F/2.31 L SLDSLV 2.8"6.5#EU P</t>
  </si>
  <si>
    <t>SRPN7200</t>
  </si>
  <si>
    <t>2.81 UPPER SUB 3-1/2" EU 8RD BOX</t>
  </si>
  <si>
    <t>SRPN7201</t>
  </si>
  <si>
    <t>2.75 HOUSING</t>
  </si>
  <si>
    <t>SRPN7202</t>
  </si>
  <si>
    <t>2.81 LOWER SUB 3-1/2" 9.3# EU 8RD PIN</t>
  </si>
  <si>
    <t>SRPN7203</t>
  </si>
  <si>
    <t>Reparacion Menor Packer Hidraulico 5 x 2 3/8"</t>
  </si>
  <si>
    <t>SRPN7204</t>
  </si>
  <si>
    <t>Reparacion Menor Packer Mecanico 5 x 2 3/8"</t>
  </si>
  <si>
    <t>SRPN7205</t>
  </si>
  <si>
    <t>Reparacion Menor Packer Hidraulico 7 x 3 1/2" / 7 x 2 7/8"</t>
  </si>
  <si>
    <t>SRPN7206</t>
  </si>
  <si>
    <t>Reparacion Menor Packer Mecanico 7 x 3 1/2" / 7 x 2 7/8"</t>
  </si>
  <si>
    <t>SRPN7207</t>
  </si>
  <si>
    <t>Reparacion Menor Packer Hidraulico 9 5/8 x 3 1/2"</t>
  </si>
  <si>
    <t>SRPN7208</t>
  </si>
  <si>
    <t>Reparacion Menor Packer Mecanico 9 5/8 x 3 1/2"</t>
  </si>
  <si>
    <t>SRPN7209</t>
  </si>
  <si>
    <t>Reparacion Mayor Packer Hidraulico 5 x 2 3/8"</t>
  </si>
  <si>
    <t>SRPN7210</t>
  </si>
  <si>
    <t>Reparacion Mayor Packer Mecanico 5 x 2 3/8"</t>
  </si>
  <si>
    <t>SRPN7211</t>
  </si>
  <si>
    <t>Reparacion Mayor Packer Hidraulico 7 x 3 1/2" / 7 x 2 7/8"</t>
  </si>
  <si>
    <t>SRPN7212</t>
  </si>
  <si>
    <t>Reparacion Mayor Packer Mecanico 7 x 3 1/2" / 7 x 2 7/8"</t>
  </si>
  <si>
    <t>SRPN7213</t>
  </si>
  <si>
    <t>Reparacion Mayor Packer Hidraulico 9 5/8 x 3 1/2"</t>
  </si>
  <si>
    <t>SRPN7214</t>
  </si>
  <si>
    <t>Reparacion Mayor Packer Mecanico 9 5/8 x 3 1/2"</t>
  </si>
  <si>
    <t>SRPN7215</t>
  </si>
  <si>
    <t>Reparacion Mayor Equalizing Chcek Valve 1.81"</t>
  </si>
  <si>
    <t>SRPN7216</t>
  </si>
  <si>
    <t>Reparacion Mayor Equalizing Chcek Valve 2,25"</t>
  </si>
  <si>
    <t>SRPN7217</t>
  </si>
  <si>
    <t>Reparacion Mayor Equalizing Chcek Valve 2,75"</t>
  </si>
  <si>
    <t>2.2.07. Servicios de Control de Pozos</t>
  </si>
  <si>
    <t>SFC33001</t>
  </si>
  <si>
    <t xml:space="preserve">Movilización unidad de bombeo para fluidos de completación  </t>
  </si>
  <si>
    <t>SFC33003</t>
  </si>
  <si>
    <t>Cargo básico bomba para preparación fluidos de completación, primeras 4 horas o fracción</t>
  </si>
  <si>
    <t>SFC33004</t>
  </si>
  <si>
    <t>Unidad bombeo para preparación fluidos de completación  por hora adicional</t>
  </si>
  <si>
    <t>SFC33005</t>
  </si>
  <si>
    <t>Mezcla de materiales suministrados por Dynadrill</t>
  </si>
  <si>
    <t>SFC33006</t>
  </si>
  <si>
    <t>Mezcla de materiales no suministrados por Dynadrill</t>
  </si>
  <si>
    <t>SFC33007</t>
  </si>
  <si>
    <t>Servicio de Bombeo de ácido  primeros 2500 galones</t>
  </si>
  <si>
    <t>SFC33008</t>
  </si>
  <si>
    <t>Servicio de Bombeo de fluidos corrosivos de 2500 gls hasta 4200 gls</t>
  </si>
  <si>
    <t>SFC33009</t>
  </si>
  <si>
    <t>Servicio de Bombeo de fluidos corrosivos de 4200 gls en adelante</t>
  </si>
  <si>
    <t>SFC33010</t>
  </si>
  <si>
    <t>Bombeo de fluidos no corrosivos primeros 2500 galones</t>
  </si>
  <si>
    <t>SFC33011</t>
  </si>
  <si>
    <t>Bombeo de fluidos no corrosivos de 2500 hasta 4200 galones</t>
  </si>
  <si>
    <t>SFC33012</t>
  </si>
  <si>
    <t>Bombeo de Fluidos no corrosivos de 4200 galones en adelante</t>
  </si>
  <si>
    <t>SFC33013</t>
  </si>
  <si>
    <t>SFC33014</t>
  </si>
  <si>
    <t>Tarifa de monitoreo en unidad de bombeo Presión, Densidad, Caudal, Volumen</t>
  </si>
  <si>
    <t>SFC33015</t>
  </si>
  <si>
    <t>Movilización Tanques por trabajo incluye winche y plataforma</t>
  </si>
  <si>
    <t>SFC33016</t>
  </si>
  <si>
    <t>Supervisor  para fluidos de completación dia o fraccion</t>
  </si>
  <si>
    <t>SFC33017</t>
  </si>
  <si>
    <t>Operador para fluidos de completación dia o fraccion</t>
  </si>
  <si>
    <t>SFC33018</t>
  </si>
  <si>
    <t>Asistente de Operaciones para fluidos de completación dia o fraccion</t>
  </si>
  <si>
    <t>SFC33019</t>
  </si>
  <si>
    <t>Tanque para ácido o solvente de 1000 -4200 galones, por trabajo</t>
  </si>
  <si>
    <t>SFC33020</t>
  </si>
  <si>
    <t>Tanque para fluidos de completación 500 bbls</t>
  </si>
  <si>
    <t>SFC33021</t>
  </si>
  <si>
    <t>SFC33023</t>
  </si>
  <si>
    <t>Unidad de Filtración (3 días)</t>
  </si>
  <si>
    <t>SFC33024</t>
  </si>
  <si>
    <t>Tanque para ácido o solvente de 6500 galones, por trabajo</t>
  </si>
  <si>
    <t>SFC33025</t>
  </si>
  <si>
    <t>SFC33026</t>
  </si>
  <si>
    <t>SFC33027</t>
  </si>
  <si>
    <t>SFC33028</t>
  </si>
  <si>
    <t>Cargo Básico Vacuum para transporte agua limpia 4 hr , capacidad 180 bbls</t>
  </si>
  <si>
    <t>SFC33029</t>
  </si>
  <si>
    <t>Cargo Hora adicional Vacuum 180 bbls</t>
  </si>
  <si>
    <t>SFC33030</t>
  </si>
  <si>
    <t>SFC33031</t>
  </si>
  <si>
    <t>SFC33032</t>
  </si>
  <si>
    <t>Supervisor Senior para fluidos de completación dia o fraccion</t>
  </si>
  <si>
    <t>SFC33033</t>
  </si>
  <si>
    <t>Cargo básico bomba para preparación fluidos de completación, primeras 4 horas o fracción (700 HP)</t>
  </si>
  <si>
    <t>SFC33034</t>
  </si>
  <si>
    <t>Unidad bombeo para preparación fluidos de completación  por hora adicional (700 HP)</t>
  </si>
  <si>
    <t>SFC33035</t>
  </si>
  <si>
    <t>Servicio de transmisión de datos en tiempo real, comunicación díaria por antena.</t>
  </si>
  <si>
    <t>SFC33036</t>
  </si>
  <si>
    <t>Supervisor seguimiento y optimizacion para Fluidos de Control</t>
  </si>
  <si>
    <t>SFC33037</t>
  </si>
  <si>
    <t>Servicio de echometer por pozo hasta 3 disparos</t>
  </si>
  <si>
    <t>SFC33038</t>
  </si>
  <si>
    <t>Servicio toma de nivel fluido echometer, por disparo, sensor de fondo operativo</t>
  </si>
  <si>
    <t>SFC33041</t>
  </si>
  <si>
    <t>Ingeniero de fluidos de control especiales</t>
  </si>
  <si>
    <t>DYFCE-10</t>
  </si>
  <si>
    <t>FLUIDO COMPLETACION ESPECIAL TIPO 1</t>
  </si>
  <si>
    <t>DYFCE-20</t>
  </si>
  <si>
    <t>FLUIDO COMPLETACION ESPECIAL TIPO 2</t>
  </si>
  <si>
    <t>DYFCE-30</t>
  </si>
  <si>
    <t>FLUIDO COMPLETACION ESPECIAL TIPO 3</t>
  </si>
  <si>
    <t>DYFCE-40</t>
  </si>
  <si>
    <t>FLUIDO COMPLETACION ESPECIAL TIPO 4</t>
  </si>
  <si>
    <t>DYFCE-50</t>
  </si>
  <si>
    <t>FLUIDO COMPLETACION ESPECIAL AQUOMECTANTE TIPO 5</t>
  </si>
  <si>
    <t>DYFCE-60</t>
  </si>
  <si>
    <t>FLUIDO COMPLETACION ESPECIAL TIPO 6</t>
  </si>
  <si>
    <t>DYFCE-70</t>
  </si>
  <si>
    <t>FLUIDO COMPLETACION ESPECIAL TIPO 7</t>
  </si>
  <si>
    <t>DYFCC-10</t>
  </si>
  <si>
    <t>FLUIDO COMPLETACION CONVENCIONAL</t>
  </si>
  <si>
    <t>DYFCEN-10</t>
  </si>
  <si>
    <t>FLUIDO COMPLETACION ESPECIAL NANOTECNOLOGIA</t>
  </si>
  <si>
    <t>DYSLL-1</t>
  </si>
  <si>
    <t>SISTEMA ENZYMAS LIMPIEZA residuos de Workover</t>
  </si>
  <si>
    <t>DYSGL-1</t>
  </si>
  <si>
    <t>SISTEMA LIMPIEZA GELIFICADO</t>
  </si>
  <si>
    <t>DYFP-125</t>
  </si>
  <si>
    <t>Formiato de potasio 12,5 ppg</t>
  </si>
  <si>
    <t>DYFP135</t>
  </si>
  <si>
    <t>Formiato de potasio 13,5 ppg</t>
  </si>
  <si>
    <t>DYBRO-100</t>
  </si>
  <si>
    <t>Densificante base Bromuros 13,5 . 16 PPG</t>
  </si>
  <si>
    <t>DYGEL-100</t>
  </si>
  <si>
    <t>Tapón gel Anti pérdida</t>
  </si>
  <si>
    <t>DYGEL-200</t>
  </si>
  <si>
    <t>Tapón Gelificado</t>
  </si>
  <si>
    <t>DYF10073</t>
  </si>
  <si>
    <t>Filtros 1/2 micrón</t>
  </si>
  <si>
    <t>DYF10074</t>
  </si>
  <si>
    <t>Filtros 2 micrones</t>
  </si>
  <si>
    <t>DYF10075</t>
  </si>
  <si>
    <t>Filtros 5 micrones</t>
  </si>
  <si>
    <t>DYF10076</t>
  </si>
  <si>
    <t>Filtros 10 micrones</t>
  </si>
  <si>
    <t>DYAQ-100</t>
  </si>
  <si>
    <t>Sistema Acuohumectante de Reservorio</t>
  </si>
  <si>
    <t>DYCLEAN-OIL 100</t>
  </si>
  <si>
    <t>Sistema Limpieza de depositos organicos para Casing - Tubing</t>
  </si>
  <si>
    <t>DYORGSOLV-776</t>
  </si>
  <si>
    <t>Solvente Mutual preventor cambio humectabilidad HT</t>
  </si>
  <si>
    <t>DYSURF-260</t>
  </si>
  <si>
    <t>Surfactante No-iónico Fluidos de completacion especial</t>
  </si>
  <si>
    <t>DYONE- STEP 100</t>
  </si>
  <si>
    <t xml:space="preserve">Sistema Sintetico para limpieza de completaciones </t>
  </si>
  <si>
    <t>DYFCE-80</t>
  </si>
  <si>
    <t>Fluido Completacion Densificado hasta 8.6 ppg - Base Cloruro de Calcio o Formiato de Sodio</t>
  </si>
  <si>
    <t>DYFCE-81</t>
  </si>
  <si>
    <t>Fluido Completacion Densificado hasta 8.9 ppg - Base Cloruro de Calcio o Formiato de Sodio</t>
  </si>
  <si>
    <t>DYFCE-82</t>
  </si>
  <si>
    <t>Fluido Completacion Densificado hasta 9.2 ppg - Base Cloruro de Calcio o Formiato de Sodio</t>
  </si>
  <si>
    <t>DYFCE-83</t>
  </si>
  <si>
    <t>Fluido Completacion Densificado hasta 9.7 ppg - Base Cloruro de Calcio o Formiato de Sodio</t>
  </si>
  <si>
    <t>DYFCE-84</t>
  </si>
  <si>
    <t>Fluido Completacion Densificado hasta 10.2 ppg - Base Cloruro de Calcio o Formiato de Sodio</t>
  </si>
  <si>
    <t>2.2.22. Servicios de Bombeo de Superficie</t>
  </si>
  <si>
    <t>BOMBEO DE ALTA PRESION</t>
  </si>
  <si>
    <t>SB35001</t>
  </si>
  <si>
    <t xml:space="preserve">Movilización unidad de bombeo alta presión </t>
  </si>
  <si>
    <t>SB35002</t>
  </si>
  <si>
    <t>Cargo básico primeras 4 horas o fracción unidad de bombeo, de 5001 a 10000 psi</t>
  </si>
  <si>
    <t>HHP*hr</t>
  </si>
  <si>
    <t>SB35003</t>
  </si>
  <si>
    <t>Cada hora adicional o fracción unidad de bombeo,  de 5001 a 10000 psi</t>
  </si>
  <si>
    <t>SB35004</t>
  </si>
  <si>
    <r>
      <t xml:space="preserve">Movilización unidades livianas para </t>
    </r>
    <r>
      <rPr>
        <sz val="11"/>
        <rFont val="Arial"/>
        <family val="2"/>
      </rPr>
      <t>personal</t>
    </r>
  </si>
  <si>
    <t>SB35005</t>
  </si>
  <si>
    <t>SB35006</t>
  </si>
  <si>
    <t>Centrifuga, Proporcionadores Blender primeras 8 hrs de 6 BPM cada una para Bombeo de pruebas de Ratas Múltiples</t>
  </si>
  <si>
    <t>SB35007</t>
  </si>
  <si>
    <t>Centrifuga, Proporcionadores Blender primeras 8 hrs de 12 BPM cada una para Bombeo de pruebas de Ratas Múltiples</t>
  </si>
  <si>
    <t>SB35008</t>
  </si>
  <si>
    <t>Cada hora adicional  de la Centrifuga después de las 8 horas cada una para Bombeo de pruebas de Ratas Múltiples</t>
  </si>
  <si>
    <t>SB35009</t>
  </si>
  <si>
    <t>Líneas de acero de descarga de 2 - 3" 15000PSI WP, por pie y por dia para Bombeo de pruebas de Ratas Múltiples</t>
  </si>
  <si>
    <t>SB35010</t>
  </si>
  <si>
    <t>Codos o chiksan de 2 - 3" 15000PSI WP por dia cada uno para Bombeo de pruebas de Ratas Múltiples</t>
  </si>
  <si>
    <t>SB35011</t>
  </si>
  <si>
    <t>Válvulas de 2 - 3" x 2 - 3" 15000 PSI WP, por dia, cada uno para Bombeo de pruebas de Ratas Múltiples</t>
  </si>
  <si>
    <t>SB35012</t>
  </si>
  <si>
    <t>Manifold  2 -3" de alta presión primeras 8 horas para Bombeo de pruebas de Ratas Múltiples</t>
  </si>
  <si>
    <t>SB35013</t>
  </si>
  <si>
    <t>Supervisor bombeo alta presión dia o fraccion</t>
  </si>
  <si>
    <t>SB35014</t>
  </si>
  <si>
    <t>Operador bombeo alta presión dia o fraccion</t>
  </si>
  <si>
    <t>SB35015</t>
  </si>
  <si>
    <t>Asistente de Operaciones bombeo alta presión dia o fraccion</t>
  </si>
  <si>
    <t>SB35016</t>
  </si>
  <si>
    <t>SB35017</t>
  </si>
  <si>
    <t>SB35018</t>
  </si>
  <si>
    <t>SB35019</t>
  </si>
  <si>
    <t>Movilización  Tanque de 500 bbls</t>
  </si>
  <si>
    <t>SB35020</t>
  </si>
  <si>
    <t>Ingeniero de Operaciones bombeo alta presión</t>
  </si>
  <si>
    <t>SB35021</t>
  </si>
  <si>
    <t>Cargo básico primeras 4 horas o fracción unidad de bombeo, hasta 5000 psi</t>
  </si>
  <si>
    <t>SB35022</t>
  </si>
  <si>
    <r>
      <t xml:space="preserve">Cada hora adicional o fracción unidad de fracción, </t>
    </r>
    <r>
      <rPr>
        <u/>
        <sz val="11"/>
        <color theme="1"/>
        <rFont val="Arial"/>
        <family val="2"/>
      </rPr>
      <t>hasta 5000</t>
    </r>
    <r>
      <rPr>
        <sz val="11"/>
        <color theme="1"/>
        <rFont val="Arial"/>
        <family val="2"/>
      </rPr>
      <t xml:space="preserve"> psi.</t>
    </r>
  </si>
  <si>
    <t>SB35023</t>
  </si>
  <si>
    <t>Supervisor Senior para bombeo de nitrógeno dia o fraccion</t>
  </si>
  <si>
    <t>SB35024</t>
  </si>
  <si>
    <t>Ingeniero de Bombeo Alta Presión</t>
  </si>
  <si>
    <t>BOMBEO DE SUPERFICIE</t>
  </si>
  <si>
    <t>SB3101</t>
  </si>
  <si>
    <t>Viaje de unidad de Bombeo en superficie</t>
  </si>
  <si>
    <t>SB3105</t>
  </si>
  <si>
    <t>Cada hora adicional o fracción de trabajo, por unidad de bombeo en superficie</t>
  </si>
  <si>
    <t>SB3111</t>
  </si>
  <si>
    <t>Tanque de almacenamiento de 100 barriles</t>
  </si>
  <si>
    <t>SB3113</t>
  </si>
  <si>
    <t>Adaptador Conector hasta 9 5/8 " por trabajo</t>
  </si>
  <si>
    <t>SB3114</t>
  </si>
  <si>
    <t>Cargo por monitoreo standard  de presión, caudal y densidad para bombeo en superficie</t>
  </si>
  <si>
    <t>SB3115</t>
  </si>
  <si>
    <t>SB3116</t>
  </si>
  <si>
    <t>Medidor de flujo para trabajo de bombeo en superficie, por trabajo</t>
  </si>
  <si>
    <t>SB3118</t>
  </si>
  <si>
    <t>SB3119</t>
  </si>
  <si>
    <t>Supervisor bombeo superficie dia o fraccion</t>
  </si>
  <si>
    <t>SB3120</t>
  </si>
  <si>
    <t>Operador bombeo superficie dia o fraccion</t>
  </si>
  <si>
    <t>SB3121</t>
  </si>
  <si>
    <t>SB3122</t>
  </si>
  <si>
    <t>Asistente de Operaciones bombeo superficie dia o fraccion</t>
  </si>
  <si>
    <t>SB3123</t>
  </si>
  <si>
    <t>Primeras 4 horas o fracción, cargo básico por unidad de bombeo en superficie (350 HP)</t>
  </si>
  <si>
    <t>SB3124</t>
  </si>
  <si>
    <t>Cada hora adicional o fracción de trabajo, por unidad de bombeo en superficie (350 HP)</t>
  </si>
  <si>
    <t>SB3706</t>
  </si>
  <si>
    <t>Viaje por unidad de bombeo para tratamientos en linea de superficie</t>
  </si>
  <si>
    <t>SB3702</t>
  </si>
  <si>
    <t>Cargo básico, primeras 4 horas o fracción de unidad de bombeo para tratamientos en superficie</t>
  </si>
  <si>
    <t>SB3703</t>
  </si>
  <si>
    <t>Supervisor bombeo tratamiento en lineas de superficie</t>
  </si>
  <si>
    <t>SB3704</t>
  </si>
  <si>
    <t>Operador bombeo tratamiento en lineas de superficie</t>
  </si>
  <si>
    <t>SB3705</t>
  </si>
  <si>
    <t>Asistente de Operaciones bombeo tratamiento en lineas de superficie</t>
  </si>
  <si>
    <t>BOMBEO DE PARA PRUEBAS DE LINEA</t>
  </si>
  <si>
    <t>SBPI35</t>
  </si>
  <si>
    <t>Viaje de unidad de Bombeo en superficie para pruebas</t>
  </si>
  <si>
    <t>SBPI38</t>
  </si>
  <si>
    <t>Cada hora adicional o fracción de trabajo, por unidad de bombeo en superficie para pruebas</t>
  </si>
  <si>
    <t>SBPI39</t>
  </si>
  <si>
    <t>Cargo por monitoreo standard  de presión, caudal y densidad para bombeo en superficie para pruebas</t>
  </si>
  <si>
    <t>SBPI40</t>
  </si>
  <si>
    <t>Registrador de presión tipo Martín Decker por trabajo para pruebas</t>
  </si>
  <si>
    <t>SBPI41</t>
  </si>
  <si>
    <t>Medidor de flujo para trabajo de bombeo en superficie para pruebas, por trabajo</t>
  </si>
  <si>
    <t>SBPI42</t>
  </si>
  <si>
    <t>Supervisor bombeo superficie para pruebas dia o fraccion</t>
  </si>
  <si>
    <t>SBPI43</t>
  </si>
  <si>
    <t>Operador bombeo superficie para pruebas dia o fraccion</t>
  </si>
  <si>
    <t>SBPI44</t>
  </si>
  <si>
    <t>SBPI45</t>
  </si>
  <si>
    <t>Asistente de Operaciones bombeo superficie para pruebas dia o fraccion</t>
  </si>
  <si>
    <t>SBPI46</t>
  </si>
  <si>
    <t>Supervisor Senior para bombeo en superficie dia o fraccion</t>
  </si>
  <si>
    <t>SBPI47</t>
  </si>
  <si>
    <t>Primeras 4 horas o fracción, cargo básico por unidad de bombeo en superficie para pruebas (350 HP)</t>
  </si>
  <si>
    <t>SBPI48</t>
  </si>
  <si>
    <t>Cada hora adicional o fracción de trabajo, por unidad de bombeo en superficie para pruebas (350 HP)</t>
  </si>
  <si>
    <t>2.2.57. Servicios de Gestión de Desechos</t>
  </si>
  <si>
    <t>SCS7001</t>
  </si>
  <si>
    <t>Cuttings Boxes</t>
  </si>
  <si>
    <t>SCS7002</t>
  </si>
  <si>
    <t>Servicios de Tratamiento de fluidos de control de pozo hasta 1000 bbls</t>
  </si>
  <si>
    <t>SCS7003</t>
  </si>
  <si>
    <t>Servicio de Filtración  (unidad de filtración y tanque de 500 bls por tres días)</t>
  </si>
  <si>
    <t>SCS7004</t>
  </si>
  <si>
    <t>unidad de Filtración para fluidos de completación especial (3 días)</t>
  </si>
  <si>
    <t>SCS7005</t>
  </si>
  <si>
    <t>Tanque de sólidos para residuos de Workover, 200-240 bbl</t>
  </si>
  <si>
    <t>SCS7006</t>
  </si>
  <si>
    <t>Tanque de sólidos para residuos de Workover, 100 - 120 bbl</t>
  </si>
  <si>
    <t>SCS7007</t>
  </si>
  <si>
    <t>Retroexcavadora Tipo 1</t>
  </si>
  <si>
    <t>SCS7008</t>
  </si>
  <si>
    <t>Volqueta 8 mt3</t>
  </si>
  <si>
    <t>SCS7009</t>
  </si>
  <si>
    <t>Carro Tanque 200 bbls</t>
  </si>
  <si>
    <t>SCS7010</t>
  </si>
  <si>
    <t>Contenedor  Laboratorio</t>
  </si>
  <si>
    <t>SCS7011</t>
  </si>
  <si>
    <t>Contenedor Bodega</t>
  </si>
  <si>
    <t>SCS7012</t>
  </si>
  <si>
    <t>Tabla parámetros del fluido tratado, Completa</t>
  </si>
  <si>
    <t>SCS7013</t>
  </si>
  <si>
    <t>Tabla 4b. RO 265, Completa</t>
  </si>
  <si>
    <t>SCS7014</t>
  </si>
  <si>
    <t>Tabla 7b. RO 265, Completa</t>
  </si>
  <si>
    <t>SCS7015</t>
  </si>
  <si>
    <t>Supervisor Control de Solidos dia o fraccion</t>
  </si>
  <si>
    <t>SCS7016</t>
  </si>
  <si>
    <t>Tratamiento de líquidos contaminados</t>
  </si>
  <si>
    <t>SCS7017</t>
  </si>
  <si>
    <t>Supervisor Senior para gestión de desechos dia o fraccion</t>
  </si>
  <si>
    <t>SCS7018</t>
  </si>
  <si>
    <t>Ingeniero de Gestión de Desechos</t>
  </si>
  <si>
    <t>SCS7101</t>
  </si>
  <si>
    <t>Tratamiento de desechos solidos de cementación</t>
  </si>
  <si>
    <t>SCS7103</t>
  </si>
  <si>
    <t>Volteador</t>
  </si>
  <si>
    <t>SCS7104</t>
  </si>
  <si>
    <t xml:space="preserve">Tratamiento de solidos completación  base agua </t>
  </si>
  <si>
    <t>SCS7105</t>
  </si>
  <si>
    <t>Servicio de movilización de líquidos contaminados</t>
  </si>
  <si>
    <t>SCS7106</t>
  </si>
  <si>
    <t>Servicio de movilización de sólidos contaminados con aceite</t>
  </si>
  <si>
    <t>tonelada</t>
  </si>
  <si>
    <t>SCS7107</t>
  </si>
  <si>
    <t>Tratamiento de desechos sólidos contaminados con aceite</t>
  </si>
  <si>
    <t>SCS7108</t>
  </si>
  <si>
    <t>Centrifuga  Tipo 1</t>
  </si>
  <si>
    <t>SCS7110</t>
  </si>
  <si>
    <t xml:space="preserve">Linear Motion Shaker Series 500 B4X-18 </t>
  </si>
  <si>
    <t>SCS7111</t>
  </si>
  <si>
    <t>Zaranda  High Dryer</t>
  </si>
  <si>
    <t>SCS7112</t>
  </si>
  <si>
    <t xml:space="preserve">Limpiador de residuos de Workover  3x1 (2-12 &amp; 16-4) </t>
  </si>
  <si>
    <t>SCS7113</t>
  </si>
  <si>
    <t>Removedor de residuos de Workover</t>
  </si>
  <si>
    <t>SCS7114</t>
  </si>
  <si>
    <t>unidad de Dewatering</t>
  </si>
  <si>
    <t>SCS7115</t>
  </si>
  <si>
    <t>unidad de Tratamiento de Agua</t>
  </si>
  <si>
    <t>SCS7116</t>
  </si>
  <si>
    <t>Tanque de residuos de Workover de 10 bbl</t>
  </si>
  <si>
    <t>SCS7117</t>
  </si>
  <si>
    <t>Bomba de díafragma de 1"</t>
  </si>
  <si>
    <t>SCS7118</t>
  </si>
  <si>
    <t>Bomba de díafragma de 2"</t>
  </si>
  <si>
    <t>SCS7119</t>
  </si>
  <si>
    <t>Bomba de díafragma de 3"</t>
  </si>
  <si>
    <t>SCS7120</t>
  </si>
  <si>
    <t xml:space="preserve">Bomba Centrifuga 6 x 8 </t>
  </si>
  <si>
    <t>SCS7122</t>
  </si>
  <si>
    <t>Bomba Centrifuga 6 x 5  - Shear Pump</t>
  </si>
  <si>
    <t>SCS7124</t>
  </si>
  <si>
    <t xml:space="preserve">Bomba Centrifuga 4 x 3 </t>
  </si>
  <si>
    <t>SCS7125</t>
  </si>
  <si>
    <t xml:space="preserve">Bomba Centrifuga 3 x 2 </t>
  </si>
  <si>
    <t>SCS7126</t>
  </si>
  <si>
    <t>Bomba MOYNO NE-60</t>
  </si>
  <si>
    <t>SCS7127</t>
  </si>
  <si>
    <t>Bomba MOYNO NE-30 - polímero</t>
  </si>
  <si>
    <t>SCS7128</t>
  </si>
  <si>
    <t>Bomba a diésel de 3"</t>
  </si>
  <si>
    <t>SCS7129</t>
  </si>
  <si>
    <t>Compresor de aire 50 CFM</t>
  </si>
  <si>
    <t>SCS7130</t>
  </si>
  <si>
    <t>Compresor de aire 75 CFM</t>
  </si>
  <si>
    <t>SCS7131</t>
  </si>
  <si>
    <t>Compresor de aire 110 CFM</t>
  </si>
  <si>
    <t>SCS7132</t>
  </si>
  <si>
    <t>Generador 600 kW</t>
  </si>
  <si>
    <t>SCS7133</t>
  </si>
  <si>
    <t>Generador 400-450kW</t>
  </si>
  <si>
    <t>SCS7135</t>
  </si>
  <si>
    <t>Generador de 350 kW</t>
  </si>
  <si>
    <t>SCS7136</t>
  </si>
  <si>
    <t>Generador de 100-150 kW</t>
  </si>
  <si>
    <t>SCS7137</t>
  </si>
  <si>
    <t xml:space="preserve">Secador de cortes vertical </t>
  </si>
  <si>
    <t>SCS7138</t>
  </si>
  <si>
    <t>Sección de 12 pies de Tornillo inclinado de 14" con motor</t>
  </si>
  <si>
    <t>SCS7139</t>
  </si>
  <si>
    <t>Sección de 12 pies de tornillo de 14" con motor</t>
  </si>
  <si>
    <t>SCS7142</t>
  </si>
  <si>
    <t>Panel de Distribución Eléctrico 520 Amp</t>
  </si>
  <si>
    <t>SCS7143</t>
  </si>
  <si>
    <t>Tanque de Tornillo</t>
  </si>
  <si>
    <t>SCS7144</t>
  </si>
  <si>
    <t>Tanque de sólidos, 200-240 bbl</t>
  </si>
  <si>
    <t>SCS7145</t>
  </si>
  <si>
    <t>Tanque de sólidos, 100 - 120 bbl</t>
  </si>
  <si>
    <t>SCS7151</t>
  </si>
  <si>
    <t>Tanque Skimmer 100 bbl</t>
  </si>
  <si>
    <t>SCS7152</t>
  </si>
  <si>
    <t xml:space="preserve">Retroexcavadora 320 (Excavator - oruga)  </t>
  </si>
  <si>
    <t>SCS7155</t>
  </si>
  <si>
    <t>Excavadora de llantas</t>
  </si>
  <si>
    <t>SCS7157</t>
  </si>
  <si>
    <t>Volqueta 12 mt3</t>
  </si>
  <si>
    <t>SCS7160</t>
  </si>
  <si>
    <t>SCS7167</t>
  </si>
  <si>
    <t>Laboratorio Portátil</t>
  </si>
  <si>
    <t>SCS7168</t>
  </si>
  <si>
    <t>Contenedor - Bodega - Laboratorio</t>
  </si>
  <si>
    <t>SCS7169</t>
  </si>
  <si>
    <t>Camper - Dormitorio</t>
  </si>
  <si>
    <t>SCS7170</t>
  </si>
  <si>
    <t>Hidrolavadora o Vaporela</t>
  </si>
  <si>
    <t>SCS7171</t>
  </si>
  <si>
    <t>Tablero de Distribución Eléctrica</t>
  </si>
  <si>
    <t>SCS7173</t>
  </si>
  <si>
    <t>Caja de distribución de flujo para las zarandas</t>
  </si>
  <si>
    <t>SCS7174</t>
  </si>
  <si>
    <t>100 Hp Vacuum Unit</t>
  </si>
  <si>
    <t>SCS7175</t>
  </si>
  <si>
    <t>VD Pod with internal conveyor</t>
  </si>
  <si>
    <t>SCS7176</t>
  </si>
  <si>
    <t>15 bbl air tank + hoses</t>
  </si>
  <si>
    <t>SCS7177</t>
  </si>
  <si>
    <t>Tanque de Mezcla "Shear Tank" de 160 bbl</t>
  </si>
  <si>
    <t>SCS7178</t>
  </si>
  <si>
    <t>Volteador de Cutting Boxes</t>
  </si>
  <si>
    <t>SCS7179</t>
  </si>
  <si>
    <t>Grua 30 Tons</t>
  </si>
  <si>
    <t>SCS7180</t>
  </si>
  <si>
    <t xml:space="preserve"> Screens API 200</t>
  </si>
  <si>
    <t>SCS7181</t>
  </si>
  <si>
    <t xml:space="preserve"> Screens API 170</t>
  </si>
  <si>
    <t>SCS7182</t>
  </si>
  <si>
    <t xml:space="preserve"> Screens API 140</t>
  </si>
  <si>
    <t>SCS7183</t>
  </si>
  <si>
    <t xml:space="preserve"> Screens API 120</t>
  </si>
  <si>
    <t>SCS7184</t>
  </si>
  <si>
    <t xml:space="preserve"> Screens API 100</t>
  </si>
  <si>
    <t>SCS7197</t>
  </si>
  <si>
    <t>Tratamiento de desechos solidos contaminados con aceite</t>
  </si>
  <si>
    <t>SCS7198</t>
  </si>
  <si>
    <t>Tratamiento de desechos solidos No contaminados con aceite</t>
  </si>
  <si>
    <t>SCS7199</t>
  </si>
  <si>
    <t>Servicio de movilización de desechos solidos</t>
  </si>
  <si>
    <t>SCS7200</t>
  </si>
  <si>
    <t>Servicio de movilización de desechos líquidos contaminados</t>
  </si>
  <si>
    <t>SCS7201</t>
  </si>
  <si>
    <t>Ingeniero de proyecto</t>
  </si>
  <si>
    <t>SCS7202</t>
  </si>
  <si>
    <t>Supervisor Nacional en Control de Solidos  dia o fraccion</t>
  </si>
  <si>
    <t>SCS7203</t>
  </si>
  <si>
    <t xml:space="preserve">Técnico de tratamiento de aguas </t>
  </si>
  <si>
    <t>SCS7204</t>
  </si>
  <si>
    <t>Técnico en Control de solidos</t>
  </si>
  <si>
    <t>SCS7205</t>
  </si>
  <si>
    <t>Asistente Control de Solidos dia o fraccion</t>
  </si>
  <si>
    <t>SCS7214</t>
  </si>
  <si>
    <t>Tratamiento y disposición de aceite usado</t>
  </si>
  <si>
    <t>SCS7217</t>
  </si>
  <si>
    <t>Tratamiento y disposición de chatarra contaminada con hidrocarburo</t>
  </si>
  <si>
    <t>kg</t>
  </si>
  <si>
    <t>SCS7218</t>
  </si>
  <si>
    <t>movilización de aceite usado</t>
  </si>
  <si>
    <t>SCS7219</t>
  </si>
  <si>
    <t>Sistema Limpieza de residuos de Workover</t>
  </si>
  <si>
    <t>SCS7221</t>
  </si>
  <si>
    <t>Volqueta de 12 m3 carga efectiva máximo 8m3 o en referencia a la consistencia de los ripios.
(Ruta hasta 80Km)</t>
  </si>
  <si>
    <t>SCS7223</t>
  </si>
  <si>
    <t>Volqueta de 12 m3 carga efectiva máximo 8m3 o en referencia a la consistencia de los ripios.
(Ruta 80 - 140Km)</t>
  </si>
  <si>
    <t>SCS7225</t>
  </si>
  <si>
    <t>Volqueta de 12 m3 carga efectiva máximo 8m3 o en referencia a la consistencia de los ripios.
(Ruta 140 - 250km)</t>
  </si>
  <si>
    <t>SCS7226</t>
  </si>
  <si>
    <t>Vacuum de 90 a 160Bbl.</t>
  </si>
  <si>
    <t>SCS7227</t>
  </si>
  <si>
    <t>Camiones cerrados de 7.5 a 13Ton.
(Ruta entre 20Km)</t>
  </si>
  <si>
    <t>SCS7228</t>
  </si>
  <si>
    <t>Camiones cerrados de 7.5 a 13Ton.
(Ruta entre 20 y 40Km)</t>
  </si>
  <si>
    <t>SCS7229</t>
  </si>
  <si>
    <t>Camiones cerrados de 7.5 a 13Ton.
(Ruta entre 40 y 80Km)</t>
  </si>
  <si>
    <t>SCS7230</t>
  </si>
  <si>
    <t>Camiones cerrados de 7.5 a 13Ton.
(Ruta entre 80 y 120Km)</t>
  </si>
  <si>
    <t>SCS7231</t>
  </si>
  <si>
    <t>Camiones cerrados de 7.5 a 13Ton.
(Ruta entre 120 y 160Km)</t>
  </si>
  <si>
    <t>SCS7235</t>
  </si>
  <si>
    <t>Excavadora 320 o similar</t>
  </si>
  <si>
    <t>SCS7236</t>
  </si>
  <si>
    <t>Movilización en cama baja (Hasta 30Km.)</t>
  </si>
  <si>
    <t>SCS7237</t>
  </si>
  <si>
    <t>Desmovilización en cama baja (Hasta 30Km.)</t>
  </si>
  <si>
    <t>SCS7238</t>
  </si>
  <si>
    <t>Desmovilización en cama baja (De acuerdo a Distancia)</t>
  </si>
  <si>
    <t>SCS7239</t>
  </si>
  <si>
    <t>Movilización en cama baja (De acuerdo a Distancia)</t>
  </si>
  <si>
    <t>SCS7240</t>
  </si>
  <si>
    <t>Disposición final de lodos y ripios que cumplan los parámetros de la tabla 7a del RAOHE 1215</t>
  </si>
  <si>
    <t>m3</t>
  </si>
  <si>
    <t>SCS7241</t>
  </si>
  <si>
    <t>Tratamiento  y disposición final de lodos y ripios que no contengan hidrocarburos y no cumplan con los parámetros de la tabla 7a del RAOHE 1215</t>
  </si>
  <si>
    <t>SCS7242</t>
  </si>
  <si>
    <t>Tratamiento  y disposición final de lodos y ripios contaminados con cemento</t>
  </si>
  <si>
    <t>SCS7243</t>
  </si>
  <si>
    <t>Tratamiento  y disposición final de lodos y ripios que  contengan hidrocarburos hasta 30000 TPH</t>
  </si>
  <si>
    <t>SCS7244</t>
  </si>
  <si>
    <t>Tratamiento  y disposición final de lodos y ripios que  contengan hidrocarburos desde 30000 hasta 60000 TPH</t>
  </si>
  <si>
    <t>SCS7245</t>
  </si>
  <si>
    <t>Tratamiento  y disposición final de lodos y ripios que  contengan hidrocarburos desde 60000 hasta 90000 TPH</t>
  </si>
  <si>
    <t>SCS7246</t>
  </si>
  <si>
    <t>Tratamiento  y disposición final de lodos y ripios que  contengan hidrocarburos sobre los 90000 TPH</t>
  </si>
  <si>
    <t>SCS7247</t>
  </si>
  <si>
    <t>Papel / Cartón</t>
  </si>
  <si>
    <t>Kg</t>
  </si>
  <si>
    <t>SCS7248</t>
  </si>
  <si>
    <t>Plástico No Contaminado</t>
  </si>
  <si>
    <t>SCS7249</t>
  </si>
  <si>
    <t>Madera no contaminada</t>
  </si>
  <si>
    <t>SCS7250</t>
  </si>
  <si>
    <t>Chatarra</t>
  </si>
  <si>
    <t>SCS7251</t>
  </si>
  <si>
    <t>Material contaminado con hidrocarburos</t>
  </si>
  <si>
    <t>SCS7252</t>
  </si>
  <si>
    <t>Filtros</t>
  </si>
  <si>
    <t>SCS7253</t>
  </si>
  <si>
    <t>Suelo Contaminado con Hidrocarburos*</t>
  </si>
  <si>
    <t>SCS7254</t>
  </si>
  <si>
    <t>Residuos de Trampa de Grasa</t>
  </si>
  <si>
    <t>SCS7255</t>
  </si>
  <si>
    <t>EPP usado</t>
  </si>
  <si>
    <t>SCS7256</t>
  </si>
  <si>
    <t>Papel / Cartón contaminado</t>
  </si>
  <si>
    <t>SCS7257</t>
  </si>
  <si>
    <t>Plástico contaminado</t>
  </si>
  <si>
    <t>SCS7258</t>
  </si>
  <si>
    <t>Madera contaminada</t>
  </si>
  <si>
    <t>SCS7259</t>
  </si>
  <si>
    <t>Productos químicos caducados</t>
  </si>
  <si>
    <t>SCS7260</t>
  </si>
  <si>
    <t>Hospitalarios</t>
  </si>
  <si>
    <t>SCS7261</t>
  </si>
  <si>
    <t>Baterías de autos, pilas</t>
  </si>
  <si>
    <t>SCS7262</t>
  </si>
  <si>
    <t>Tintas de impresora, cartuchos, tonners</t>
  </si>
  <si>
    <t>SCS7263</t>
  </si>
  <si>
    <t>Lámpara fluorescentes y focos</t>
  </si>
  <si>
    <t>SCS7264</t>
  </si>
  <si>
    <t>Aceite Quemado</t>
  </si>
  <si>
    <t>SCS7265</t>
  </si>
  <si>
    <t>Combustibles contaminados</t>
  </si>
  <si>
    <t>SCS7266</t>
  </si>
  <si>
    <t>Desechos orgánicos</t>
  </si>
  <si>
    <t>SCS7267</t>
  </si>
  <si>
    <t>Efluentes industriales</t>
  </si>
  <si>
    <t>SCS7268</t>
  </si>
  <si>
    <t>Lodos  de la planta de tratamiento de aguas grises y negras</t>
  </si>
  <si>
    <t>SCS7269</t>
  </si>
  <si>
    <t>Aguas Negras y Grises</t>
  </si>
  <si>
    <t>SCS7270</t>
  </si>
  <si>
    <t>Movilización de  Grua 30 Tons,  incluye plataforma</t>
  </si>
  <si>
    <t>DY-20</t>
  </si>
  <si>
    <t>Acelerador solido para lechadas</t>
  </si>
  <si>
    <t>DY-30L</t>
  </si>
  <si>
    <t>Soda Caustica</t>
  </si>
  <si>
    <t>DY-70L</t>
  </si>
  <si>
    <t>Acelerador   liquido para lechadas</t>
  </si>
  <si>
    <t>DY-90</t>
  </si>
  <si>
    <t>Acelerador  tipo HP</t>
  </si>
  <si>
    <t>2.2.21. Servicios de Tubería Continua</t>
  </si>
  <si>
    <t>CT5101</t>
  </si>
  <si>
    <t>Viaje de unidad de coiled tubing</t>
  </si>
  <si>
    <t>CT5104</t>
  </si>
  <si>
    <t>Cargo básico primeras 8 horas unidad de tubería continua o fracción</t>
  </si>
  <si>
    <t>CT5105</t>
  </si>
  <si>
    <t>Cada hora adicional de unidad de tubería continua o fracción</t>
  </si>
  <si>
    <t>CT5106</t>
  </si>
  <si>
    <t>Cargo por profundidad de la punta del coiled tubing</t>
  </si>
  <si>
    <t>CT5107</t>
  </si>
  <si>
    <t>Cargo por pie de corrida adicional</t>
  </si>
  <si>
    <t>CT5108</t>
  </si>
  <si>
    <t>Enjuagador de caucho (stripper rubber)</t>
  </si>
  <si>
    <t>CT5109</t>
  </si>
  <si>
    <t>Empacadura Inflable, primeras 24 horas o fracción</t>
  </si>
  <si>
    <t>CT5110</t>
  </si>
  <si>
    <t>Por hora adicional de empacadura inflable</t>
  </si>
  <si>
    <t>CT5111</t>
  </si>
  <si>
    <t>Tapón puente para tubería inflable, primeras 24 horas</t>
  </si>
  <si>
    <t>CT5112</t>
  </si>
  <si>
    <t>Por hora adicional tapón puente</t>
  </si>
  <si>
    <t>CT5113</t>
  </si>
  <si>
    <t>Conector para BHA de trabajo</t>
  </si>
  <si>
    <t>CT5114</t>
  </si>
  <si>
    <t>Cabeza de control de flujo por trabajo</t>
  </si>
  <si>
    <t>CT5115</t>
  </si>
  <si>
    <t>Herramienta Jet estático, diferentes medidas</t>
  </si>
  <si>
    <t>CT5116</t>
  </si>
  <si>
    <t>Rotowash Tool por trabajo</t>
  </si>
  <si>
    <t>CT5117</t>
  </si>
  <si>
    <t>Centralizador, por trabajo</t>
  </si>
  <si>
    <t>CT5118</t>
  </si>
  <si>
    <t xml:space="preserve">Tubing disconect  </t>
  </si>
  <si>
    <t>CT5119</t>
  </si>
  <si>
    <t>Zapato de diseño especial para utilizar con Dynadrill</t>
  </si>
  <si>
    <t>CT5120</t>
  </si>
  <si>
    <t>Servicio de reparación in situ de herramientas Dynadrill por hora o fracción</t>
  </si>
  <si>
    <t>CT5122</t>
  </si>
  <si>
    <t>Por bombeo de fluidos corrosivos inyectados por galón</t>
  </si>
  <si>
    <t>CT5123</t>
  </si>
  <si>
    <t>Por bombeo de solventes aromáticos con o sin empacaduras inflables</t>
  </si>
  <si>
    <t>CT5124</t>
  </si>
  <si>
    <t>Herramienta a chorro (Jet Tool), diferentes medidas</t>
  </si>
  <si>
    <t>CT5125</t>
  </si>
  <si>
    <t>unidad COMPU-VAN o equivalente, por trabajo</t>
  </si>
  <si>
    <t>CT5126</t>
  </si>
  <si>
    <t>Cargo por profundidad de la punta del coiled tubing con cable interno para registro</t>
  </si>
  <si>
    <t>CT5127</t>
  </si>
  <si>
    <t>Cargo por pie de corrida adicional con cable interno para registro</t>
  </si>
  <si>
    <t>CT5128</t>
  </si>
  <si>
    <t xml:space="preserve">Packer inflable  1 11/16 - 3 1/2  </t>
  </si>
  <si>
    <t>CT5129</t>
  </si>
  <si>
    <t>Herramienta de impacto hidráulico 1 11/16 - 4 3/4 inch</t>
  </si>
  <si>
    <t>CT5130</t>
  </si>
  <si>
    <t>Herramienta de punzado por arena 1 11/16 - 4 3/4 inch</t>
  </si>
  <si>
    <t>CT5131</t>
  </si>
  <si>
    <t>Molienda dentro de tubería de 2 3/8" a 4 1/2" o equivalente por pie perforado</t>
  </si>
  <si>
    <t>CT5132</t>
  </si>
  <si>
    <t>Crossover para herramientas de coiled tubing  1 11/16 - 4 3/4 inch por trabajo</t>
  </si>
  <si>
    <t>CT5133</t>
  </si>
  <si>
    <t>Zapato de diseño especial para utilizar con Motor de fondo</t>
  </si>
  <si>
    <t>CT5134</t>
  </si>
  <si>
    <t>Supervisor Coiled Tubing dia o fraccion</t>
  </si>
  <si>
    <t>CT5135</t>
  </si>
  <si>
    <t>Operador Coiled Tubing dia o fraccion</t>
  </si>
  <si>
    <t>CT5136</t>
  </si>
  <si>
    <t>Asistente de Operaciones Coiled Tubing dia o fraccion</t>
  </si>
  <si>
    <t>CT5137</t>
  </si>
  <si>
    <t>Cargo por corte de carrete de Coiled Tubing de 1.5 pulg (perdida)</t>
  </si>
  <si>
    <t>CT5138</t>
  </si>
  <si>
    <t>Servicio de Dohnhole video Tool Real time</t>
  </si>
  <si>
    <t>CT5139</t>
  </si>
  <si>
    <t>Servicio de registros con memorias</t>
  </si>
  <si>
    <t>CT5140</t>
  </si>
  <si>
    <t>CT5141</t>
  </si>
  <si>
    <t>CT5143</t>
  </si>
  <si>
    <t>Separador Gas de baja presión, renta día para offshore</t>
  </si>
  <si>
    <t>CT5144</t>
  </si>
  <si>
    <t>Tanque bota 500 bbls para evaluación pozo / offshore</t>
  </si>
  <si>
    <t>CT5145</t>
  </si>
  <si>
    <t>Movilización y desmovilización unidad de tubería continua trabajos offshore</t>
  </si>
  <si>
    <t>CT5146</t>
  </si>
  <si>
    <t>Ingeniero de Operaciones Coiled tubing</t>
  </si>
  <si>
    <t>CT5147</t>
  </si>
  <si>
    <t>Grúa 30 Tons</t>
  </si>
  <si>
    <t>CT5148</t>
  </si>
  <si>
    <t>Grúa 60 Tons o mas</t>
  </si>
  <si>
    <t>CT5149</t>
  </si>
  <si>
    <t>Servicio de  Grúa 30 - 60 Tons o mas,  incluye plataforma</t>
  </si>
  <si>
    <t>CT5161</t>
  </si>
  <si>
    <t>Supervisor Senior para CTU dia o fraccion</t>
  </si>
  <si>
    <t>CT5162</t>
  </si>
  <si>
    <t>Ingeniero de Coiled Tubing</t>
  </si>
  <si>
    <t>SB3601</t>
  </si>
  <si>
    <t>Viaje de unidad con tanque convertidor, por Km.</t>
  </si>
  <si>
    <t>SB3602</t>
  </si>
  <si>
    <t>Líneas de acero de descarga de 2" 15000PSI WP, por dia para Bombeo de nitrógeno 80 ft min</t>
  </si>
  <si>
    <t>SB3604</t>
  </si>
  <si>
    <t>Cargo básico primeras 4 horas o fracción unidad de nitrógeno, hasta 5000 psi</t>
  </si>
  <si>
    <t>SB3605</t>
  </si>
  <si>
    <t>Cada hora adicional o fracción unidad de nitrógeno,  hasta 5000 psi</t>
  </si>
  <si>
    <t>SB3607</t>
  </si>
  <si>
    <t>Cada hora adicional o fracción unidad de fracción, de 5001 a 10000 psi.</t>
  </si>
  <si>
    <t>SB3608</t>
  </si>
  <si>
    <t>Tanque especial de 3000 galones o equivalente por trabajo</t>
  </si>
  <si>
    <t>SB3609</t>
  </si>
  <si>
    <t>Tanque especial de 2000 galones o equivalente por trabajo</t>
  </si>
  <si>
    <t>SB3610</t>
  </si>
  <si>
    <t>Generador de espuma por trabajo</t>
  </si>
  <si>
    <t>SB3611</t>
  </si>
  <si>
    <t>Tanque criogénico de 6200 gal por trabajo</t>
  </si>
  <si>
    <t>SB3612</t>
  </si>
  <si>
    <t>Movilización de nitrógeno líquido</t>
  </si>
  <si>
    <t>SB3613</t>
  </si>
  <si>
    <t>Servicio de unidad Auto generadora de Nitrógeno, POR DIA o fracción</t>
  </si>
  <si>
    <t>SB3614</t>
  </si>
  <si>
    <t xml:space="preserve">Cada día o fracción por espera en locación de unidad auto generadora </t>
  </si>
  <si>
    <t>SB3615</t>
  </si>
  <si>
    <t>Movilización de unidad auto generadora de nitrógeno</t>
  </si>
  <si>
    <t>SB3616</t>
  </si>
  <si>
    <t>Supervisor operaciones Nitrógeno dia o fraccion</t>
  </si>
  <si>
    <t>SB3617</t>
  </si>
  <si>
    <t>Operador operaciones Nitrógeno dia o fraccion</t>
  </si>
  <si>
    <t>SB3618</t>
  </si>
  <si>
    <t>Asistente de Operaciones Nitrógeno dia o fraccion</t>
  </si>
  <si>
    <t>SB3619</t>
  </si>
  <si>
    <t>SB3620</t>
  </si>
  <si>
    <t>Movilización y desmovilización unidad criogénica  trabajos offshore</t>
  </si>
  <si>
    <t>CTE5198</t>
  </si>
  <si>
    <t>MIT (Multifinger Imaging Tool).CARGO POR REGISTRO.POR PIE</t>
  </si>
  <si>
    <t>CTE5199</t>
  </si>
  <si>
    <t>MIT, Multifinger Imaging Tool.CARGO POR PROFUNDIDAD.POR PIE</t>
  </si>
  <si>
    <t>CTE5293</t>
  </si>
  <si>
    <t>Asentamiento de retenedor de cemento. POR PIE./corrida.Cargo fijo.</t>
  </si>
  <si>
    <t>CTE5294</t>
  </si>
  <si>
    <t>Asentamiento de retenedor de cemento .CARGO POR PROFUNDIDAD.POR PIE .</t>
  </si>
  <si>
    <t>CTE5295</t>
  </si>
  <si>
    <t xml:space="preserve">Asentamiento de tapón.CARGO POR PROFUNDIDAD.POR PIE </t>
  </si>
  <si>
    <t>CTE5296</t>
  </si>
  <si>
    <t>Asentamiento de tapón.POR PIE./corrida.Cargo fijo.</t>
  </si>
  <si>
    <t>CTE5387</t>
  </si>
  <si>
    <t>Interpretacion de Memorias</t>
  </si>
  <si>
    <t>CTE5417</t>
  </si>
  <si>
    <t>Jet Cutter. 1" -4 1/2" Tubing. CARGO POR REGISTRO POR PIE / cada uno</t>
  </si>
  <si>
    <t>CTE5421</t>
  </si>
  <si>
    <t>Jet Cutter. CARGO POR PROFUNDIDAD POR PIE</t>
  </si>
  <si>
    <t>CTE5422</t>
  </si>
  <si>
    <t>Jet Cutter. Drill Pipe. CARGO POR REGISTRO POR PIE / cada uno</t>
  </si>
  <si>
    <t>CTE5450</t>
  </si>
  <si>
    <t>Servicio-PLT/ILT en modo memoria (CUATRO CORRIDAS: PRESIÓN, TEMPERATURA, FLUJO) (2000 pies de registro hasta 11000 pies de profundidad) con Coiled Tubing con cable para pozos horizontales y/o alto angulo</t>
  </si>
  <si>
    <t>CTE5451</t>
  </si>
  <si>
    <t xml:space="preserve">Servicio-PLT/ILT en tiempo real (CUATRO CORRIDAS: PRESIÓN, TEMPERATURA, FLUJO) (2000 pies de registro hasta 11000 pies de profundidad) con Coiled Tubing con cable para pozos horizontales y/o alto angulo </t>
  </si>
  <si>
    <t>DYCT10077</t>
  </si>
  <si>
    <t>Tubería Continua 1" Sarta de velocidad</t>
  </si>
  <si>
    <t>DYCT10078</t>
  </si>
  <si>
    <t>Tubería Continua 1 1/2" Sarta de velocidad</t>
  </si>
  <si>
    <t>DYCT10079</t>
  </si>
  <si>
    <t>Tubería Continua 1 3/4"  o 2"  Sarta de velocidad</t>
  </si>
  <si>
    <t>DYCT10080</t>
  </si>
  <si>
    <t>Colgador para sarta de velocidad para Coiled Tubing 1,5 - 2 inch</t>
  </si>
  <si>
    <t>CTRE709</t>
  </si>
  <si>
    <t>Servicio de corte con CTU con cable para  tuberia hasta 3 1/2¨ de OD, Incluye:  Unidad de tubería flexible de 1 1/2¨, cortador de tubería activado por cable, monitoreo completo de trabajo; y, personal)</t>
  </si>
  <si>
    <t>CTRE713</t>
  </si>
  <si>
    <t>Running Plug para Y Tool para tuberia flexible desde 1 1 /4" - 2 "</t>
  </si>
  <si>
    <t>2.2.38. Servicios de Tratamiento Químico de Crudo y Agua de Producción</t>
  </si>
  <si>
    <t>DYSCS7095</t>
  </si>
  <si>
    <t>Sulfato de Aluminio, 25 kg / sx</t>
  </si>
  <si>
    <t>DYSCS7096</t>
  </si>
  <si>
    <t>Hipoclorito de Calcio, 45kg/can</t>
  </si>
  <si>
    <t>tambor</t>
  </si>
  <si>
    <t>DYSCS7097</t>
  </si>
  <si>
    <t>Cal Hidratada, 25kg/sx</t>
  </si>
  <si>
    <t>DYSCS7098</t>
  </si>
  <si>
    <t>Polímero para MQC o Dewatering  OFXC 1143</t>
  </si>
  <si>
    <t>DYSCS7099</t>
  </si>
  <si>
    <t>Polímero para Dewatering / OFXC 1146 y 1148</t>
  </si>
  <si>
    <t>DYSCS7100</t>
  </si>
  <si>
    <t>Re-Agente Fijador Orgánico Natural, 50 kg/sx</t>
  </si>
  <si>
    <t>DYSCS7101</t>
  </si>
  <si>
    <t>Acido Fosfórico, 35kg/can</t>
  </si>
  <si>
    <t>DYSCS7102</t>
  </si>
  <si>
    <t>Bisulfito de Sodio, 25 kg/sx</t>
  </si>
  <si>
    <t>QP21301</t>
  </si>
  <si>
    <t>Dispersante de parafinas crudos livianos</t>
  </si>
  <si>
    <t>QP21302</t>
  </si>
  <si>
    <t>Dispersante de parafinas crudos pesados</t>
  </si>
  <si>
    <t>QP21303</t>
  </si>
  <si>
    <t>Dispersante de asfaltenos crudos livianos</t>
  </si>
  <si>
    <t>QP21304</t>
  </si>
  <si>
    <t>Dispersante de asfaltenos crudos pesados</t>
  </si>
  <si>
    <t>QP21305</t>
  </si>
  <si>
    <t>Bactericida base gluther aldéhido</t>
  </si>
  <si>
    <t>QP21306</t>
  </si>
  <si>
    <t>Bactericida base aldehído</t>
  </si>
  <si>
    <t>QP21307</t>
  </si>
  <si>
    <t>Bactericida alta concentración</t>
  </si>
  <si>
    <t>QP21308</t>
  </si>
  <si>
    <r>
      <rPr>
        <sz val="11"/>
        <rFont val="Arial"/>
        <family val="2"/>
      </rPr>
      <t>Bactericida concentrado de amplio espectro</t>
    </r>
  </si>
  <si>
    <t>QP21309</t>
  </si>
  <si>
    <t>Surfactante des emulsionante no iónico base agua</t>
  </si>
  <si>
    <t>QP21310</t>
  </si>
  <si>
    <t>Surfactante des emulsionante no iónico base oil</t>
  </si>
  <si>
    <t>QP21311</t>
  </si>
  <si>
    <t>Surfactante des emulsionante aniónico base agua</t>
  </si>
  <si>
    <t>QP21312</t>
  </si>
  <si>
    <t>QP21313</t>
  </si>
  <si>
    <t>Floculante des emulsionante tipo 1</t>
  </si>
  <si>
    <t>QP21314</t>
  </si>
  <si>
    <t>Floculante des emulsionante tipo 2</t>
  </si>
  <si>
    <t>QP21315</t>
  </si>
  <si>
    <t>Inhibidor de hidratos</t>
  </si>
  <si>
    <t>QP21316</t>
  </si>
  <si>
    <t>Inhibidor de incrustaciones para completaciones</t>
  </si>
  <si>
    <t>QP21317</t>
  </si>
  <si>
    <t>Inhibidor de incrustaciones para formación</t>
  </si>
  <si>
    <t>QP21318</t>
  </si>
  <si>
    <t>Inhibidor de incrustaciones acción rápida</t>
  </si>
  <si>
    <t>QP21319</t>
  </si>
  <si>
    <t>Secuestrante de sulfhídrico</t>
  </si>
  <si>
    <t>QP21320</t>
  </si>
  <si>
    <r>
      <rPr>
        <sz val="11"/>
        <rFont val="Arial"/>
        <family val="2"/>
      </rPr>
      <t>Secuestrante de hierro</t>
    </r>
  </si>
  <si>
    <t>QP21321</t>
  </si>
  <si>
    <t>Modificador de  Permeabilidad relativa</t>
  </si>
  <si>
    <t>QP21322</t>
  </si>
  <si>
    <r>
      <rPr>
        <sz val="11"/>
        <rFont val="Arial"/>
        <family val="2"/>
      </rPr>
      <t>Promotor de espuma</t>
    </r>
  </si>
  <si>
    <t>QP21323</t>
  </si>
  <si>
    <t>Antiespumante acción rápida</t>
  </si>
  <si>
    <t>SCSA7095</t>
  </si>
  <si>
    <t>DEMULSIFICANTE DE ACCIÓN CONTÍNUA. CRUDOS PESADOS</t>
  </si>
  <si>
    <t>SCSA7096</t>
  </si>
  <si>
    <t>DEMULSIFICANTE DE ACCIÓN CONTÍNUA. CRUDOS LIVIANOS</t>
  </si>
  <si>
    <t>SCSA7097</t>
  </si>
  <si>
    <t>DEMULSIFICANTE DE ACCIÓN RÁPIDA. CRUDOS PESADOS</t>
  </si>
  <si>
    <t>SCSA7098</t>
  </si>
  <si>
    <t>DEMULSIFICANTE DE ACCIÓN RAPIDA  CRUDOS LIVIANOS</t>
  </si>
  <si>
    <t>SCSA7099</t>
  </si>
  <si>
    <t>DEMULSIFICANTE DE ACCIÓN CONTINUA MULTIPROPOSITO</t>
  </si>
  <si>
    <t>SCSA7100</t>
  </si>
  <si>
    <t>Bactericida  Alta concentración</t>
  </si>
  <si>
    <t>SCSA7101</t>
  </si>
  <si>
    <t>Bactericida 50 % concentración</t>
  </si>
  <si>
    <t>SCSA7102</t>
  </si>
  <si>
    <t>Bactericida   40 % concentración</t>
  </si>
  <si>
    <t>SCSB7095</t>
  </si>
  <si>
    <t>Inhibidor de Arcillas concentrado</t>
  </si>
  <si>
    <t>SCSB7096</t>
  </si>
  <si>
    <t>DEFOAMER ( 10 % SILICONE )</t>
  </si>
  <si>
    <t>SCSB7098</t>
  </si>
  <si>
    <t>Agente Floculante acción rápida</t>
  </si>
  <si>
    <t>SCSB7099</t>
  </si>
  <si>
    <t>CLEANER EMULSIFIER, PACKAGE SIZE: 55gal, PACKAGE TYPE: CAN</t>
  </si>
  <si>
    <t>SCSB7100</t>
  </si>
  <si>
    <t>CLEANER EMULSIFIER 245</t>
  </si>
  <si>
    <t>SCSB7101</t>
  </si>
  <si>
    <t>ASPHALTENE INHIBITOR HP</t>
  </si>
  <si>
    <t>SCSC7095</t>
  </si>
  <si>
    <t>INHIBITOR CORROSION HP</t>
  </si>
  <si>
    <t>SCSC7096</t>
  </si>
  <si>
    <t>SCSC7097</t>
  </si>
  <si>
    <t>MEJORADOR DE FLUJO</t>
  </si>
  <si>
    <t>SCSC7098</t>
  </si>
  <si>
    <t>INHIBIDOR DE PARAFINAS ACCION CONTINUA</t>
  </si>
  <si>
    <t>SCSC7099</t>
  </si>
  <si>
    <t>ANTIPARAFÍNICO ACCION CONTINUA</t>
  </si>
  <si>
    <t>SCSC7100</t>
  </si>
  <si>
    <t xml:space="preserve">ANTIESPUMANTE ACCION CONTINUA </t>
  </si>
  <si>
    <t>SCSD7097</t>
  </si>
  <si>
    <t xml:space="preserve">POLIMERO CATIONICO LIQUIDO (COAGULANTE) </t>
  </si>
  <si>
    <t>SCSD7098</t>
  </si>
  <si>
    <t>SURFACTANTE NO IONICO DY252</t>
  </si>
  <si>
    <t>SCSD7099</t>
  </si>
  <si>
    <t>REDUCTOR DE FRICCION FLO XL WR, LIQUIDO, GRADO INDUSTRIAL</t>
  </si>
  <si>
    <t>SCSD7100</t>
  </si>
  <si>
    <t>DEMULSIFICANTE DE ACCIÓN CONTINUA 2594</t>
  </si>
  <si>
    <t>SCSD7101</t>
  </si>
  <si>
    <t>INHIBIDOR DE CORROSION DY 4127</t>
  </si>
  <si>
    <t>SCSD7102</t>
  </si>
  <si>
    <t>INHIBIDOR DE ASFALTENOS DY 345</t>
  </si>
  <si>
    <t>SCSD7103</t>
  </si>
  <si>
    <t xml:space="preserve">POLIELECTROLITO </t>
  </si>
  <si>
    <t>SCSD7104</t>
  </si>
  <si>
    <t>Anticorrosivo tipo 1</t>
  </si>
  <si>
    <t>SCSD7105</t>
  </si>
  <si>
    <t>Anticorrosivo tipo 2</t>
  </si>
  <si>
    <t>SCSD7106</t>
  </si>
  <si>
    <t>Secuestrante de hierro</t>
  </si>
  <si>
    <t>QA21401</t>
  </si>
  <si>
    <t>Contenido de fibras orgánicas recicladas, procesadas y deshidratadas presentación 4 kg</t>
  </si>
  <si>
    <t>QA21402</t>
  </si>
  <si>
    <t>Contenido de fibras orgánicas recicladas, procesadas y deshidratadas en una malla de la misma fibra para contener fluidos contaminantes en cuerpos de agua. 3 unidades por paquete.  Tipo 1</t>
  </si>
  <si>
    <t>QA21403</t>
  </si>
  <si>
    <t>Paño absorbente orgánico en paquete de 50 unidades. Tipo 1</t>
  </si>
  <si>
    <t>QA21404</t>
  </si>
  <si>
    <t xml:space="preserve">Tela Absorbente para hidrocarburos, SHT, un rollo 38 pulg x 144 pies </t>
  </si>
  <si>
    <t>QA21405</t>
  </si>
  <si>
    <t>Tela Absorbente para hidrocarburos, Pad de 100 hojas</t>
  </si>
  <si>
    <t>QA21406</t>
  </si>
  <si>
    <t>Polvo Absorbente de Hidrocarburos (sxs)</t>
  </si>
  <si>
    <t>QA21407</t>
  </si>
  <si>
    <t>Absorbente húmedo para hidrocarburo (4pulg x 8 pies para 4 Gal) Tipo medía</t>
  </si>
  <si>
    <t>QA21408</t>
  </si>
  <si>
    <t>Absorbente húmedo para hidrocarburo (8pulg x 10 pies para 10 Gal) tipo chorizo</t>
  </si>
  <si>
    <t>QA21409</t>
  </si>
  <si>
    <t>Contenido de fibras orgánicas recicladas, procesadas y deshidratadas Kit barrera absorbentes (2 mt longitud, 15 cm de diámetro)</t>
  </si>
  <si>
    <t>QA21410</t>
  </si>
  <si>
    <t>Contenido de fibras orgánicas recicladas, procesadas y deshidratadas en una malla de la misma fibra para contener fluidos contaminantes en cuerpos de agua. 3 unidades por paquete. Tipo 2</t>
  </si>
  <si>
    <t>QA21411</t>
  </si>
  <si>
    <t>Paño absorbente orgánico en paquete de 50 unidades. Tipo 2</t>
  </si>
  <si>
    <t>F10077</t>
  </si>
  <si>
    <t>GRASA TUBING/CASING- COMPOUND JOINT;THREAD LOCK,  44 lbs</t>
  </si>
  <si>
    <t>F10078</t>
  </si>
  <si>
    <t>GRASA TUBING/CASING- COMPOUND JOINT;THREAD LOCK,  18 lbs</t>
  </si>
  <si>
    <t>F10079</t>
  </si>
  <si>
    <t>PEGAMENTO, PARA MATERIAL DE PVC, 1GAL/unidad</t>
  </si>
  <si>
    <t>F10080</t>
  </si>
  <si>
    <t>GEOMEMBRANA PVC NEGRA 750 MICRAS ROLLOS DE 1.4 m x 50 m, 70 m2  O SEGUN NECESIDAD DEL CLIENTE</t>
  </si>
  <si>
    <t>M2</t>
  </si>
  <si>
    <t>F10081</t>
  </si>
  <si>
    <t>GEOMEMBRANA PVC NEGRA 500 MICRAS ROLLOS DE 1.4 m x 50 m 70 m2 O SEGUN NECESIDAD DEL CLIENTE</t>
  </si>
  <si>
    <t>F10082</t>
  </si>
  <si>
    <t>GEOMEMBRANA PVC NEGRA 1000 MICRAS ROLLOS DE 1.4 m x 50 m 70 m2 O SEGUN NECESIDAD DEL CLIENTE</t>
  </si>
  <si>
    <t>F10083</t>
  </si>
  <si>
    <t>TERMOSELLADO</t>
  </si>
  <si>
    <t>F10084</t>
  </si>
  <si>
    <t>AF SUPERIOR AQUASATIN</t>
  </si>
  <si>
    <t>F10085</t>
  </si>
  <si>
    <t>ANTI DUST 15-40 AQUASATIN</t>
  </si>
  <si>
    <t>F10086</t>
  </si>
  <si>
    <t>Tech 90 Desengrasante</t>
  </si>
  <si>
    <t>F10087</t>
  </si>
  <si>
    <t>GEOMEMBRANA DE ALTA RESISTENICA NEGRA 750 MICRAS X M2</t>
  </si>
  <si>
    <t>m2</t>
  </si>
  <si>
    <t>F10088</t>
  </si>
  <si>
    <t>GEOMEMBRANA DE ALTA RESISTENICA NEGRA 1000 MICRAS X M2</t>
  </si>
  <si>
    <t>F10089</t>
  </si>
  <si>
    <t>PEGAMENTO, PARA MATERIAL DE PVC, 1GAL/unidad - GEOMEMBRANA</t>
  </si>
  <si>
    <t>STQ223801</t>
  </si>
  <si>
    <t>Supervisor  para tratamientos químicos dia o fraccion</t>
  </si>
  <si>
    <t>STQ223802</t>
  </si>
  <si>
    <t>Operador para tratamientos químicos dia o fraccion</t>
  </si>
  <si>
    <t>STQ223803</t>
  </si>
  <si>
    <t>Asistente de Operaciones para tratamientos químicos dia o fraccion</t>
  </si>
  <si>
    <t>STQ223804</t>
  </si>
  <si>
    <t>STQ223805</t>
  </si>
  <si>
    <t>DYRV-100</t>
  </si>
  <si>
    <t>Modificador de Viscosidad ultra - crudos pesados 6 - 10 API</t>
  </si>
  <si>
    <t>DYRV-101</t>
  </si>
  <si>
    <t>Modificador de Viscosidad ultra - crudos pesados 11 - 14 API</t>
  </si>
  <si>
    <t>DYRV-102</t>
  </si>
  <si>
    <t>Modificador de Viscosidad ultra - crudos pesados 15 - 20 API</t>
  </si>
  <si>
    <t>Nota: La validez de la oferta, es de noventa (90) días contados desde la fecha de presentación de la oferta.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</si>
</sst>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#,##0.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b/>
      <sz val="12"/>
      <color theme="0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4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3" fillId="0" borderId="0"/>
    <xf numFmtId="0" fontId="1" fillId="0" borderId="0"/>
  </cellStyleXfs>
  <cellXfs count="73">
    <xf numFmtId="0" fontId="0" fillId="0" borderId="0" xfId="0"/>
    <xf numFmtId="0" fontId="3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4" fontId="6" fillId="3" borderId="2" xfId="1" applyFont="1" applyFill="1" applyBorder="1" applyAlignment="1">
      <alignment horizontal="center" vertical="center" wrapText="1"/>
    </xf>
    <xf numFmtId="0" fontId="7" fillId="0" borderId="0" xfId="0" applyFont="1"/>
    <xf numFmtId="0" fontId="8" fillId="3" borderId="2" xfId="2" applyFont="1" applyFill="1" applyBorder="1" applyAlignment="1">
      <alignment horizontal="center" vertical="center" wrapText="1"/>
    </xf>
    <xf numFmtId="164" fontId="8" fillId="3" borderId="2" xfId="2" applyNumberFormat="1" applyFont="1" applyFill="1" applyBorder="1" applyAlignment="1">
      <alignment horizontal="center" vertical="center" wrapText="1"/>
    </xf>
    <xf numFmtId="9" fontId="6" fillId="3" borderId="2" xfId="3" applyFont="1" applyFill="1" applyBorder="1" applyAlignment="1">
      <alignment horizontal="center" vertical="center" wrapText="1"/>
    </xf>
    <xf numFmtId="0" fontId="9" fillId="4" borderId="2" xfId="2" applyFont="1" applyFill="1" applyBorder="1" applyAlignment="1">
      <alignment horizontal="left" vertical="center" wrapText="1"/>
    </xf>
    <xf numFmtId="0" fontId="9" fillId="4" borderId="2" xfId="2" applyFont="1" applyFill="1" applyBorder="1" applyAlignment="1">
      <alignment vertical="center" wrapText="1"/>
    </xf>
    <xf numFmtId="0" fontId="0" fillId="5" borderId="0" xfId="0" applyFill="1"/>
    <xf numFmtId="1" fontId="7" fillId="5" borderId="2" xfId="2" applyNumberFormat="1" applyFont="1" applyFill="1" applyBorder="1" applyAlignment="1">
      <alignment horizontal="left" vertical="center"/>
    </xf>
    <xf numFmtId="164" fontId="10" fillId="5" borderId="2" xfId="2" applyNumberFormat="1" applyFont="1" applyFill="1" applyBorder="1" applyAlignment="1">
      <alignment horizontal="left" vertical="center" wrapText="1"/>
    </xf>
    <xf numFmtId="164" fontId="10" fillId="5" borderId="2" xfId="2" applyNumberFormat="1" applyFont="1" applyFill="1" applyBorder="1" applyAlignment="1">
      <alignment horizontal="left" vertical="center"/>
    </xf>
    <xf numFmtId="44" fontId="3" fillId="5" borderId="2" xfId="1" applyFont="1" applyFill="1" applyBorder="1" applyAlignment="1">
      <alignment horizontal="left" vertical="center" wrapText="1"/>
    </xf>
    <xf numFmtId="164" fontId="4" fillId="2" borderId="0" xfId="2" applyNumberFormat="1" applyFont="1" applyFill="1" applyAlignment="1">
      <alignment vertical="center" wrapText="1"/>
    </xf>
    <xf numFmtId="1" fontId="7" fillId="2" borderId="2" xfId="2" applyNumberFormat="1" applyFont="1" applyFill="1" applyBorder="1" applyAlignment="1">
      <alignment horizontal="left" vertical="center"/>
    </xf>
    <xf numFmtId="164" fontId="10" fillId="2" borderId="2" xfId="2" quotePrefix="1" applyNumberFormat="1" applyFont="1" applyFill="1" applyBorder="1" applyAlignment="1">
      <alignment horizontal="left" vertical="center" wrapText="1"/>
    </xf>
    <xf numFmtId="164" fontId="10" fillId="2" borderId="2" xfId="2" applyNumberFormat="1" applyFont="1" applyFill="1" applyBorder="1" applyAlignment="1">
      <alignment horizontal="left" vertical="center"/>
    </xf>
    <xf numFmtId="44" fontId="3" fillId="2" borderId="2" xfId="1" applyFont="1" applyFill="1" applyBorder="1" applyAlignment="1">
      <alignment horizontal="left" vertical="center" wrapText="1"/>
    </xf>
    <xf numFmtId="164" fontId="7" fillId="2" borderId="2" xfId="2" applyNumberFormat="1" applyFont="1" applyFill="1" applyBorder="1" applyAlignment="1">
      <alignment horizontal="left" vertical="center" wrapText="1"/>
    </xf>
    <xf numFmtId="164" fontId="7" fillId="2" borderId="2" xfId="2" applyNumberFormat="1" applyFont="1" applyFill="1" applyBorder="1" applyAlignment="1">
      <alignment horizontal="left" vertical="center"/>
    </xf>
    <xf numFmtId="164" fontId="10" fillId="2" borderId="2" xfId="2" applyNumberFormat="1" applyFont="1" applyFill="1" applyBorder="1" applyAlignment="1">
      <alignment horizontal="left" vertical="center" wrapText="1"/>
    </xf>
    <xf numFmtId="164" fontId="7" fillId="5" borderId="2" xfId="2" applyNumberFormat="1" applyFont="1" applyFill="1" applyBorder="1" applyAlignment="1">
      <alignment horizontal="left" vertical="center" wrapText="1"/>
    </xf>
    <xf numFmtId="164" fontId="7" fillId="5" borderId="2" xfId="2" applyNumberFormat="1" applyFont="1" applyFill="1" applyBorder="1" applyAlignment="1">
      <alignment horizontal="left" vertical="center"/>
    </xf>
    <xf numFmtId="0" fontId="7" fillId="5" borderId="2" xfId="2" applyFont="1" applyFill="1" applyBorder="1" applyAlignment="1">
      <alignment horizontal="left" vertical="center" wrapText="1"/>
    </xf>
    <xf numFmtId="0" fontId="11" fillId="5" borderId="2" xfId="2" applyFont="1" applyFill="1" applyBorder="1" applyAlignment="1">
      <alignment horizontal="left" vertical="center"/>
    </xf>
    <xf numFmtId="0" fontId="7" fillId="2" borderId="2" xfId="2" applyFont="1" applyFill="1" applyBorder="1" applyAlignment="1">
      <alignment horizontal="left" vertical="center" wrapText="1"/>
    </xf>
    <xf numFmtId="0" fontId="12" fillId="2" borderId="2" xfId="2" applyFont="1" applyFill="1" applyBorder="1" applyAlignment="1">
      <alignment horizontal="left" vertical="center" wrapText="1"/>
    </xf>
    <xf numFmtId="0" fontId="12" fillId="2" borderId="2" xfId="2" applyFont="1" applyFill="1" applyBorder="1" applyAlignment="1">
      <alignment horizontal="left" vertical="center"/>
    </xf>
    <xf numFmtId="0" fontId="7" fillId="2" borderId="2" xfId="2" applyFont="1" applyFill="1" applyBorder="1" applyAlignment="1">
      <alignment horizontal="left" vertical="center"/>
    </xf>
    <xf numFmtId="0" fontId="10" fillId="2" borderId="2" xfId="4" applyFont="1" applyFill="1" applyBorder="1" applyAlignment="1">
      <alignment horizontal="left" vertical="center" wrapText="1"/>
    </xf>
    <xf numFmtId="0" fontId="7" fillId="2" borderId="2" xfId="4" applyFont="1" applyFill="1" applyBorder="1" applyAlignment="1">
      <alignment horizontal="left" vertical="center" wrapText="1"/>
    </xf>
    <xf numFmtId="0" fontId="11" fillId="2" borderId="2" xfId="2" applyFont="1" applyFill="1" applyBorder="1" applyAlignment="1">
      <alignment horizontal="left" vertical="center"/>
    </xf>
    <xf numFmtId="0" fontId="11" fillId="2" borderId="2" xfId="2" applyFont="1" applyFill="1" applyBorder="1" applyAlignment="1">
      <alignment horizontal="left" vertical="center" wrapText="1"/>
    </xf>
    <xf numFmtId="44" fontId="9" fillId="4" borderId="2" xfId="1" applyFont="1" applyFill="1" applyBorder="1" applyAlignment="1">
      <alignment horizontal="right" vertical="center" wrapText="1"/>
    </xf>
    <xf numFmtId="0" fontId="12" fillId="0" borderId="2" xfId="2" applyFont="1" applyBorder="1" applyAlignment="1">
      <alignment horizontal="left" vertical="center" wrapText="1"/>
    </xf>
    <xf numFmtId="0" fontId="7" fillId="0" borderId="2" xfId="2" applyFont="1" applyBorder="1" applyAlignment="1">
      <alignment horizontal="left" vertical="center" wrapText="1"/>
    </xf>
    <xf numFmtId="0" fontId="7" fillId="2" borderId="2" xfId="2" applyFont="1" applyFill="1" applyBorder="1" applyAlignment="1">
      <alignment horizontal="left" vertical="top" wrapText="1"/>
    </xf>
    <xf numFmtId="0" fontId="11" fillId="5" borderId="2" xfId="2" applyFont="1" applyFill="1" applyBorder="1" applyAlignment="1">
      <alignment horizontal="left" vertical="center" wrapText="1"/>
    </xf>
    <xf numFmtId="0" fontId="7" fillId="5" borderId="2" xfId="2" applyFont="1" applyFill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/>
    </xf>
    <xf numFmtId="1" fontId="7" fillId="2" borderId="2" xfId="2" applyNumberFormat="1" applyFont="1" applyFill="1" applyBorder="1" applyAlignment="1">
      <alignment horizontal="left" vertical="center" wrapText="1"/>
    </xf>
    <xf numFmtId="1" fontId="7" fillId="6" borderId="2" xfId="2" applyNumberFormat="1" applyFont="1" applyFill="1" applyBorder="1" applyAlignment="1">
      <alignment horizontal="left" vertical="center" wrapText="1"/>
    </xf>
    <xf numFmtId="164" fontId="7" fillId="6" borderId="2" xfId="2" applyNumberFormat="1" applyFont="1" applyFill="1" applyBorder="1" applyAlignment="1">
      <alignment horizontal="left" vertical="center" wrapText="1"/>
    </xf>
    <xf numFmtId="164" fontId="7" fillId="6" borderId="2" xfId="2" applyNumberFormat="1" applyFont="1" applyFill="1" applyBorder="1" applyAlignment="1">
      <alignment horizontal="left" vertical="center"/>
    </xf>
    <xf numFmtId="44" fontId="3" fillId="6" borderId="2" xfId="1" applyFont="1" applyFill="1" applyBorder="1" applyAlignment="1">
      <alignment horizontal="left" vertical="center" wrapText="1"/>
    </xf>
    <xf numFmtId="44" fontId="14" fillId="4" borderId="2" xfId="1" applyFont="1" applyFill="1" applyBorder="1" applyAlignment="1">
      <alignment horizontal="right" vertical="center" wrapText="1"/>
    </xf>
    <xf numFmtId="164" fontId="7" fillId="0" borderId="2" xfId="2" applyNumberFormat="1" applyFont="1" applyBorder="1" applyAlignment="1">
      <alignment horizontal="left" vertical="center"/>
    </xf>
    <xf numFmtId="164" fontId="7" fillId="0" borderId="2" xfId="2" applyNumberFormat="1" applyFont="1" applyBorder="1" applyAlignment="1">
      <alignment horizontal="left" vertical="center" wrapText="1"/>
    </xf>
    <xf numFmtId="1" fontId="11" fillId="2" borderId="2" xfId="2" applyNumberFormat="1" applyFont="1" applyFill="1" applyBorder="1" applyAlignment="1">
      <alignment horizontal="left" vertical="center"/>
    </xf>
    <xf numFmtId="0" fontId="11" fillId="6" borderId="2" xfId="2" applyFont="1" applyFill="1" applyBorder="1" applyAlignment="1">
      <alignment horizontal="left" vertical="center"/>
    </xf>
    <xf numFmtId="0" fontId="7" fillId="6" borderId="2" xfId="2" applyFont="1" applyFill="1" applyBorder="1" applyAlignment="1">
      <alignment horizontal="left" vertical="center" wrapText="1"/>
    </xf>
    <xf numFmtId="0" fontId="11" fillId="6" borderId="2" xfId="2" applyFont="1" applyFill="1" applyBorder="1" applyAlignment="1">
      <alignment horizontal="left" vertical="center" wrapText="1"/>
    </xf>
    <xf numFmtId="0" fontId="7" fillId="6" borderId="2" xfId="2" applyFont="1" applyFill="1" applyBorder="1" applyAlignment="1">
      <alignment horizontal="left" vertical="center"/>
    </xf>
    <xf numFmtId="0" fontId="7" fillId="0" borderId="2" xfId="2" applyFont="1" applyBorder="1" applyAlignment="1">
      <alignment horizontal="left" vertical="center"/>
    </xf>
    <xf numFmtId="0" fontId="9" fillId="2" borderId="2" xfId="2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vertical="center" wrapText="1"/>
    </xf>
    <xf numFmtId="0" fontId="9" fillId="4" borderId="2" xfId="2" applyFont="1" applyFill="1" applyBorder="1" applyAlignment="1">
      <alignment horizontal="left" vertical="center" wrapText="1"/>
    </xf>
    <xf numFmtId="0" fontId="11" fillId="2" borderId="2" xfId="2" applyFont="1" applyFill="1" applyBorder="1" applyAlignment="1" applyProtection="1">
      <alignment horizontal="left" vertical="center"/>
      <protection locked="0"/>
    </xf>
    <xf numFmtId="0" fontId="7" fillId="2" borderId="2" xfId="2" applyFont="1" applyFill="1" applyBorder="1" applyAlignment="1" applyProtection="1">
      <alignment horizontal="left" vertical="center"/>
      <protection locked="0"/>
    </xf>
    <xf numFmtId="0" fontId="7" fillId="2" borderId="2" xfId="2" applyFont="1" applyFill="1" applyBorder="1" applyAlignment="1" applyProtection="1">
      <alignment horizontal="left" vertical="center" wrapText="1"/>
      <protection locked="0"/>
    </xf>
    <xf numFmtId="0" fontId="11" fillId="2" borderId="2" xfId="2" applyFont="1" applyFill="1" applyBorder="1" applyAlignment="1" applyProtection="1">
      <alignment horizontal="left" vertical="center" wrapText="1"/>
      <protection locked="0"/>
    </xf>
    <xf numFmtId="0" fontId="7" fillId="2" borderId="2" xfId="5" applyFont="1" applyFill="1" applyBorder="1" applyAlignment="1">
      <alignment horizontal="left" vertical="center" wrapText="1"/>
    </xf>
    <xf numFmtId="164" fontId="10" fillId="0" borderId="2" xfId="2" applyNumberFormat="1" applyFont="1" applyBorder="1" applyAlignment="1">
      <alignment horizontal="left" vertical="center"/>
    </xf>
    <xf numFmtId="0" fontId="14" fillId="0" borderId="2" xfId="0" applyFont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6">
    <cellStyle name="Moneda" xfId="1" builtinId="4"/>
    <cellStyle name="Normal" xfId="0" builtinId="0"/>
    <cellStyle name="Normal 22" xfId="5" xr:uid="{D1DD42AC-76B1-45F6-B622-CC4C9B3E0B68}"/>
    <cellStyle name="Normal 554 2" xfId="2" xr:uid="{3D5C6AA5-E74C-41C3-867F-73A711EA913D}"/>
    <cellStyle name="Normal_Portada de Programa de Trabajo" xfId="4" xr:uid="{B8846ACC-3895-49A4-9306-CC5D9D1C666D}"/>
    <cellStyle name="Porcentaje 2" xfId="3" xr:uid="{DD4D3C1B-0C11-49D1-BAF7-9CF1884FB0E2}"/>
  </cellStyles>
  <dxfs count="1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303</xdr:row>
      <xdr:rowOff>0</xdr:rowOff>
    </xdr:from>
    <xdr:ext cx="123825" cy="238125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FC1297B6-17D1-462F-A080-F6CE9E0B8B70}"/>
            </a:ext>
          </a:extLst>
        </xdr:cNvPr>
        <xdr:cNvSpPr txBox="1">
          <a:spLocks noChangeArrowheads="1"/>
        </xdr:cNvSpPr>
      </xdr:nvSpPr>
      <xdr:spPr bwMode="auto">
        <a:xfrm>
          <a:off x="2247900" y="11544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303</xdr:row>
      <xdr:rowOff>0</xdr:rowOff>
    </xdr:from>
    <xdr:ext cx="123825" cy="238125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7BF7DA5-404E-4A8B-B1C7-210E53B2C994}"/>
            </a:ext>
          </a:extLst>
        </xdr:cNvPr>
        <xdr:cNvSpPr txBox="1">
          <a:spLocks noChangeArrowheads="1"/>
        </xdr:cNvSpPr>
      </xdr:nvSpPr>
      <xdr:spPr bwMode="auto">
        <a:xfrm>
          <a:off x="2247900" y="11544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303</xdr:row>
      <xdr:rowOff>0</xdr:rowOff>
    </xdr:from>
    <xdr:ext cx="123825" cy="238125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665E441C-95C1-4046-A75C-C447784932BB}"/>
            </a:ext>
          </a:extLst>
        </xdr:cNvPr>
        <xdr:cNvSpPr txBox="1">
          <a:spLocks noChangeArrowheads="1"/>
        </xdr:cNvSpPr>
      </xdr:nvSpPr>
      <xdr:spPr bwMode="auto">
        <a:xfrm>
          <a:off x="2247900" y="11544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303</xdr:row>
      <xdr:rowOff>0</xdr:rowOff>
    </xdr:from>
    <xdr:ext cx="123825" cy="238125"/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D0C406AB-A5FD-447D-A493-0EC47C212316}"/>
            </a:ext>
          </a:extLst>
        </xdr:cNvPr>
        <xdr:cNvSpPr txBox="1">
          <a:spLocks noChangeArrowheads="1"/>
        </xdr:cNvSpPr>
      </xdr:nvSpPr>
      <xdr:spPr bwMode="auto">
        <a:xfrm>
          <a:off x="2247900" y="11544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248</xdr:row>
      <xdr:rowOff>0</xdr:rowOff>
    </xdr:from>
    <xdr:ext cx="123825" cy="2163629"/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A2C2121B-2DF5-4F96-AF40-E4D7087EF707}"/>
            </a:ext>
          </a:extLst>
        </xdr:cNvPr>
        <xdr:cNvSpPr txBox="1">
          <a:spLocks noChangeArrowheads="1"/>
        </xdr:cNvSpPr>
      </xdr:nvSpPr>
      <xdr:spPr bwMode="auto">
        <a:xfrm>
          <a:off x="2247900" y="94488000"/>
          <a:ext cx="123825" cy="2163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248</xdr:row>
      <xdr:rowOff>0</xdr:rowOff>
    </xdr:from>
    <xdr:ext cx="123825" cy="2163629"/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91233C06-1614-46E7-BB52-1E753677F3C5}"/>
            </a:ext>
          </a:extLst>
        </xdr:cNvPr>
        <xdr:cNvSpPr txBox="1">
          <a:spLocks noChangeArrowheads="1"/>
        </xdr:cNvSpPr>
      </xdr:nvSpPr>
      <xdr:spPr bwMode="auto">
        <a:xfrm>
          <a:off x="2247900" y="94488000"/>
          <a:ext cx="123825" cy="2163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248</xdr:row>
      <xdr:rowOff>0</xdr:rowOff>
    </xdr:from>
    <xdr:ext cx="123825" cy="2163629"/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CF34D855-D125-48E7-9A43-7C2703F85B08}"/>
            </a:ext>
          </a:extLst>
        </xdr:cNvPr>
        <xdr:cNvSpPr txBox="1">
          <a:spLocks noChangeArrowheads="1"/>
        </xdr:cNvSpPr>
      </xdr:nvSpPr>
      <xdr:spPr bwMode="auto">
        <a:xfrm>
          <a:off x="2247900" y="94488000"/>
          <a:ext cx="123825" cy="2163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248</xdr:row>
      <xdr:rowOff>0</xdr:rowOff>
    </xdr:from>
    <xdr:ext cx="123825" cy="2163629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C37D075-2B0D-4D70-BC7D-799250EF74CF}"/>
            </a:ext>
          </a:extLst>
        </xdr:cNvPr>
        <xdr:cNvSpPr txBox="1">
          <a:spLocks noChangeArrowheads="1"/>
        </xdr:cNvSpPr>
      </xdr:nvSpPr>
      <xdr:spPr bwMode="auto">
        <a:xfrm>
          <a:off x="2247900" y="94488000"/>
          <a:ext cx="123825" cy="2163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229</xdr:row>
      <xdr:rowOff>0</xdr:rowOff>
    </xdr:from>
    <xdr:ext cx="123825" cy="3649775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E15F38B6-23D4-460F-802E-13AD37FF780F}"/>
            </a:ext>
          </a:extLst>
        </xdr:cNvPr>
        <xdr:cNvSpPr txBox="1">
          <a:spLocks noChangeArrowheads="1"/>
        </xdr:cNvSpPr>
      </xdr:nvSpPr>
      <xdr:spPr bwMode="auto">
        <a:xfrm>
          <a:off x="2247900" y="87249000"/>
          <a:ext cx="123825" cy="3649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229</xdr:row>
      <xdr:rowOff>0</xdr:rowOff>
    </xdr:from>
    <xdr:ext cx="123825" cy="3649775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919D9C9A-EFFF-4CF8-A884-8BF12A0EAEF6}"/>
            </a:ext>
          </a:extLst>
        </xdr:cNvPr>
        <xdr:cNvSpPr txBox="1">
          <a:spLocks noChangeArrowheads="1"/>
        </xdr:cNvSpPr>
      </xdr:nvSpPr>
      <xdr:spPr bwMode="auto">
        <a:xfrm>
          <a:off x="2247900" y="87249000"/>
          <a:ext cx="123825" cy="3649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229</xdr:row>
      <xdr:rowOff>0</xdr:rowOff>
    </xdr:from>
    <xdr:ext cx="123825" cy="3649775"/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5DB71A6C-D1B9-4082-A5C1-0CF162691DAE}"/>
            </a:ext>
          </a:extLst>
        </xdr:cNvPr>
        <xdr:cNvSpPr txBox="1">
          <a:spLocks noChangeArrowheads="1"/>
        </xdr:cNvSpPr>
      </xdr:nvSpPr>
      <xdr:spPr bwMode="auto">
        <a:xfrm>
          <a:off x="2247900" y="87249000"/>
          <a:ext cx="123825" cy="3649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229</xdr:row>
      <xdr:rowOff>0</xdr:rowOff>
    </xdr:from>
    <xdr:ext cx="123825" cy="3649775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A6693A5A-E5C6-4A7D-9B42-878B942E81AD}"/>
            </a:ext>
          </a:extLst>
        </xdr:cNvPr>
        <xdr:cNvSpPr txBox="1">
          <a:spLocks noChangeArrowheads="1"/>
        </xdr:cNvSpPr>
      </xdr:nvSpPr>
      <xdr:spPr bwMode="auto">
        <a:xfrm>
          <a:off x="2247900" y="87249000"/>
          <a:ext cx="123825" cy="3649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294</xdr:row>
      <xdr:rowOff>0</xdr:rowOff>
    </xdr:from>
    <xdr:ext cx="123825" cy="238125"/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18187B96-F0C2-4818-AF08-D182C4B28223}"/>
            </a:ext>
          </a:extLst>
        </xdr:cNvPr>
        <xdr:cNvSpPr txBox="1">
          <a:spLocks noChangeArrowheads="1"/>
        </xdr:cNvSpPr>
      </xdr:nvSpPr>
      <xdr:spPr bwMode="auto">
        <a:xfrm>
          <a:off x="2247900" y="11201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294</xdr:row>
      <xdr:rowOff>0</xdr:rowOff>
    </xdr:from>
    <xdr:ext cx="123825" cy="238125"/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D6C0692D-DD3E-4C7A-8CCD-7F252BDC6349}"/>
            </a:ext>
          </a:extLst>
        </xdr:cNvPr>
        <xdr:cNvSpPr txBox="1">
          <a:spLocks noChangeArrowheads="1"/>
        </xdr:cNvSpPr>
      </xdr:nvSpPr>
      <xdr:spPr bwMode="auto">
        <a:xfrm>
          <a:off x="2247900" y="11201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294</xdr:row>
      <xdr:rowOff>0</xdr:rowOff>
    </xdr:from>
    <xdr:ext cx="123825" cy="238125"/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AE144A7A-64FF-4FF2-BEDA-165FF99147DB}"/>
            </a:ext>
          </a:extLst>
        </xdr:cNvPr>
        <xdr:cNvSpPr txBox="1">
          <a:spLocks noChangeArrowheads="1"/>
        </xdr:cNvSpPr>
      </xdr:nvSpPr>
      <xdr:spPr bwMode="auto">
        <a:xfrm>
          <a:off x="2247900" y="11201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294</xdr:row>
      <xdr:rowOff>0</xdr:rowOff>
    </xdr:from>
    <xdr:ext cx="123825" cy="238125"/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AD316265-E6E8-495A-B2E4-E21132995DCD}"/>
            </a:ext>
          </a:extLst>
        </xdr:cNvPr>
        <xdr:cNvSpPr txBox="1">
          <a:spLocks noChangeArrowheads="1"/>
        </xdr:cNvSpPr>
      </xdr:nvSpPr>
      <xdr:spPr bwMode="auto">
        <a:xfrm>
          <a:off x="2247900" y="11201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1153</xdr:row>
      <xdr:rowOff>0</xdr:rowOff>
    </xdr:from>
    <xdr:ext cx="123825" cy="238125"/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D64B1544-B36A-4606-8D20-F7CD222253FF}"/>
            </a:ext>
          </a:extLst>
        </xdr:cNvPr>
        <xdr:cNvSpPr txBox="1">
          <a:spLocks noChangeArrowheads="1"/>
        </xdr:cNvSpPr>
      </xdr:nvSpPr>
      <xdr:spPr bwMode="auto">
        <a:xfrm>
          <a:off x="2247900" y="43929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1153</xdr:row>
      <xdr:rowOff>0</xdr:rowOff>
    </xdr:from>
    <xdr:ext cx="123825" cy="238125"/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B45B28E3-1935-482E-9142-4D321B188E11}"/>
            </a:ext>
          </a:extLst>
        </xdr:cNvPr>
        <xdr:cNvSpPr txBox="1">
          <a:spLocks noChangeArrowheads="1"/>
        </xdr:cNvSpPr>
      </xdr:nvSpPr>
      <xdr:spPr bwMode="auto">
        <a:xfrm>
          <a:off x="2247900" y="43929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1153</xdr:row>
      <xdr:rowOff>0</xdr:rowOff>
    </xdr:from>
    <xdr:ext cx="123825" cy="238125"/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F5202FA1-940E-4EC3-B09E-F9D1FABB261A}"/>
            </a:ext>
          </a:extLst>
        </xdr:cNvPr>
        <xdr:cNvSpPr txBox="1">
          <a:spLocks noChangeArrowheads="1"/>
        </xdr:cNvSpPr>
      </xdr:nvSpPr>
      <xdr:spPr bwMode="auto">
        <a:xfrm>
          <a:off x="2247900" y="43929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1153</xdr:row>
      <xdr:rowOff>0</xdr:rowOff>
    </xdr:from>
    <xdr:ext cx="123825" cy="238125"/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E0CFD7FE-256E-4F20-B338-04FC5C47ACE5}"/>
            </a:ext>
          </a:extLst>
        </xdr:cNvPr>
        <xdr:cNvSpPr txBox="1">
          <a:spLocks noChangeArrowheads="1"/>
        </xdr:cNvSpPr>
      </xdr:nvSpPr>
      <xdr:spPr bwMode="auto">
        <a:xfrm>
          <a:off x="2247900" y="43929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1099</xdr:row>
      <xdr:rowOff>0</xdr:rowOff>
    </xdr:from>
    <xdr:ext cx="123825" cy="387055"/>
    <xdr:sp macro="" textlink="">
      <xdr:nvSpPr>
        <xdr:cNvPr id="22" name="Text Box 2">
          <a:extLst>
            <a:ext uri="{FF2B5EF4-FFF2-40B4-BE49-F238E27FC236}">
              <a16:creationId xmlns:a16="http://schemas.microsoft.com/office/drawing/2014/main" id="{A5A7E039-A13E-401D-A747-6650951BE27F}"/>
            </a:ext>
          </a:extLst>
        </xdr:cNvPr>
        <xdr:cNvSpPr txBox="1">
          <a:spLocks noChangeArrowheads="1"/>
        </xdr:cNvSpPr>
      </xdr:nvSpPr>
      <xdr:spPr bwMode="auto">
        <a:xfrm>
          <a:off x="2247900" y="418719000"/>
          <a:ext cx="123825" cy="387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1099</xdr:row>
      <xdr:rowOff>0</xdr:rowOff>
    </xdr:from>
    <xdr:ext cx="123825" cy="387055"/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AA3979A7-0D48-455D-90E5-2E1EE74C09BC}"/>
            </a:ext>
          </a:extLst>
        </xdr:cNvPr>
        <xdr:cNvSpPr txBox="1">
          <a:spLocks noChangeArrowheads="1"/>
        </xdr:cNvSpPr>
      </xdr:nvSpPr>
      <xdr:spPr bwMode="auto">
        <a:xfrm>
          <a:off x="2247900" y="418719000"/>
          <a:ext cx="123825" cy="387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1099</xdr:row>
      <xdr:rowOff>0</xdr:rowOff>
    </xdr:from>
    <xdr:ext cx="123825" cy="387055"/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221E180B-A3B9-4375-95D6-C34B2D258B8E}"/>
            </a:ext>
          </a:extLst>
        </xdr:cNvPr>
        <xdr:cNvSpPr txBox="1">
          <a:spLocks noChangeArrowheads="1"/>
        </xdr:cNvSpPr>
      </xdr:nvSpPr>
      <xdr:spPr bwMode="auto">
        <a:xfrm>
          <a:off x="2247900" y="418719000"/>
          <a:ext cx="123825" cy="387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1099</xdr:row>
      <xdr:rowOff>0</xdr:rowOff>
    </xdr:from>
    <xdr:ext cx="123825" cy="387055"/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712AA8D8-E33C-42F1-97E4-7B3E0809C211}"/>
            </a:ext>
          </a:extLst>
        </xdr:cNvPr>
        <xdr:cNvSpPr txBox="1">
          <a:spLocks noChangeArrowheads="1"/>
        </xdr:cNvSpPr>
      </xdr:nvSpPr>
      <xdr:spPr bwMode="auto">
        <a:xfrm>
          <a:off x="2247900" y="418719000"/>
          <a:ext cx="123825" cy="387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1080</xdr:row>
      <xdr:rowOff>0</xdr:rowOff>
    </xdr:from>
    <xdr:ext cx="123825" cy="2287182"/>
    <xdr:sp macro="" textlink="">
      <xdr:nvSpPr>
        <xdr:cNvPr id="26" name="Text Box 2">
          <a:extLst>
            <a:ext uri="{FF2B5EF4-FFF2-40B4-BE49-F238E27FC236}">
              <a16:creationId xmlns:a16="http://schemas.microsoft.com/office/drawing/2014/main" id="{E481570C-C294-4F02-ABC1-266B769FB7BD}"/>
            </a:ext>
          </a:extLst>
        </xdr:cNvPr>
        <xdr:cNvSpPr txBox="1">
          <a:spLocks noChangeArrowheads="1"/>
        </xdr:cNvSpPr>
      </xdr:nvSpPr>
      <xdr:spPr bwMode="auto">
        <a:xfrm>
          <a:off x="2247900" y="411480000"/>
          <a:ext cx="123825" cy="22871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1080</xdr:row>
      <xdr:rowOff>0</xdr:rowOff>
    </xdr:from>
    <xdr:ext cx="123825" cy="2287182"/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6443DDD2-6E77-4FB8-BC4D-F4A772470D69}"/>
            </a:ext>
          </a:extLst>
        </xdr:cNvPr>
        <xdr:cNvSpPr txBox="1">
          <a:spLocks noChangeArrowheads="1"/>
        </xdr:cNvSpPr>
      </xdr:nvSpPr>
      <xdr:spPr bwMode="auto">
        <a:xfrm>
          <a:off x="2247900" y="411480000"/>
          <a:ext cx="123825" cy="22871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1080</xdr:row>
      <xdr:rowOff>0</xdr:rowOff>
    </xdr:from>
    <xdr:ext cx="123825" cy="2287182"/>
    <xdr:sp macro="" textlink="">
      <xdr:nvSpPr>
        <xdr:cNvPr id="28" name="Text Box 2">
          <a:extLst>
            <a:ext uri="{FF2B5EF4-FFF2-40B4-BE49-F238E27FC236}">
              <a16:creationId xmlns:a16="http://schemas.microsoft.com/office/drawing/2014/main" id="{02C7257B-6DAB-4763-9710-DC55E9524BD6}"/>
            </a:ext>
          </a:extLst>
        </xdr:cNvPr>
        <xdr:cNvSpPr txBox="1">
          <a:spLocks noChangeArrowheads="1"/>
        </xdr:cNvSpPr>
      </xdr:nvSpPr>
      <xdr:spPr bwMode="auto">
        <a:xfrm>
          <a:off x="2247900" y="411480000"/>
          <a:ext cx="123825" cy="22871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1080</xdr:row>
      <xdr:rowOff>0</xdr:rowOff>
    </xdr:from>
    <xdr:ext cx="123825" cy="2287182"/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345EDA44-9B95-4399-87C9-ACCA442EE904}"/>
            </a:ext>
          </a:extLst>
        </xdr:cNvPr>
        <xdr:cNvSpPr txBox="1">
          <a:spLocks noChangeArrowheads="1"/>
        </xdr:cNvSpPr>
      </xdr:nvSpPr>
      <xdr:spPr bwMode="auto">
        <a:xfrm>
          <a:off x="2247900" y="411480000"/>
          <a:ext cx="123825" cy="22871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1144</xdr:row>
      <xdr:rowOff>0</xdr:rowOff>
    </xdr:from>
    <xdr:ext cx="123825" cy="238125"/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9A630CDC-BA60-4F54-99ED-CC17EFE97E0C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1144</xdr:row>
      <xdr:rowOff>0</xdr:rowOff>
    </xdr:from>
    <xdr:ext cx="123825" cy="238125"/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3AECC551-FEBC-42B9-BB3F-234D3FB04453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1144</xdr:row>
      <xdr:rowOff>0</xdr:rowOff>
    </xdr:from>
    <xdr:ext cx="123825" cy="238125"/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DAB47D2A-D661-47DA-93D8-4B1AC1F00D00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1144</xdr:row>
      <xdr:rowOff>0</xdr:rowOff>
    </xdr:from>
    <xdr:ext cx="123825" cy="238125"/>
    <xdr:sp macro="" textlink="">
      <xdr:nvSpPr>
        <xdr:cNvPr id="33" name="Text Box 2">
          <a:extLst>
            <a:ext uri="{FF2B5EF4-FFF2-40B4-BE49-F238E27FC236}">
              <a16:creationId xmlns:a16="http://schemas.microsoft.com/office/drawing/2014/main" id="{1BD85628-2AA8-443A-9E23-D32915F4DEC1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1158</xdr:row>
      <xdr:rowOff>0</xdr:rowOff>
    </xdr:from>
    <xdr:ext cx="123825" cy="238125"/>
    <xdr:sp macro="" textlink="">
      <xdr:nvSpPr>
        <xdr:cNvPr id="34" name="Text Box 2">
          <a:extLst>
            <a:ext uri="{FF2B5EF4-FFF2-40B4-BE49-F238E27FC236}">
              <a16:creationId xmlns:a16="http://schemas.microsoft.com/office/drawing/2014/main" id="{1FDE1A9F-3AE9-4261-94ED-47D4D351869F}"/>
            </a:ext>
          </a:extLst>
        </xdr:cNvPr>
        <xdr:cNvSpPr txBox="1">
          <a:spLocks noChangeArrowheads="1"/>
        </xdr:cNvSpPr>
      </xdr:nvSpPr>
      <xdr:spPr bwMode="auto">
        <a:xfrm>
          <a:off x="2247900" y="44119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1158</xdr:row>
      <xdr:rowOff>0</xdr:rowOff>
    </xdr:from>
    <xdr:ext cx="123825" cy="238125"/>
    <xdr:sp macro="" textlink="">
      <xdr:nvSpPr>
        <xdr:cNvPr id="35" name="Text Box 2">
          <a:extLst>
            <a:ext uri="{FF2B5EF4-FFF2-40B4-BE49-F238E27FC236}">
              <a16:creationId xmlns:a16="http://schemas.microsoft.com/office/drawing/2014/main" id="{A6D537C6-4EC3-48D5-928C-42C2FFCF97CA}"/>
            </a:ext>
          </a:extLst>
        </xdr:cNvPr>
        <xdr:cNvSpPr txBox="1">
          <a:spLocks noChangeArrowheads="1"/>
        </xdr:cNvSpPr>
      </xdr:nvSpPr>
      <xdr:spPr bwMode="auto">
        <a:xfrm>
          <a:off x="2247900" y="44119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1158</xdr:row>
      <xdr:rowOff>0</xdr:rowOff>
    </xdr:from>
    <xdr:ext cx="123825" cy="238125"/>
    <xdr:sp macro="" textlink="">
      <xdr:nvSpPr>
        <xdr:cNvPr id="36" name="Text Box 2">
          <a:extLst>
            <a:ext uri="{FF2B5EF4-FFF2-40B4-BE49-F238E27FC236}">
              <a16:creationId xmlns:a16="http://schemas.microsoft.com/office/drawing/2014/main" id="{E02E6E49-75B1-447B-8846-45691139B404}"/>
            </a:ext>
          </a:extLst>
        </xdr:cNvPr>
        <xdr:cNvSpPr txBox="1">
          <a:spLocks noChangeArrowheads="1"/>
        </xdr:cNvSpPr>
      </xdr:nvSpPr>
      <xdr:spPr bwMode="auto">
        <a:xfrm>
          <a:off x="2247900" y="44119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1158</xdr:row>
      <xdr:rowOff>0</xdr:rowOff>
    </xdr:from>
    <xdr:ext cx="123825" cy="238125"/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D4646B0E-1428-4847-825E-1A65090C3B0E}"/>
            </a:ext>
          </a:extLst>
        </xdr:cNvPr>
        <xdr:cNvSpPr txBox="1">
          <a:spLocks noChangeArrowheads="1"/>
        </xdr:cNvSpPr>
      </xdr:nvSpPr>
      <xdr:spPr bwMode="auto">
        <a:xfrm>
          <a:off x="2247900" y="44119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1103</xdr:row>
      <xdr:rowOff>0</xdr:rowOff>
    </xdr:from>
    <xdr:ext cx="123825" cy="842310"/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62EA8217-AEB0-4C91-9CBC-656F31D5A347}"/>
            </a:ext>
          </a:extLst>
        </xdr:cNvPr>
        <xdr:cNvSpPr txBox="1">
          <a:spLocks noChangeArrowheads="1"/>
        </xdr:cNvSpPr>
      </xdr:nvSpPr>
      <xdr:spPr bwMode="auto">
        <a:xfrm>
          <a:off x="2247900" y="420243000"/>
          <a:ext cx="123825" cy="842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1103</xdr:row>
      <xdr:rowOff>0</xdr:rowOff>
    </xdr:from>
    <xdr:ext cx="123825" cy="842310"/>
    <xdr:sp macro="" textlink="">
      <xdr:nvSpPr>
        <xdr:cNvPr id="39" name="Text Box 2">
          <a:extLst>
            <a:ext uri="{FF2B5EF4-FFF2-40B4-BE49-F238E27FC236}">
              <a16:creationId xmlns:a16="http://schemas.microsoft.com/office/drawing/2014/main" id="{F75E4A99-0368-4142-89B3-C0E9EDE83443}"/>
            </a:ext>
          </a:extLst>
        </xdr:cNvPr>
        <xdr:cNvSpPr txBox="1">
          <a:spLocks noChangeArrowheads="1"/>
        </xdr:cNvSpPr>
      </xdr:nvSpPr>
      <xdr:spPr bwMode="auto">
        <a:xfrm>
          <a:off x="2247900" y="420243000"/>
          <a:ext cx="123825" cy="842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1103</xdr:row>
      <xdr:rowOff>0</xdr:rowOff>
    </xdr:from>
    <xdr:ext cx="123825" cy="842310"/>
    <xdr:sp macro="" textlink="">
      <xdr:nvSpPr>
        <xdr:cNvPr id="40" name="Text Box 2">
          <a:extLst>
            <a:ext uri="{FF2B5EF4-FFF2-40B4-BE49-F238E27FC236}">
              <a16:creationId xmlns:a16="http://schemas.microsoft.com/office/drawing/2014/main" id="{D0DDE93F-0B0F-4D27-87F2-562196E164FC}"/>
            </a:ext>
          </a:extLst>
        </xdr:cNvPr>
        <xdr:cNvSpPr txBox="1">
          <a:spLocks noChangeArrowheads="1"/>
        </xdr:cNvSpPr>
      </xdr:nvSpPr>
      <xdr:spPr bwMode="auto">
        <a:xfrm>
          <a:off x="2247900" y="420243000"/>
          <a:ext cx="123825" cy="842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1103</xdr:row>
      <xdr:rowOff>0</xdr:rowOff>
    </xdr:from>
    <xdr:ext cx="123825" cy="842310"/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5582A977-2CE6-4964-8E27-846BC810E14E}"/>
            </a:ext>
          </a:extLst>
        </xdr:cNvPr>
        <xdr:cNvSpPr txBox="1">
          <a:spLocks noChangeArrowheads="1"/>
        </xdr:cNvSpPr>
      </xdr:nvSpPr>
      <xdr:spPr bwMode="auto">
        <a:xfrm>
          <a:off x="2247900" y="420243000"/>
          <a:ext cx="123825" cy="842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1083</xdr:row>
      <xdr:rowOff>0</xdr:rowOff>
    </xdr:from>
    <xdr:ext cx="123825" cy="6561575"/>
    <xdr:sp macro="" textlink="">
      <xdr:nvSpPr>
        <xdr:cNvPr id="42" name="Text Box 2">
          <a:extLst>
            <a:ext uri="{FF2B5EF4-FFF2-40B4-BE49-F238E27FC236}">
              <a16:creationId xmlns:a16="http://schemas.microsoft.com/office/drawing/2014/main" id="{93376AEC-73B9-4A24-8AAA-939C2AA8088A}"/>
            </a:ext>
          </a:extLst>
        </xdr:cNvPr>
        <xdr:cNvSpPr txBox="1">
          <a:spLocks noChangeArrowheads="1"/>
        </xdr:cNvSpPr>
      </xdr:nvSpPr>
      <xdr:spPr bwMode="auto">
        <a:xfrm>
          <a:off x="2247900" y="412623000"/>
          <a:ext cx="123825" cy="656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1083</xdr:row>
      <xdr:rowOff>0</xdr:rowOff>
    </xdr:from>
    <xdr:ext cx="123825" cy="6561575"/>
    <xdr:sp macro="" textlink="">
      <xdr:nvSpPr>
        <xdr:cNvPr id="43" name="Text Box 2">
          <a:extLst>
            <a:ext uri="{FF2B5EF4-FFF2-40B4-BE49-F238E27FC236}">
              <a16:creationId xmlns:a16="http://schemas.microsoft.com/office/drawing/2014/main" id="{BD0A4A14-48D1-4AC4-B3AA-D6042D92AFD2}"/>
            </a:ext>
          </a:extLst>
        </xdr:cNvPr>
        <xdr:cNvSpPr txBox="1">
          <a:spLocks noChangeArrowheads="1"/>
        </xdr:cNvSpPr>
      </xdr:nvSpPr>
      <xdr:spPr bwMode="auto">
        <a:xfrm>
          <a:off x="2247900" y="412623000"/>
          <a:ext cx="123825" cy="656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1083</xdr:row>
      <xdr:rowOff>0</xdr:rowOff>
    </xdr:from>
    <xdr:ext cx="123825" cy="6561575"/>
    <xdr:sp macro="" textlink="">
      <xdr:nvSpPr>
        <xdr:cNvPr id="44" name="Text Box 2">
          <a:extLst>
            <a:ext uri="{FF2B5EF4-FFF2-40B4-BE49-F238E27FC236}">
              <a16:creationId xmlns:a16="http://schemas.microsoft.com/office/drawing/2014/main" id="{6D8BEC54-05E4-4638-AA06-1A775FD2CEA9}"/>
            </a:ext>
          </a:extLst>
        </xdr:cNvPr>
        <xdr:cNvSpPr txBox="1">
          <a:spLocks noChangeArrowheads="1"/>
        </xdr:cNvSpPr>
      </xdr:nvSpPr>
      <xdr:spPr bwMode="auto">
        <a:xfrm>
          <a:off x="2247900" y="412623000"/>
          <a:ext cx="123825" cy="656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1083</xdr:row>
      <xdr:rowOff>0</xdr:rowOff>
    </xdr:from>
    <xdr:ext cx="123825" cy="6561575"/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617DB49F-6A8B-4C2D-8E40-6CEA0A03B674}"/>
            </a:ext>
          </a:extLst>
        </xdr:cNvPr>
        <xdr:cNvSpPr txBox="1">
          <a:spLocks noChangeArrowheads="1"/>
        </xdr:cNvSpPr>
      </xdr:nvSpPr>
      <xdr:spPr bwMode="auto">
        <a:xfrm>
          <a:off x="2247900" y="412623000"/>
          <a:ext cx="123825" cy="656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1148</xdr:row>
      <xdr:rowOff>0</xdr:rowOff>
    </xdr:from>
    <xdr:ext cx="123825" cy="238125"/>
    <xdr:sp macro="" textlink="">
      <xdr:nvSpPr>
        <xdr:cNvPr id="46" name="Text Box 2">
          <a:extLst>
            <a:ext uri="{FF2B5EF4-FFF2-40B4-BE49-F238E27FC236}">
              <a16:creationId xmlns:a16="http://schemas.microsoft.com/office/drawing/2014/main" id="{E16CC2EA-4F33-4B55-8F82-4AE12444485A}"/>
            </a:ext>
          </a:extLst>
        </xdr:cNvPr>
        <xdr:cNvSpPr txBox="1">
          <a:spLocks noChangeArrowheads="1"/>
        </xdr:cNvSpPr>
      </xdr:nvSpPr>
      <xdr:spPr bwMode="auto">
        <a:xfrm>
          <a:off x="2247900" y="43738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1148</xdr:row>
      <xdr:rowOff>0</xdr:rowOff>
    </xdr:from>
    <xdr:ext cx="123825" cy="238125"/>
    <xdr:sp macro="" textlink="">
      <xdr:nvSpPr>
        <xdr:cNvPr id="47" name="Text Box 2">
          <a:extLst>
            <a:ext uri="{FF2B5EF4-FFF2-40B4-BE49-F238E27FC236}">
              <a16:creationId xmlns:a16="http://schemas.microsoft.com/office/drawing/2014/main" id="{760C8A25-AFF1-4513-AC87-D27C407ED688}"/>
            </a:ext>
          </a:extLst>
        </xdr:cNvPr>
        <xdr:cNvSpPr txBox="1">
          <a:spLocks noChangeArrowheads="1"/>
        </xdr:cNvSpPr>
      </xdr:nvSpPr>
      <xdr:spPr bwMode="auto">
        <a:xfrm>
          <a:off x="2247900" y="43738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1148</xdr:row>
      <xdr:rowOff>0</xdr:rowOff>
    </xdr:from>
    <xdr:ext cx="123825" cy="238125"/>
    <xdr:sp macro="" textlink="">
      <xdr:nvSpPr>
        <xdr:cNvPr id="48" name="Text Box 2">
          <a:extLst>
            <a:ext uri="{FF2B5EF4-FFF2-40B4-BE49-F238E27FC236}">
              <a16:creationId xmlns:a16="http://schemas.microsoft.com/office/drawing/2014/main" id="{D7ABFE12-AC87-4BC3-83CA-DD47E3A15078}"/>
            </a:ext>
          </a:extLst>
        </xdr:cNvPr>
        <xdr:cNvSpPr txBox="1">
          <a:spLocks noChangeArrowheads="1"/>
        </xdr:cNvSpPr>
      </xdr:nvSpPr>
      <xdr:spPr bwMode="auto">
        <a:xfrm>
          <a:off x="2247900" y="43738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1148</xdr:row>
      <xdr:rowOff>0</xdr:rowOff>
    </xdr:from>
    <xdr:ext cx="123825" cy="238125"/>
    <xdr:sp macro="" textlink="">
      <xdr:nvSpPr>
        <xdr:cNvPr id="49" name="Text Box 2">
          <a:extLst>
            <a:ext uri="{FF2B5EF4-FFF2-40B4-BE49-F238E27FC236}">
              <a16:creationId xmlns:a16="http://schemas.microsoft.com/office/drawing/2014/main" id="{33B11376-3B10-4867-B41D-C14D59721BDA}"/>
            </a:ext>
          </a:extLst>
        </xdr:cNvPr>
        <xdr:cNvSpPr txBox="1">
          <a:spLocks noChangeArrowheads="1"/>
        </xdr:cNvSpPr>
      </xdr:nvSpPr>
      <xdr:spPr bwMode="auto">
        <a:xfrm>
          <a:off x="2247900" y="43738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303</xdr:row>
      <xdr:rowOff>0</xdr:rowOff>
    </xdr:from>
    <xdr:ext cx="123825" cy="238125"/>
    <xdr:sp macro="" textlink="">
      <xdr:nvSpPr>
        <xdr:cNvPr id="50" name="Text Box 2">
          <a:extLst>
            <a:ext uri="{FF2B5EF4-FFF2-40B4-BE49-F238E27FC236}">
              <a16:creationId xmlns:a16="http://schemas.microsoft.com/office/drawing/2014/main" id="{75EBD154-C2A1-49AA-904C-DA1A75967A7E}"/>
            </a:ext>
          </a:extLst>
        </xdr:cNvPr>
        <xdr:cNvSpPr txBox="1">
          <a:spLocks noChangeArrowheads="1"/>
        </xdr:cNvSpPr>
      </xdr:nvSpPr>
      <xdr:spPr bwMode="auto">
        <a:xfrm>
          <a:off x="2247900" y="11544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303</xdr:row>
      <xdr:rowOff>0</xdr:rowOff>
    </xdr:from>
    <xdr:ext cx="123825" cy="238125"/>
    <xdr:sp macro="" textlink="">
      <xdr:nvSpPr>
        <xdr:cNvPr id="51" name="Text Box 2">
          <a:extLst>
            <a:ext uri="{FF2B5EF4-FFF2-40B4-BE49-F238E27FC236}">
              <a16:creationId xmlns:a16="http://schemas.microsoft.com/office/drawing/2014/main" id="{B7C98965-8403-44C4-91CF-FDB7BE3A3B71}"/>
            </a:ext>
          </a:extLst>
        </xdr:cNvPr>
        <xdr:cNvSpPr txBox="1">
          <a:spLocks noChangeArrowheads="1"/>
        </xdr:cNvSpPr>
      </xdr:nvSpPr>
      <xdr:spPr bwMode="auto">
        <a:xfrm>
          <a:off x="2247900" y="11544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303</xdr:row>
      <xdr:rowOff>0</xdr:rowOff>
    </xdr:from>
    <xdr:ext cx="123825" cy="238125"/>
    <xdr:sp macro="" textlink="">
      <xdr:nvSpPr>
        <xdr:cNvPr id="52" name="Text Box 2">
          <a:extLst>
            <a:ext uri="{FF2B5EF4-FFF2-40B4-BE49-F238E27FC236}">
              <a16:creationId xmlns:a16="http://schemas.microsoft.com/office/drawing/2014/main" id="{DF9EACAA-994E-4ED3-B5A6-27C5128DF323}"/>
            </a:ext>
          </a:extLst>
        </xdr:cNvPr>
        <xdr:cNvSpPr txBox="1">
          <a:spLocks noChangeArrowheads="1"/>
        </xdr:cNvSpPr>
      </xdr:nvSpPr>
      <xdr:spPr bwMode="auto">
        <a:xfrm>
          <a:off x="2247900" y="11544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303</xdr:row>
      <xdr:rowOff>0</xdr:rowOff>
    </xdr:from>
    <xdr:ext cx="123825" cy="238125"/>
    <xdr:sp macro="" textlink="">
      <xdr:nvSpPr>
        <xdr:cNvPr id="53" name="Text Box 2">
          <a:extLst>
            <a:ext uri="{FF2B5EF4-FFF2-40B4-BE49-F238E27FC236}">
              <a16:creationId xmlns:a16="http://schemas.microsoft.com/office/drawing/2014/main" id="{74C897E3-8D67-49E2-9984-4CC1EF0ED3C4}"/>
            </a:ext>
          </a:extLst>
        </xdr:cNvPr>
        <xdr:cNvSpPr txBox="1">
          <a:spLocks noChangeArrowheads="1"/>
        </xdr:cNvSpPr>
      </xdr:nvSpPr>
      <xdr:spPr bwMode="auto">
        <a:xfrm>
          <a:off x="2247900" y="11544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248</xdr:row>
      <xdr:rowOff>0</xdr:rowOff>
    </xdr:from>
    <xdr:to>
      <xdr:col>2</xdr:col>
      <xdr:colOff>387350</xdr:colOff>
      <xdr:row>253</xdr:row>
      <xdr:rowOff>268348</xdr:rowOff>
    </xdr:to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CB1BDE43-5ACC-4586-9041-DDAFE64D81A4}"/>
            </a:ext>
          </a:extLst>
        </xdr:cNvPr>
        <xdr:cNvSpPr txBox="1">
          <a:spLocks noChangeArrowheads="1"/>
        </xdr:cNvSpPr>
      </xdr:nvSpPr>
      <xdr:spPr bwMode="auto">
        <a:xfrm>
          <a:off x="2247900" y="94488000"/>
          <a:ext cx="120650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248</xdr:row>
      <xdr:rowOff>0</xdr:rowOff>
    </xdr:from>
    <xdr:to>
      <xdr:col>2</xdr:col>
      <xdr:colOff>387350</xdr:colOff>
      <xdr:row>253</xdr:row>
      <xdr:rowOff>268348</xdr:rowOff>
    </xdr:to>
    <xdr:sp macro="" textlink="">
      <xdr:nvSpPr>
        <xdr:cNvPr id="55" name="Text Box 2">
          <a:extLst>
            <a:ext uri="{FF2B5EF4-FFF2-40B4-BE49-F238E27FC236}">
              <a16:creationId xmlns:a16="http://schemas.microsoft.com/office/drawing/2014/main" id="{BAF0CA91-58BA-4EA0-823C-9F98A432A4BB}"/>
            </a:ext>
          </a:extLst>
        </xdr:cNvPr>
        <xdr:cNvSpPr txBox="1">
          <a:spLocks noChangeArrowheads="1"/>
        </xdr:cNvSpPr>
      </xdr:nvSpPr>
      <xdr:spPr bwMode="auto">
        <a:xfrm>
          <a:off x="2247900" y="94488000"/>
          <a:ext cx="120650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248</xdr:row>
      <xdr:rowOff>0</xdr:rowOff>
    </xdr:from>
    <xdr:to>
      <xdr:col>2</xdr:col>
      <xdr:colOff>387350</xdr:colOff>
      <xdr:row>253</xdr:row>
      <xdr:rowOff>268348</xdr:rowOff>
    </xdr:to>
    <xdr:sp macro="" textlink="">
      <xdr:nvSpPr>
        <xdr:cNvPr id="56" name="Text Box 2">
          <a:extLst>
            <a:ext uri="{FF2B5EF4-FFF2-40B4-BE49-F238E27FC236}">
              <a16:creationId xmlns:a16="http://schemas.microsoft.com/office/drawing/2014/main" id="{BBB2E5C8-FECD-4D0A-BA7C-69AA70B03ADD}"/>
            </a:ext>
          </a:extLst>
        </xdr:cNvPr>
        <xdr:cNvSpPr txBox="1">
          <a:spLocks noChangeArrowheads="1"/>
        </xdr:cNvSpPr>
      </xdr:nvSpPr>
      <xdr:spPr bwMode="auto">
        <a:xfrm>
          <a:off x="2247900" y="94488000"/>
          <a:ext cx="120650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248</xdr:row>
      <xdr:rowOff>0</xdr:rowOff>
    </xdr:from>
    <xdr:to>
      <xdr:col>2</xdr:col>
      <xdr:colOff>387350</xdr:colOff>
      <xdr:row>253</xdr:row>
      <xdr:rowOff>268348</xdr:rowOff>
    </xdr:to>
    <xdr:sp macro="" textlink="">
      <xdr:nvSpPr>
        <xdr:cNvPr id="57" name="Text Box 2">
          <a:extLst>
            <a:ext uri="{FF2B5EF4-FFF2-40B4-BE49-F238E27FC236}">
              <a16:creationId xmlns:a16="http://schemas.microsoft.com/office/drawing/2014/main" id="{1F877957-B3F5-4789-B13E-C59C8A305E37}"/>
            </a:ext>
          </a:extLst>
        </xdr:cNvPr>
        <xdr:cNvSpPr txBox="1">
          <a:spLocks noChangeArrowheads="1"/>
        </xdr:cNvSpPr>
      </xdr:nvSpPr>
      <xdr:spPr bwMode="auto">
        <a:xfrm>
          <a:off x="2247900" y="94488000"/>
          <a:ext cx="120650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229</xdr:row>
      <xdr:rowOff>0</xdr:rowOff>
    </xdr:from>
    <xdr:to>
      <xdr:col>2</xdr:col>
      <xdr:colOff>387350</xdr:colOff>
      <xdr:row>238</xdr:row>
      <xdr:rowOff>235095</xdr:rowOff>
    </xdr:to>
    <xdr:sp macro="" textlink="">
      <xdr:nvSpPr>
        <xdr:cNvPr id="58" name="Text Box 2">
          <a:extLst>
            <a:ext uri="{FF2B5EF4-FFF2-40B4-BE49-F238E27FC236}">
              <a16:creationId xmlns:a16="http://schemas.microsoft.com/office/drawing/2014/main" id="{F4371C2C-F559-4764-B265-B8E99ABFD37E}"/>
            </a:ext>
          </a:extLst>
        </xdr:cNvPr>
        <xdr:cNvSpPr txBox="1">
          <a:spLocks noChangeArrowheads="1"/>
        </xdr:cNvSpPr>
      </xdr:nvSpPr>
      <xdr:spPr bwMode="auto">
        <a:xfrm>
          <a:off x="2247900" y="87249000"/>
          <a:ext cx="120650" cy="3664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229</xdr:row>
      <xdr:rowOff>0</xdr:rowOff>
    </xdr:from>
    <xdr:to>
      <xdr:col>2</xdr:col>
      <xdr:colOff>387350</xdr:colOff>
      <xdr:row>238</xdr:row>
      <xdr:rowOff>235095</xdr:rowOff>
    </xdr:to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B7A6F842-5429-4C91-A9F3-55B96E9EE368}"/>
            </a:ext>
          </a:extLst>
        </xdr:cNvPr>
        <xdr:cNvSpPr txBox="1">
          <a:spLocks noChangeArrowheads="1"/>
        </xdr:cNvSpPr>
      </xdr:nvSpPr>
      <xdr:spPr bwMode="auto">
        <a:xfrm>
          <a:off x="2247900" y="87249000"/>
          <a:ext cx="120650" cy="3664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229</xdr:row>
      <xdr:rowOff>0</xdr:rowOff>
    </xdr:from>
    <xdr:to>
      <xdr:col>2</xdr:col>
      <xdr:colOff>387350</xdr:colOff>
      <xdr:row>238</xdr:row>
      <xdr:rowOff>235095</xdr:rowOff>
    </xdr:to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4F0E4118-EAC6-4D15-8934-427554136AA4}"/>
            </a:ext>
          </a:extLst>
        </xdr:cNvPr>
        <xdr:cNvSpPr txBox="1">
          <a:spLocks noChangeArrowheads="1"/>
        </xdr:cNvSpPr>
      </xdr:nvSpPr>
      <xdr:spPr bwMode="auto">
        <a:xfrm>
          <a:off x="2247900" y="87249000"/>
          <a:ext cx="120650" cy="3664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229</xdr:row>
      <xdr:rowOff>0</xdr:rowOff>
    </xdr:from>
    <xdr:to>
      <xdr:col>2</xdr:col>
      <xdr:colOff>387350</xdr:colOff>
      <xdr:row>238</xdr:row>
      <xdr:rowOff>235095</xdr:rowOff>
    </xdr:to>
    <xdr:sp macro="" textlink="">
      <xdr:nvSpPr>
        <xdr:cNvPr id="61" name="Text Box 2">
          <a:extLst>
            <a:ext uri="{FF2B5EF4-FFF2-40B4-BE49-F238E27FC236}">
              <a16:creationId xmlns:a16="http://schemas.microsoft.com/office/drawing/2014/main" id="{F1050CAE-462D-450E-9E20-077199098A12}"/>
            </a:ext>
          </a:extLst>
        </xdr:cNvPr>
        <xdr:cNvSpPr txBox="1">
          <a:spLocks noChangeArrowheads="1"/>
        </xdr:cNvSpPr>
      </xdr:nvSpPr>
      <xdr:spPr bwMode="auto">
        <a:xfrm>
          <a:off x="2247900" y="87249000"/>
          <a:ext cx="120650" cy="3664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294</xdr:row>
      <xdr:rowOff>0</xdr:rowOff>
    </xdr:from>
    <xdr:ext cx="123825" cy="238125"/>
    <xdr:sp macro="" textlink="">
      <xdr:nvSpPr>
        <xdr:cNvPr id="62" name="Text Box 2">
          <a:extLst>
            <a:ext uri="{FF2B5EF4-FFF2-40B4-BE49-F238E27FC236}">
              <a16:creationId xmlns:a16="http://schemas.microsoft.com/office/drawing/2014/main" id="{CE89D2D3-8E1A-4E9C-9BF2-0E48912ED2BE}"/>
            </a:ext>
          </a:extLst>
        </xdr:cNvPr>
        <xdr:cNvSpPr txBox="1">
          <a:spLocks noChangeArrowheads="1"/>
        </xdr:cNvSpPr>
      </xdr:nvSpPr>
      <xdr:spPr bwMode="auto">
        <a:xfrm>
          <a:off x="2247900" y="11201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294</xdr:row>
      <xdr:rowOff>0</xdr:rowOff>
    </xdr:from>
    <xdr:ext cx="123825" cy="238125"/>
    <xdr:sp macro="" textlink="">
      <xdr:nvSpPr>
        <xdr:cNvPr id="63" name="Text Box 2">
          <a:extLst>
            <a:ext uri="{FF2B5EF4-FFF2-40B4-BE49-F238E27FC236}">
              <a16:creationId xmlns:a16="http://schemas.microsoft.com/office/drawing/2014/main" id="{BF0226E3-74E6-491B-B9A1-99C4472EB821}"/>
            </a:ext>
          </a:extLst>
        </xdr:cNvPr>
        <xdr:cNvSpPr txBox="1">
          <a:spLocks noChangeArrowheads="1"/>
        </xdr:cNvSpPr>
      </xdr:nvSpPr>
      <xdr:spPr bwMode="auto">
        <a:xfrm>
          <a:off x="2247900" y="11201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294</xdr:row>
      <xdr:rowOff>0</xdr:rowOff>
    </xdr:from>
    <xdr:ext cx="123825" cy="238125"/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57CD2902-80BA-4788-B1F7-AEABE7EABD08}"/>
            </a:ext>
          </a:extLst>
        </xdr:cNvPr>
        <xdr:cNvSpPr txBox="1">
          <a:spLocks noChangeArrowheads="1"/>
        </xdr:cNvSpPr>
      </xdr:nvSpPr>
      <xdr:spPr bwMode="auto">
        <a:xfrm>
          <a:off x="2247900" y="11201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294</xdr:row>
      <xdr:rowOff>0</xdr:rowOff>
    </xdr:from>
    <xdr:ext cx="123825" cy="238125"/>
    <xdr:sp macro="" textlink="">
      <xdr:nvSpPr>
        <xdr:cNvPr id="65" name="Text Box 2">
          <a:extLst>
            <a:ext uri="{FF2B5EF4-FFF2-40B4-BE49-F238E27FC236}">
              <a16:creationId xmlns:a16="http://schemas.microsoft.com/office/drawing/2014/main" id="{F7F4951F-C291-4E26-93BE-A8C86D97544F}"/>
            </a:ext>
          </a:extLst>
        </xdr:cNvPr>
        <xdr:cNvSpPr txBox="1">
          <a:spLocks noChangeArrowheads="1"/>
        </xdr:cNvSpPr>
      </xdr:nvSpPr>
      <xdr:spPr bwMode="auto">
        <a:xfrm>
          <a:off x="2247900" y="11201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1153</xdr:row>
      <xdr:rowOff>0</xdr:rowOff>
    </xdr:from>
    <xdr:ext cx="123825" cy="238125"/>
    <xdr:sp macro="" textlink="">
      <xdr:nvSpPr>
        <xdr:cNvPr id="66" name="Text Box 2">
          <a:extLst>
            <a:ext uri="{FF2B5EF4-FFF2-40B4-BE49-F238E27FC236}">
              <a16:creationId xmlns:a16="http://schemas.microsoft.com/office/drawing/2014/main" id="{8CCB56A6-04C4-477F-AB26-F3385302AA10}"/>
            </a:ext>
          </a:extLst>
        </xdr:cNvPr>
        <xdr:cNvSpPr txBox="1">
          <a:spLocks noChangeArrowheads="1"/>
        </xdr:cNvSpPr>
      </xdr:nvSpPr>
      <xdr:spPr bwMode="auto">
        <a:xfrm>
          <a:off x="2247900" y="43929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1153</xdr:row>
      <xdr:rowOff>0</xdr:rowOff>
    </xdr:from>
    <xdr:ext cx="123825" cy="238125"/>
    <xdr:sp macro="" textlink="">
      <xdr:nvSpPr>
        <xdr:cNvPr id="67" name="Text Box 2">
          <a:extLst>
            <a:ext uri="{FF2B5EF4-FFF2-40B4-BE49-F238E27FC236}">
              <a16:creationId xmlns:a16="http://schemas.microsoft.com/office/drawing/2014/main" id="{CF493D90-88FF-49C9-BE18-49D2E2D77433}"/>
            </a:ext>
          </a:extLst>
        </xdr:cNvPr>
        <xdr:cNvSpPr txBox="1">
          <a:spLocks noChangeArrowheads="1"/>
        </xdr:cNvSpPr>
      </xdr:nvSpPr>
      <xdr:spPr bwMode="auto">
        <a:xfrm>
          <a:off x="2247900" y="43929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1153</xdr:row>
      <xdr:rowOff>0</xdr:rowOff>
    </xdr:from>
    <xdr:ext cx="123825" cy="238125"/>
    <xdr:sp macro="" textlink="">
      <xdr:nvSpPr>
        <xdr:cNvPr id="68" name="Text Box 2">
          <a:extLst>
            <a:ext uri="{FF2B5EF4-FFF2-40B4-BE49-F238E27FC236}">
              <a16:creationId xmlns:a16="http://schemas.microsoft.com/office/drawing/2014/main" id="{5FA0C13E-F38D-4C03-9113-A29837D6D9F1}"/>
            </a:ext>
          </a:extLst>
        </xdr:cNvPr>
        <xdr:cNvSpPr txBox="1">
          <a:spLocks noChangeArrowheads="1"/>
        </xdr:cNvSpPr>
      </xdr:nvSpPr>
      <xdr:spPr bwMode="auto">
        <a:xfrm>
          <a:off x="2247900" y="43929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1153</xdr:row>
      <xdr:rowOff>0</xdr:rowOff>
    </xdr:from>
    <xdr:ext cx="123825" cy="238125"/>
    <xdr:sp macro="" textlink="">
      <xdr:nvSpPr>
        <xdr:cNvPr id="69" name="Text Box 2">
          <a:extLst>
            <a:ext uri="{FF2B5EF4-FFF2-40B4-BE49-F238E27FC236}">
              <a16:creationId xmlns:a16="http://schemas.microsoft.com/office/drawing/2014/main" id="{3808042D-7EC1-4EAB-A9D0-A4CAAB3BDEE6}"/>
            </a:ext>
          </a:extLst>
        </xdr:cNvPr>
        <xdr:cNvSpPr txBox="1">
          <a:spLocks noChangeArrowheads="1"/>
        </xdr:cNvSpPr>
      </xdr:nvSpPr>
      <xdr:spPr bwMode="auto">
        <a:xfrm>
          <a:off x="2247900" y="43929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1099</xdr:row>
      <xdr:rowOff>0</xdr:rowOff>
    </xdr:from>
    <xdr:to>
      <xdr:col>2</xdr:col>
      <xdr:colOff>387350</xdr:colOff>
      <xdr:row>1100</xdr:row>
      <xdr:rowOff>11174</xdr:rowOff>
    </xdr:to>
    <xdr:sp macro="" textlink="">
      <xdr:nvSpPr>
        <xdr:cNvPr id="70" name="Text Box 2">
          <a:extLst>
            <a:ext uri="{FF2B5EF4-FFF2-40B4-BE49-F238E27FC236}">
              <a16:creationId xmlns:a16="http://schemas.microsoft.com/office/drawing/2014/main" id="{91DC709D-36BF-4CFC-96E1-1F9125B62BD3}"/>
            </a:ext>
          </a:extLst>
        </xdr:cNvPr>
        <xdr:cNvSpPr txBox="1">
          <a:spLocks noChangeArrowheads="1"/>
        </xdr:cNvSpPr>
      </xdr:nvSpPr>
      <xdr:spPr bwMode="auto">
        <a:xfrm>
          <a:off x="2247900" y="418719000"/>
          <a:ext cx="120650" cy="39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1099</xdr:row>
      <xdr:rowOff>0</xdr:rowOff>
    </xdr:from>
    <xdr:to>
      <xdr:col>2</xdr:col>
      <xdr:colOff>387350</xdr:colOff>
      <xdr:row>1100</xdr:row>
      <xdr:rowOff>11174</xdr:rowOff>
    </xdr:to>
    <xdr:sp macro="" textlink="">
      <xdr:nvSpPr>
        <xdr:cNvPr id="71" name="Text Box 2">
          <a:extLst>
            <a:ext uri="{FF2B5EF4-FFF2-40B4-BE49-F238E27FC236}">
              <a16:creationId xmlns:a16="http://schemas.microsoft.com/office/drawing/2014/main" id="{BBBE5DBD-0BB0-44A4-9D23-48DF05AFBBB1}"/>
            </a:ext>
          </a:extLst>
        </xdr:cNvPr>
        <xdr:cNvSpPr txBox="1">
          <a:spLocks noChangeArrowheads="1"/>
        </xdr:cNvSpPr>
      </xdr:nvSpPr>
      <xdr:spPr bwMode="auto">
        <a:xfrm>
          <a:off x="2247900" y="418719000"/>
          <a:ext cx="120650" cy="39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1099</xdr:row>
      <xdr:rowOff>0</xdr:rowOff>
    </xdr:from>
    <xdr:to>
      <xdr:col>2</xdr:col>
      <xdr:colOff>387350</xdr:colOff>
      <xdr:row>1100</xdr:row>
      <xdr:rowOff>11174</xdr:rowOff>
    </xdr:to>
    <xdr:sp macro="" textlink="">
      <xdr:nvSpPr>
        <xdr:cNvPr id="72" name="Text Box 2">
          <a:extLst>
            <a:ext uri="{FF2B5EF4-FFF2-40B4-BE49-F238E27FC236}">
              <a16:creationId xmlns:a16="http://schemas.microsoft.com/office/drawing/2014/main" id="{D6D62E6E-210E-4F20-BF4C-30CEA8CC281A}"/>
            </a:ext>
          </a:extLst>
        </xdr:cNvPr>
        <xdr:cNvSpPr txBox="1">
          <a:spLocks noChangeArrowheads="1"/>
        </xdr:cNvSpPr>
      </xdr:nvSpPr>
      <xdr:spPr bwMode="auto">
        <a:xfrm>
          <a:off x="2247900" y="418719000"/>
          <a:ext cx="120650" cy="39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1099</xdr:row>
      <xdr:rowOff>0</xdr:rowOff>
    </xdr:from>
    <xdr:to>
      <xdr:col>2</xdr:col>
      <xdr:colOff>387350</xdr:colOff>
      <xdr:row>1100</xdr:row>
      <xdr:rowOff>11174</xdr:rowOff>
    </xdr:to>
    <xdr:sp macro="" textlink="">
      <xdr:nvSpPr>
        <xdr:cNvPr id="73" name="Text Box 2">
          <a:extLst>
            <a:ext uri="{FF2B5EF4-FFF2-40B4-BE49-F238E27FC236}">
              <a16:creationId xmlns:a16="http://schemas.microsoft.com/office/drawing/2014/main" id="{478F47AA-2BE4-42EB-A47F-ED2C19846E7E}"/>
            </a:ext>
          </a:extLst>
        </xdr:cNvPr>
        <xdr:cNvSpPr txBox="1">
          <a:spLocks noChangeArrowheads="1"/>
        </xdr:cNvSpPr>
      </xdr:nvSpPr>
      <xdr:spPr bwMode="auto">
        <a:xfrm>
          <a:off x="2247900" y="418719000"/>
          <a:ext cx="120650" cy="39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1080</xdr:row>
      <xdr:rowOff>0</xdr:rowOff>
    </xdr:from>
    <xdr:to>
      <xdr:col>2</xdr:col>
      <xdr:colOff>387350</xdr:colOff>
      <xdr:row>1086</xdr:row>
      <xdr:rowOff>9670</xdr:rowOff>
    </xdr:to>
    <xdr:sp macro="" textlink="">
      <xdr:nvSpPr>
        <xdr:cNvPr id="74" name="Text Box 2">
          <a:extLst>
            <a:ext uri="{FF2B5EF4-FFF2-40B4-BE49-F238E27FC236}">
              <a16:creationId xmlns:a16="http://schemas.microsoft.com/office/drawing/2014/main" id="{3A2B9A80-15C9-4A0C-B301-4B371E6C8F3A}"/>
            </a:ext>
          </a:extLst>
        </xdr:cNvPr>
        <xdr:cNvSpPr txBox="1">
          <a:spLocks noChangeArrowheads="1"/>
        </xdr:cNvSpPr>
      </xdr:nvSpPr>
      <xdr:spPr bwMode="auto">
        <a:xfrm>
          <a:off x="2247900" y="411480000"/>
          <a:ext cx="120650" cy="229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1080</xdr:row>
      <xdr:rowOff>0</xdr:rowOff>
    </xdr:from>
    <xdr:to>
      <xdr:col>2</xdr:col>
      <xdr:colOff>387350</xdr:colOff>
      <xdr:row>1086</xdr:row>
      <xdr:rowOff>9670</xdr:rowOff>
    </xdr:to>
    <xdr:sp macro="" textlink="">
      <xdr:nvSpPr>
        <xdr:cNvPr id="75" name="Text Box 2">
          <a:extLst>
            <a:ext uri="{FF2B5EF4-FFF2-40B4-BE49-F238E27FC236}">
              <a16:creationId xmlns:a16="http://schemas.microsoft.com/office/drawing/2014/main" id="{A138A3FE-38DD-4973-9C1C-168FA77D675D}"/>
            </a:ext>
          </a:extLst>
        </xdr:cNvPr>
        <xdr:cNvSpPr txBox="1">
          <a:spLocks noChangeArrowheads="1"/>
        </xdr:cNvSpPr>
      </xdr:nvSpPr>
      <xdr:spPr bwMode="auto">
        <a:xfrm>
          <a:off x="2247900" y="411480000"/>
          <a:ext cx="120650" cy="229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1080</xdr:row>
      <xdr:rowOff>0</xdr:rowOff>
    </xdr:from>
    <xdr:to>
      <xdr:col>2</xdr:col>
      <xdr:colOff>387350</xdr:colOff>
      <xdr:row>1086</xdr:row>
      <xdr:rowOff>9670</xdr:rowOff>
    </xdr:to>
    <xdr:sp macro="" textlink="">
      <xdr:nvSpPr>
        <xdr:cNvPr id="76" name="Text Box 2">
          <a:extLst>
            <a:ext uri="{FF2B5EF4-FFF2-40B4-BE49-F238E27FC236}">
              <a16:creationId xmlns:a16="http://schemas.microsoft.com/office/drawing/2014/main" id="{4AB93D4B-A2C9-4BEB-BC81-9F4381884DA6}"/>
            </a:ext>
          </a:extLst>
        </xdr:cNvPr>
        <xdr:cNvSpPr txBox="1">
          <a:spLocks noChangeArrowheads="1"/>
        </xdr:cNvSpPr>
      </xdr:nvSpPr>
      <xdr:spPr bwMode="auto">
        <a:xfrm>
          <a:off x="2247900" y="411480000"/>
          <a:ext cx="120650" cy="229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1080</xdr:row>
      <xdr:rowOff>0</xdr:rowOff>
    </xdr:from>
    <xdr:to>
      <xdr:col>2</xdr:col>
      <xdr:colOff>387350</xdr:colOff>
      <xdr:row>1086</xdr:row>
      <xdr:rowOff>9670</xdr:rowOff>
    </xdr:to>
    <xdr:sp macro="" textlink="">
      <xdr:nvSpPr>
        <xdr:cNvPr id="77" name="Text Box 2">
          <a:extLst>
            <a:ext uri="{FF2B5EF4-FFF2-40B4-BE49-F238E27FC236}">
              <a16:creationId xmlns:a16="http://schemas.microsoft.com/office/drawing/2014/main" id="{5AD0C24F-5808-438F-A184-6F587565ADB7}"/>
            </a:ext>
          </a:extLst>
        </xdr:cNvPr>
        <xdr:cNvSpPr txBox="1">
          <a:spLocks noChangeArrowheads="1"/>
        </xdr:cNvSpPr>
      </xdr:nvSpPr>
      <xdr:spPr bwMode="auto">
        <a:xfrm>
          <a:off x="2247900" y="411480000"/>
          <a:ext cx="120650" cy="229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1144</xdr:row>
      <xdr:rowOff>0</xdr:rowOff>
    </xdr:from>
    <xdr:ext cx="123825" cy="238125"/>
    <xdr:sp macro="" textlink="">
      <xdr:nvSpPr>
        <xdr:cNvPr id="78" name="Text Box 2">
          <a:extLst>
            <a:ext uri="{FF2B5EF4-FFF2-40B4-BE49-F238E27FC236}">
              <a16:creationId xmlns:a16="http://schemas.microsoft.com/office/drawing/2014/main" id="{D12726E0-93F6-4165-BAC8-726CAC57441A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1144</xdr:row>
      <xdr:rowOff>0</xdr:rowOff>
    </xdr:from>
    <xdr:ext cx="123825" cy="238125"/>
    <xdr:sp macro="" textlink="">
      <xdr:nvSpPr>
        <xdr:cNvPr id="79" name="Text Box 2">
          <a:extLst>
            <a:ext uri="{FF2B5EF4-FFF2-40B4-BE49-F238E27FC236}">
              <a16:creationId xmlns:a16="http://schemas.microsoft.com/office/drawing/2014/main" id="{91C6EBA3-8C39-4E4D-936A-E9D2A79541F6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1144</xdr:row>
      <xdr:rowOff>0</xdr:rowOff>
    </xdr:from>
    <xdr:ext cx="123825" cy="238125"/>
    <xdr:sp macro="" textlink="">
      <xdr:nvSpPr>
        <xdr:cNvPr id="80" name="Text Box 2">
          <a:extLst>
            <a:ext uri="{FF2B5EF4-FFF2-40B4-BE49-F238E27FC236}">
              <a16:creationId xmlns:a16="http://schemas.microsoft.com/office/drawing/2014/main" id="{DAF5D7A8-BDE9-4D43-9F84-F9CC0206A790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1144</xdr:row>
      <xdr:rowOff>0</xdr:rowOff>
    </xdr:from>
    <xdr:ext cx="123825" cy="238125"/>
    <xdr:sp macro="" textlink="">
      <xdr:nvSpPr>
        <xdr:cNvPr id="81" name="Text Box 2">
          <a:extLst>
            <a:ext uri="{FF2B5EF4-FFF2-40B4-BE49-F238E27FC236}">
              <a16:creationId xmlns:a16="http://schemas.microsoft.com/office/drawing/2014/main" id="{3E4A5260-5B63-484C-8373-7EFBBE0A6988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1158</xdr:row>
      <xdr:rowOff>0</xdr:rowOff>
    </xdr:from>
    <xdr:ext cx="123825" cy="238125"/>
    <xdr:sp macro="" textlink="">
      <xdr:nvSpPr>
        <xdr:cNvPr id="82" name="Text Box 2">
          <a:extLst>
            <a:ext uri="{FF2B5EF4-FFF2-40B4-BE49-F238E27FC236}">
              <a16:creationId xmlns:a16="http://schemas.microsoft.com/office/drawing/2014/main" id="{E1618067-ECBA-41A2-8984-920AF40879AA}"/>
            </a:ext>
          </a:extLst>
        </xdr:cNvPr>
        <xdr:cNvSpPr txBox="1">
          <a:spLocks noChangeArrowheads="1"/>
        </xdr:cNvSpPr>
      </xdr:nvSpPr>
      <xdr:spPr bwMode="auto">
        <a:xfrm>
          <a:off x="2247900" y="44119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1158</xdr:row>
      <xdr:rowOff>0</xdr:rowOff>
    </xdr:from>
    <xdr:ext cx="123825" cy="238125"/>
    <xdr:sp macro="" textlink="">
      <xdr:nvSpPr>
        <xdr:cNvPr id="83" name="Text Box 2">
          <a:extLst>
            <a:ext uri="{FF2B5EF4-FFF2-40B4-BE49-F238E27FC236}">
              <a16:creationId xmlns:a16="http://schemas.microsoft.com/office/drawing/2014/main" id="{C74FA96C-DD75-4D7C-A524-BF94F2995006}"/>
            </a:ext>
          </a:extLst>
        </xdr:cNvPr>
        <xdr:cNvSpPr txBox="1">
          <a:spLocks noChangeArrowheads="1"/>
        </xdr:cNvSpPr>
      </xdr:nvSpPr>
      <xdr:spPr bwMode="auto">
        <a:xfrm>
          <a:off x="2247900" y="44119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1158</xdr:row>
      <xdr:rowOff>0</xdr:rowOff>
    </xdr:from>
    <xdr:ext cx="123825" cy="238125"/>
    <xdr:sp macro="" textlink="">
      <xdr:nvSpPr>
        <xdr:cNvPr id="84" name="Text Box 2">
          <a:extLst>
            <a:ext uri="{FF2B5EF4-FFF2-40B4-BE49-F238E27FC236}">
              <a16:creationId xmlns:a16="http://schemas.microsoft.com/office/drawing/2014/main" id="{1FDFF010-FCBE-4C13-82D9-C8B373C0E74C}"/>
            </a:ext>
          </a:extLst>
        </xdr:cNvPr>
        <xdr:cNvSpPr txBox="1">
          <a:spLocks noChangeArrowheads="1"/>
        </xdr:cNvSpPr>
      </xdr:nvSpPr>
      <xdr:spPr bwMode="auto">
        <a:xfrm>
          <a:off x="2247900" y="44119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1158</xdr:row>
      <xdr:rowOff>0</xdr:rowOff>
    </xdr:from>
    <xdr:ext cx="123825" cy="238125"/>
    <xdr:sp macro="" textlink="">
      <xdr:nvSpPr>
        <xdr:cNvPr id="85" name="Text Box 2">
          <a:extLst>
            <a:ext uri="{FF2B5EF4-FFF2-40B4-BE49-F238E27FC236}">
              <a16:creationId xmlns:a16="http://schemas.microsoft.com/office/drawing/2014/main" id="{F572D7F3-4A70-46B6-B1C7-A03095E8196A}"/>
            </a:ext>
          </a:extLst>
        </xdr:cNvPr>
        <xdr:cNvSpPr txBox="1">
          <a:spLocks noChangeArrowheads="1"/>
        </xdr:cNvSpPr>
      </xdr:nvSpPr>
      <xdr:spPr bwMode="auto">
        <a:xfrm>
          <a:off x="2247900" y="44119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1103</xdr:row>
      <xdr:rowOff>0</xdr:rowOff>
    </xdr:from>
    <xdr:to>
      <xdr:col>2</xdr:col>
      <xdr:colOff>387350</xdr:colOff>
      <xdr:row>1105</xdr:row>
      <xdr:rowOff>87373</xdr:rowOff>
    </xdr:to>
    <xdr:sp macro="" textlink="">
      <xdr:nvSpPr>
        <xdr:cNvPr id="86" name="Text Box 2">
          <a:extLst>
            <a:ext uri="{FF2B5EF4-FFF2-40B4-BE49-F238E27FC236}">
              <a16:creationId xmlns:a16="http://schemas.microsoft.com/office/drawing/2014/main" id="{A37A3D19-FD73-4AAC-BC68-161E73AF88E2}"/>
            </a:ext>
          </a:extLst>
        </xdr:cNvPr>
        <xdr:cNvSpPr txBox="1">
          <a:spLocks noChangeArrowheads="1"/>
        </xdr:cNvSpPr>
      </xdr:nvSpPr>
      <xdr:spPr bwMode="auto">
        <a:xfrm>
          <a:off x="2247900" y="420243000"/>
          <a:ext cx="120650" cy="849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1103</xdr:row>
      <xdr:rowOff>0</xdr:rowOff>
    </xdr:from>
    <xdr:to>
      <xdr:col>2</xdr:col>
      <xdr:colOff>387350</xdr:colOff>
      <xdr:row>1105</xdr:row>
      <xdr:rowOff>87373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716E278D-CCFF-47F7-B3FB-7FC32F66B906}"/>
            </a:ext>
          </a:extLst>
        </xdr:cNvPr>
        <xdr:cNvSpPr txBox="1">
          <a:spLocks noChangeArrowheads="1"/>
        </xdr:cNvSpPr>
      </xdr:nvSpPr>
      <xdr:spPr bwMode="auto">
        <a:xfrm>
          <a:off x="2247900" y="420243000"/>
          <a:ext cx="120650" cy="849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1103</xdr:row>
      <xdr:rowOff>0</xdr:rowOff>
    </xdr:from>
    <xdr:to>
      <xdr:col>2</xdr:col>
      <xdr:colOff>387350</xdr:colOff>
      <xdr:row>1105</xdr:row>
      <xdr:rowOff>87373</xdr:rowOff>
    </xdr:to>
    <xdr:sp macro="" textlink="">
      <xdr:nvSpPr>
        <xdr:cNvPr id="88" name="Text Box 2">
          <a:extLst>
            <a:ext uri="{FF2B5EF4-FFF2-40B4-BE49-F238E27FC236}">
              <a16:creationId xmlns:a16="http://schemas.microsoft.com/office/drawing/2014/main" id="{4FD459D6-968F-441A-A504-FD0AC6E496EE}"/>
            </a:ext>
          </a:extLst>
        </xdr:cNvPr>
        <xdr:cNvSpPr txBox="1">
          <a:spLocks noChangeArrowheads="1"/>
        </xdr:cNvSpPr>
      </xdr:nvSpPr>
      <xdr:spPr bwMode="auto">
        <a:xfrm>
          <a:off x="2247900" y="420243000"/>
          <a:ext cx="120650" cy="849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1103</xdr:row>
      <xdr:rowOff>0</xdr:rowOff>
    </xdr:from>
    <xdr:to>
      <xdr:col>2</xdr:col>
      <xdr:colOff>387350</xdr:colOff>
      <xdr:row>1105</xdr:row>
      <xdr:rowOff>87373</xdr:rowOff>
    </xdr:to>
    <xdr:sp macro="" textlink="">
      <xdr:nvSpPr>
        <xdr:cNvPr id="89" name="Text Box 2">
          <a:extLst>
            <a:ext uri="{FF2B5EF4-FFF2-40B4-BE49-F238E27FC236}">
              <a16:creationId xmlns:a16="http://schemas.microsoft.com/office/drawing/2014/main" id="{85A163A6-5936-433B-BF71-4622DF48B2CB}"/>
            </a:ext>
          </a:extLst>
        </xdr:cNvPr>
        <xdr:cNvSpPr txBox="1">
          <a:spLocks noChangeArrowheads="1"/>
        </xdr:cNvSpPr>
      </xdr:nvSpPr>
      <xdr:spPr bwMode="auto">
        <a:xfrm>
          <a:off x="2247900" y="420243000"/>
          <a:ext cx="120650" cy="849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1083</xdr:row>
      <xdr:rowOff>0</xdr:rowOff>
    </xdr:from>
    <xdr:to>
      <xdr:col>2</xdr:col>
      <xdr:colOff>387350</xdr:colOff>
      <xdr:row>1100</xdr:row>
      <xdr:rowOff>120796</xdr:rowOff>
    </xdr:to>
    <xdr:sp macro="" textlink="">
      <xdr:nvSpPr>
        <xdr:cNvPr id="90" name="Text Box 2">
          <a:extLst>
            <a:ext uri="{FF2B5EF4-FFF2-40B4-BE49-F238E27FC236}">
              <a16:creationId xmlns:a16="http://schemas.microsoft.com/office/drawing/2014/main" id="{6E529DBF-6047-4BCC-B8DA-E5A0A1B967DE}"/>
            </a:ext>
          </a:extLst>
        </xdr:cNvPr>
        <xdr:cNvSpPr txBox="1">
          <a:spLocks noChangeArrowheads="1"/>
        </xdr:cNvSpPr>
      </xdr:nvSpPr>
      <xdr:spPr bwMode="auto">
        <a:xfrm>
          <a:off x="2247900" y="412623000"/>
          <a:ext cx="120650" cy="6597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1083</xdr:row>
      <xdr:rowOff>0</xdr:rowOff>
    </xdr:from>
    <xdr:to>
      <xdr:col>2</xdr:col>
      <xdr:colOff>387350</xdr:colOff>
      <xdr:row>1100</xdr:row>
      <xdr:rowOff>120796</xdr:rowOff>
    </xdr:to>
    <xdr:sp macro="" textlink="">
      <xdr:nvSpPr>
        <xdr:cNvPr id="91" name="Text Box 2">
          <a:extLst>
            <a:ext uri="{FF2B5EF4-FFF2-40B4-BE49-F238E27FC236}">
              <a16:creationId xmlns:a16="http://schemas.microsoft.com/office/drawing/2014/main" id="{1A779AC2-3053-4BCC-85E3-26F6C055EE26}"/>
            </a:ext>
          </a:extLst>
        </xdr:cNvPr>
        <xdr:cNvSpPr txBox="1">
          <a:spLocks noChangeArrowheads="1"/>
        </xdr:cNvSpPr>
      </xdr:nvSpPr>
      <xdr:spPr bwMode="auto">
        <a:xfrm>
          <a:off x="2247900" y="412623000"/>
          <a:ext cx="120650" cy="6597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1083</xdr:row>
      <xdr:rowOff>0</xdr:rowOff>
    </xdr:from>
    <xdr:to>
      <xdr:col>2</xdr:col>
      <xdr:colOff>387350</xdr:colOff>
      <xdr:row>1100</xdr:row>
      <xdr:rowOff>120796</xdr:rowOff>
    </xdr:to>
    <xdr:sp macro="" textlink="">
      <xdr:nvSpPr>
        <xdr:cNvPr id="92" name="Text Box 2">
          <a:extLst>
            <a:ext uri="{FF2B5EF4-FFF2-40B4-BE49-F238E27FC236}">
              <a16:creationId xmlns:a16="http://schemas.microsoft.com/office/drawing/2014/main" id="{087169C1-000E-428A-91C1-FB8ED66089E0}"/>
            </a:ext>
          </a:extLst>
        </xdr:cNvPr>
        <xdr:cNvSpPr txBox="1">
          <a:spLocks noChangeArrowheads="1"/>
        </xdr:cNvSpPr>
      </xdr:nvSpPr>
      <xdr:spPr bwMode="auto">
        <a:xfrm>
          <a:off x="2247900" y="412623000"/>
          <a:ext cx="120650" cy="6597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1083</xdr:row>
      <xdr:rowOff>0</xdr:rowOff>
    </xdr:from>
    <xdr:to>
      <xdr:col>2</xdr:col>
      <xdr:colOff>387350</xdr:colOff>
      <xdr:row>1100</xdr:row>
      <xdr:rowOff>120796</xdr:rowOff>
    </xdr:to>
    <xdr:sp macro="" textlink="">
      <xdr:nvSpPr>
        <xdr:cNvPr id="93" name="Text Box 2">
          <a:extLst>
            <a:ext uri="{FF2B5EF4-FFF2-40B4-BE49-F238E27FC236}">
              <a16:creationId xmlns:a16="http://schemas.microsoft.com/office/drawing/2014/main" id="{E94EEBF5-8366-4206-A1C1-9BAFA3C17D8B}"/>
            </a:ext>
          </a:extLst>
        </xdr:cNvPr>
        <xdr:cNvSpPr txBox="1">
          <a:spLocks noChangeArrowheads="1"/>
        </xdr:cNvSpPr>
      </xdr:nvSpPr>
      <xdr:spPr bwMode="auto">
        <a:xfrm>
          <a:off x="2247900" y="412623000"/>
          <a:ext cx="120650" cy="6597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1148</xdr:row>
      <xdr:rowOff>0</xdr:rowOff>
    </xdr:from>
    <xdr:ext cx="123825" cy="238125"/>
    <xdr:sp macro="" textlink="">
      <xdr:nvSpPr>
        <xdr:cNvPr id="94" name="Text Box 2">
          <a:extLst>
            <a:ext uri="{FF2B5EF4-FFF2-40B4-BE49-F238E27FC236}">
              <a16:creationId xmlns:a16="http://schemas.microsoft.com/office/drawing/2014/main" id="{E5DD195D-0220-4C1F-BE32-8DD3D98AC1A3}"/>
            </a:ext>
          </a:extLst>
        </xdr:cNvPr>
        <xdr:cNvSpPr txBox="1">
          <a:spLocks noChangeArrowheads="1"/>
        </xdr:cNvSpPr>
      </xdr:nvSpPr>
      <xdr:spPr bwMode="auto">
        <a:xfrm>
          <a:off x="2247900" y="43738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1148</xdr:row>
      <xdr:rowOff>0</xdr:rowOff>
    </xdr:from>
    <xdr:ext cx="123825" cy="238125"/>
    <xdr:sp macro="" textlink="">
      <xdr:nvSpPr>
        <xdr:cNvPr id="95" name="Text Box 2">
          <a:extLst>
            <a:ext uri="{FF2B5EF4-FFF2-40B4-BE49-F238E27FC236}">
              <a16:creationId xmlns:a16="http://schemas.microsoft.com/office/drawing/2014/main" id="{D1CC4C23-B1AC-4424-AC53-1762343F9510}"/>
            </a:ext>
          </a:extLst>
        </xdr:cNvPr>
        <xdr:cNvSpPr txBox="1">
          <a:spLocks noChangeArrowheads="1"/>
        </xdr:cNvSpPr>
      </xdr:nvSpPr>
      <xdr:spPr bwMode="auto">
        <a:xfrm>
          <a:off x="2247900" y="43738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1148</xdr:row>
      <xdr:rowOff>0</xdr:rowOff>
    </xdr:from>
    <xdr:ext cx="123825" cy="238125"/>
    <xdr:sp macro="" textlink="">
      <xdr:nvSpPr>
        <xdr:cNvPr id="96" name="Text Box 2">
          <a:extLst>
            <a:ext uri="{FF2B5EF4-FFF2-40B4-BE49-F238E27FC236}">
              <a16:creationId xmlns:a16="http://schemas.microsoft.com/office/drawing/2014/main" id="{32EBABE4-11E9-42BA-9A0C-768A76F9745A}"/>
            </a:ext>
          </a:extLst>
        </xdr:cNvPr>
        <xdr:cNvSpPr txBox="1">
          <a:spLocks noChangeArrowheads="1"/>
        </xdr:cNvSpPr>
      </xdr:nvSpPr>
      <xdr:spPr bwMode="auto">
        <a:xfrm>
          <a:off x="2247900" y="43738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1148</xdr:row>
      <xdr:rowOff>0</xdr:rowOff>
    </xdr:from>
    <xdr:ext cx="123825" cy="238125"/>
    <xdr:sp macro="" textlink="">
      <xdr:nvSpPr>
        <xdr:cNvPr id="97" name="Text Box 2">
          <a:extLst>
            <a:ext uri="{FF2B5EF4-FFF2-40B4-BE49-F238E27FC236}">
              <a16:creationId xmlns:a16="http://schemas.microsoft.com/office/drawing/2014/main" id="{2A8A92A3-4710-4F10-BAFD-6805ECCE6A5F}"/>
            </a:ext>
          </a:extLst>
        </xdr:cNvPr>
        <xdr:cNvSpPr txBox="1">
          <a:spLocks noChangeArrowheads="1"/>
        </xdr:cNvSpPr>
      </xdr:nvSpPr>
      <xdr:spPr bwMode="auto">
        <a:xfrm>
          <a:off x="2247900" y="43738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303</xdr:row>
      <xdr:rowOff>0</xdr:rowOff>
    </xdr:from>
    <xdr:ext cx="123825" cy="238125"/>
    <xdr:sp macro="" textlink="">
      <xdr:nvSpPr>
        <xdr:cNvPr id="98" name="Text Box 2">
          <a:extLst>
            <a:ext uri="{FF2B5EF4-FFF2-40B4-BE49-F238E27FC236}">
              <a16:creationId xmlns:a16="http://schemas.microsoft.com/office/drawing/2014/main" id="{00FD0E0D-E319-4C02-A8DD-9C87B4285D36}"/>
            </a:ext>
          </a:extLst>
        </xdr:cNvPr>
        <xdr:cNvSpPr txBox="1">
          <a:spLocks noChangeArrowheads="1"/>
        </xdr:cNvSpPr>
      </xdr:nvSpPr>
      <xdr:spPr bwMode="auto">
        <a:xfrm>
          <a:off x="2247900" y="11544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303</xdr:row>
      <xdr:rowOff>0</xdr:rowOff>
    </xdr:from>
    <xdr:ext cx="123825" cy="238125"/>
    <xdr:sp macro="" textlink="">
      <xdr:nvSpPr>
        <xdr:cNvPr id="99" name="Text Box 2">
          <a:extLst>
            <a:ext uri="{FF2B5EF4-FFF2-40B4-BE49-F238E27FC236}">
              <a16:creationId xmlns:a16="http://schemas.microsoft.com/office/drawing/2014/main" id="{4737EA5C-498F-47AB-A474-4E6F1160FCD3}"/>
            </a:ext>
          </a:extLst>
        </xdr:cNvPr>
        <xdr:cNvSpPr txBox="1">
          <a:spLocks noChangeArrowheads="1"/>
        </xdr:cNvSpPr>
      </xdr:nvSpPr>
      <xdr:spPr bwMode="auto">
        <a:xfrm>
          <a:off x="2247900" y="11544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303</xdr:row>
      <xdr:rowOff>0</xdr:rowOff>
    </xdr:from>
    <xdr:ext cx="123825" cy="238125"/>
    <xdr:sp macro="" textlink="">
      <xdr:nvSpPr>
        <xdr:cNvPr id="100" name="Text Box 2">
          <a:extLst>
            <a:ext uri="{FF2B5EF4-FFF2-40B4-BE49-F238E27FC236}">
              <a16:creationId xmlns:a16="http://schemas.microsoft.com/office/drawing/2014/main" id="{A50D3922-514B-4FB5-A1A7-7B07FF39EA7F}"/>
            </a:ext>
          </a:extLst>
        </xdr:cNvPr>
        <xdr:cNvSpPr txBox="1">
          <a:spLocks noChangeArrowheads="1"/>
        </xdr:cNvSpPr>
      </xdr:nvSpPr>
      <xdr:spPr bwMode="auto">
        <a:xfrm>
          <a:off x="2247900" y="11544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303</xdr:row>
      <xdr:rowOff>0</xdr:rowOff>
    </xdr:from>
    <xdr:ext cx="123825" cy="238125"/>
    <xdr:sp macro="" textlink="">
      <xdr:nvSpPr>
        <xdr:cNvPr id="101" name="Text Box 2">
          <a:extLst>
            <a:ext uri="{FF2B5EF4-FFF2-40B4-BE49-F238E27FC236}">
              <a16:creationId xmlns:a16="http://schemas.microsoft.com/office/drawing/2014/main" id="{46434294-6307-4786-BB75-7A59817D0740}"/>
            </a:ext>
          </a:extLst>
        </xdr:cNvPr>
        <xdr:cNvSpPr txBox="1">
          <a:spLocks noChangeArrowheads="1"/>
        </xdr:cNvSpPr>
      </xdr:nvSpPr>
      <xdr:spPr bwMode="auto">
        <a:xfrm>
          <a:off x="2247900" y="11544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248</xdr:row>
      <xdr:rowOff>0</xdr:rowOff>
    </xdr:from>
    <xdr:to>
      <xdr:col>2</xdr:col>
      <xdr:colOff>387350</xdr:colOff>
      <xdr:row>253</xdr:row>
      <xdr:rowOff>268348</xdr:rowOff>
    </xdr:to>
    <xdr:sp macro="" textlink="">
      <xdr:nvSpPr>
        <xdr:cNvPr id="102" name="Text Box 2">
          <a:extLst>
            <a:ext uri="{FF2B5EF4-FFF2-40B4-BE49-F238E27FC236}">
              <a16:creationId xmlns:a16="http://schemas.microsoft.com/office/drawing/2014/main" id="{57A711BD-4AC5-4F1D-B622-AE1295B9AD81}"/>
            </a:ext>
          </a:extLst>
        </xdr:cNvPr>
        <xdr:cNvSpPr txBox="1">
          <a:spLocks noChangeArrowheads="1"/>
        </xdr:cNvSpPr>
      </xdr:nvSpPr>
      <xdr:spPr bwMode="auto">
        <a:xfrm>
          <a:off x="2247900" y="94488000"/>
          <a:ext cx="120650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248</xdr:row>
      <xdr:rowOff>0</xdr:rowOff>
    </xdr:from>
    <xdr:to>
      <xdr:col>2</xdr:col>
      <xdr:colOff>387350</xdr:colOff>
      <xdr:row>253</xdr:row>
      <xdr:rowOff>268348</xdr:rowOff>
    </xdr:to>
    <xdr:sp macro="" textlink="">
      <xdr:nvSpPr>
        <xdr:cNvPr id="103" name="Text Box 2">
          <a:extLst>
            <a:ext uri="{FF2B5EF4-FFF2-40B4-BE49-F238E27FC236}">
              <a16:creationId xmlns:a16="http://schemas.microsoft.com/office/drawing/2014/main" id="{5BB3E145-9B18-4189-93BB-A6329BEA0313}"/>
            </a:ext>
          </a:extLst>
        </xdr:cNvPr>
        <xdr:cNvSpPr txBox="1">
          <a:spLocks noChangeArrowheads="1"/>
        </xdr:cNvSpPr>
      </xdr:nvSpPr>
      <xdr:spPr bwMode="auto">
        <a:xfrm>
          <a:off x="2247900" y="94488000"/>
          <a:ext cx="120650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248</xdr:row>
      <xdr:rowOff>0</xdr:rowOff>
    </xdr:from>
    <xdr:to>
      <xdr:col>2</xdr:col>
      <xdr:colOff>387350</xdr:colOff>
      <xdr:row>253</xdr:row>
      <xdr:rowOff>268348</xdr:rowOff>
    </xdr:to>
    <xdr:sp macro="" textlink="">
      <xdr:nvSpPr>
        <xdr:cNvPr id="104" name="Text Box 2">
          <a:extLst>
            <a:ext uri="{FF2B5EF4-FFF2-40B4-BE49-F238E27FC236}">
              <a16:creationId xmlns:a16="http://schemas.microsoft.com/office/drawing/2014/main" id="{E0A9544A-7678-4A02-B4DC-11EE54C61FAF}"/>
            </a:ext>
          </a:extLst>
        </xdr:cNvPr>
        <xdr:cNvSpPr txBox="1">
          <a:spLocks noChangeArrowheads="1"/>
        </xdr:cNvSpPr>
      </xdr:nvSpPr>
      <xdr:spPr bwMode="auto">
        <a:xfrm>
          <a:off x="2247900" y="94488000"/>
          <a:ext cx="120650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248</xdr:row>
      <xdr:rowOff>0</xdr:rowOff>
    </xdr:from>
    <xdr:to>
      <xdr:col>2</xdr:col>
      <xdr:colOff>387350</xdr:colOff>
      <xdr:row>253</xdr:row>
      <xdr:rowOff>268348</xdr:rowOff>
    </xdr:to>
    <xdr:sp macro="" textlink="">
      <xdr:nvSpPr>
        <xdr:cNvPr id="105" name="Text Box 2">
          <a:extLst>
            <a:ext uri="{FF2B5EF4-FFF2-40B4-BE49-F238E27FC236}">
              <a16:creationId xmlns:a16="http://schemas.microsoft.com/office/drawing/2014/main" id="{15288621-2960-4F92-BC09-79313F547613}"/>
            </a:ext>
          </a:extLst>
        </xdr:cNvPr>
        <xdr:cNvSpPr txBox="1">
          <a:spLocks noChangeArrowheads="1"/>
        </xdr:cNvSpPr>
      </xdr:nvSpPr>
      <xdr:spPr bwMode="auto">
        <a:xfrm>
          <a:off x="2247900" y="94488000"/>
          <a:ext cx="120650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229</xdr:row>
      <xdr:rowOff>0</xdr:rowOff>
    </xdr:from>
    <xdr:to>
      <xdr:col>2</xdr:col>
      <xdr:colOff>387350</xdr:colOff>
      <xdr:row>238</xdr:row>
      <xdr:rowOff>235095</xdr:rowOff>
    </xdr:to>
    <xdr:sp macro="" textlink="">
      <xdr:nvSpPr>
        <xdr:cNvPr id="106" name="Text Box 2">
          <a:extLst>
            <a:ext uri="{FF2B5EF4-FFF2-40B4-BE49-F238E27FC236}">
              <a16:creationId xmlns:a16="http://schemas.microsoft.com/office/drawing/2014/main" id="{68C3377E-08DF-4833-B9D9-881C4D98C496}"/>
            </a:ext>
          </a:extLst>
        </xdr:cNvPr>
        <xdr:cNvSpPr txBox="1">
          <a:spLocks noChangeArrowheads="1"/>
        </xdr:cNvSpPr>
      </xdr:nvSpPr>
      <xdr:spPr bwMode="auto">
        <a:xfrm>
          <a:off x="2247900" y="87249000"/>
          <a:ext cx="120650" cy="3664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229</xdr:row>
      <xdr:rowOff>0</xdr:rowOff>
    </xdr:from>
    <xdr:to>
      <xdr:col>2</xdr:col>
      <xdr:colOff>387350</xdr:colOff>
      <xdr:row>238</xdr:row>
      <xdr:rowOff>235095</xdr:rowOff>
    </xdr:to>
    <xdr:sp macro="" textlink="">
      <xdr:nvSpPr>
        <xdr:cNvPr id="107" name="Text Box 2">
          <a:extLst>
            <a:ext uri="{FF2B5EF4-FFF2-40B4-BE49-F238E27FC236}">
              <a16:creationId xmlns:a16="http://schemas.microsoft.com/office/drawing/2014/main" id="{16038B98-C83F-4EC0-A025-21AEEDBC07C6}"/>
            </a:ext>
          </a:extLst>
        </xdr:cNvPr>
        <xdr:cNvSpPr txBox="1">
          <a:spLocks noChangeArrowheads="1"/>
        </xdr:cNvSpPr>
      </xdr:nvSpPr>
      <xdr:spPr bwMode="auto">
        <a:xfrm>
          <a:off x="2247900" y="87249000"/>
          <a:ext cx="120650" cy="3664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229</xdr:row>
      <xdr:rowOff>0</xdr:rowOff>
    </xdr:from>
    <xdr:to>
      <xdr:col>2</xdr:col>
      <xdr:colOff>387350</xdr:colOff>
      <xdr:row>238</xdr:row>
      <xdr:rowOff>235095</xdr:rowOff>
    </xdr:to>
    <xdr:sp macro="" textlink="">
      <xdr:nvSpPr>
        <xdr:cNvPr id="108" name="Text Box 2">
          <a:extLst>
            <a:ext uri="{FF2B5EF4-FFF2-40B4-BE49-F238E27FC236}">
              <a16:creationId xmlns:a16="http://schemas.microsoft.com/office/drawing/2014/main" id="{54EB7473-128B-4DDB-8DD7-5F319DAAA1BD}"/>
            </a:ext>
          </a:extLst>
        </xdr:cNvPr>
        <xdr:cNvSpPr txBox="1">
          <a:spLocks noChangeArrowheads="1"/>
        </xdr:cNvSpPr>
      </xdr:nvSpPr>
      <xdr:spPr bwMode="auto">
        <a:xfrm>
          <a:off x="2247900" y="87249000"/>
          <a:ext cx="120650" cy="3664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229</xdr:row>
      <xdr:rowOff>0</xdr:rowOff>
    </xdr:from>
    <xdr:to>
      <xdr:col>2</xdr:col>
      <xdr:colOff>387350</xdr:colOff>
      <xdr:row>238</xdr:row>
      <xdr:rowOff>235095</xdr:rowOff>
    </xdr:to>
    <xdr:sp macro="" textlink="">
      <xdr:nvSpPr>
        <xdr:cNvPr id="109" name="Text Box 2">
          <a:extLst>
            <a:ext uri="{FF2B5EF4-FFF2-40B4-BE49-F238E27FC236}">
              <a16:creationId xmlns:a16="http://schemas.microsoft.com/office/drawing/2014/main" id="{88A707B3-1E5F-4B37-8356-30A1CB926AEA}"/>
            </a:ext>
          </a:extLst>
        </xdr:cNvPr>
        <xdr:cNvSpPr txBox="1">
          <a:spLocks noChangeArrowheads="1"/>
        </xdr:cNvSpPr>
      </xdr:nvSpPr>
      <xdr:spPr bwMode="auto">
        <a:xfrm>
          <a:off x="2247900" y="87249000"/>
          <a:ext cx="120650" cy="3664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294</xdr:row>
      <xdr:rowOff>0</xdr:rowOff>
    </xdr:from>
    <xdr:ext cx="123825" cy="238125"/>
    <xdr:sp macro="" textlink="">
      <xdr:nvSpPr>
        <xdr:cNvPr id="110" name="Text Box 2">
          <a:extLst>
            <a:ext uri="{FF2B5EF4-FFF2-40B4-BE49-F238E27FC236}">
              <a16:creationId xmlns:a16="http://schemas.microsoft.com/office/drawing/2014/main" id="{57E4D721-BBFC-42F3-8C10-B96032683EDE}"/>
            </a:ext>
          </a:extLst>
        </xdr:cNvPr>
        <xdr:cNvSpPr txBox="1">
          <a:spLocks noChangeArrowheads="1"/>
        </xdr:cNvSpPr>
      </xdr:nvSpPr>
      <xdr:spPr bwMode="auto">
        <a:xfrm>
          <a:off x="2247900" y="11201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294</xdr:row>
      <xdr:rowOff>0</xdr:rowOff>
    </xdr:from>
    <xdr:ext cx="123825" cy="238125"/>
    <xdr:sp macro="" textlink="">
      <xdr:nvSpPr>
        <xdr:cNvPr id="111" name="Text Box 2">
          <a:extLst>
            <a:ext uri="{FF2B5EF4-FFF2-40B4-BE49-F238E27FC236}">
              <a16:creationId xmlns:a16="http://schemas.microsoft.com/office/drawing/2014/main" id="{1021316E-4BE3-410D-969E-D2D510633AF1}"/>
            </a:ext>
          </a:extLst>
        </xdr:cNvPr>
        <xdr:cNvSpPr txBox="1">
          <a:spLocks noChangeArrowheads="1"/>
        </xdr:cNvSpPr>
      </xdr:nvSpPr>
      <xdr:spPr bwMode="auto">
        <a:xfrm>
          <a:off x="2247900" y="11201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294</xdr:row>
      <xdr:rowOff>0</xdr:rowOff>
    </xdr:from>
    <xdr:ext cx="123825" cy="238125"/>
    <xdr:sp macro="" textlink="">
      <xdr:nvSpPr>
        <xdr:cNvPr id="112" name="Text Box 2">
          <a:extLst>
            <a:ext uri="{FF2B5EF4-FFF2-40B4-BE49-F238E27FC236}">
              <a16:creationId xmlns:a16="http://schemas.microsoft.com/office/drawing/2014/main" id="{03C40282-9427-4186-9321-9D1328682265}"/>
            </a:ext>
          </a:extLst>
        </xdr:cNvPr>
        <xdr:cNvSpPr txBox="1">
          <a:spLocks noChangeArrowheads="1"/>
        </xdr:cNvSpPr>
      </xdr:nvSpPr>
      <xdr:spPr bwMode="auto">
        <a:xfrm>
          <a:off x="2247900" y="11201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294</xdr:row>
      <xdr:rowOff>0</xdr:rowOff>
    </xdr:from>
    <xdr:ext cx="123825" cy="238125"/>
    <xdr:sp macro="" textlink="">
      <xdr:nvSpPr>
        <xdr:cNvPr id="113" name="Text Box 2">
          <a:extLst>
            <a:ext uri="{FF2B5EF4-FFF2-40B4-BE49-F238E27FC236}">
              <a16:creationId xmlns:a16="http://schemas.microsoft.com/office/drawing/2014/main" id="{0580A229-6C0B-49B8-A24B-E8B9401A29C3}"/>
            </a:ext>
          </a:extLst>
        </xdr:cNvPr>
        <xdr:cNvSpPr txBox="1">
          <a:spLocks noChangeArrowheads="1"/>
        </xdr:cNvSpPr>
      </xdr:nvSpPr>
      <xdr:spPr bwMode="auto">
        <a:xfrm>
          <a:off x="2247900" y="11201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1153</xdr:row>
      <xdr:rowOff>0</xdr:rowOff>
    </xdr:from>
    <xdr:ext cx="123825" cy="238125"/>
    <xdr:sp macro="" textlink="">
      <xdr:nvSpPr>
        <xdr:cNvPr id="114" name="Text Box 2">
          <a:extLst>
            <a:ext uri="{FF2B5EF4-FFF2-40B4-BE49-F238E27FC236}">
              <a16:creationId xmlns:a16="http://schemas.microsoft.com/office/drawing/2014/main" id="{9FD423BB-E4D2-47E2-A224-B2F1A0AF2771}"/>
            </a:ext>
          </a:extLst>
        </xdr:cNvPr>
        <xdr:cNvSpPr txBox="1">
          <a:spLocks noChangeArrowheads="1"/>
        </xdr:cNvSpPr>
      </xdr:nvSpPr>
      <xdr:spPr bwMode="auto">
        <a:xfrm>
          <a:off x="2247900" y="43929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1153</xdr:row>
      <xdr:rowOff>0</xdr:rowOff>
    </xdr:from>
    <xdr:ext cx="123825" cy="238125"/>
    <xdr:sp macro="" textlink="">
      <xdr:nvSpPr>
        <xdr:cNvPr id="115" name="Text Box 2">
          <a:extLst>
            <a:ext uri="{FF2B5EF4-FFF2-40B4-BE49-F238E27FC236}">
              <a16:creationId xmlns:a16="http://schemas.microsoft.com/office/drawing/2014/main" id="{88449C68-9FA9-49A4-8704-4C155077FC86}"/>
            </a:ext>
          </a:extLst>
        </xdr:cNvPr>
        <xdr:cNvSpPr txBox="1">
          <a:spLocks noChangeArrowheads="1"/>
        </xdr:cNvSpPr>
      </xdr:nvSpPr>
      <xdr:spPr bwMode="auto">
        <a:xfrm>
          <a:off x="2247900" y="43929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1153</xdr:row>
      <xdr:rowOff>0</xdr:rowOff>
    </xdr:from>
    <xdr:ext cx="123825" cy="238125"/>
    <xdr:sp macro="" textlink="">
      <xdr:nvSpPr>
        <xdr:cNvPr id="116" name="Text Box 2">
          <a:extLst>
            <a:ext uri="{FF2B5EF4-FFF2-40B4-BE49-F238E27FC236}">
              <a16:creationId xmlns:a16="http://schemas.microsoft.com/office/drawing/2014/main" id="{B0801026-3371-4EF2-98B9-45AD45660699}"/>
            </a:ext>
          </a:extLst>
        </xdr:cNvPr>
        <xdr:cNvSpPr txBox="1">
          <a:spLocks noChangeArrowheads="1"/>
        </xdr:cNvSpPr>
      </xdr:nvSpPr>
      <xdr:spPr bwMode="auto">
        <a:xfrm>
          <a:off x="2247900" y="43929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1153</xdr:row>
      <xdr:rowOff>0</xdr:rowOff>
    </xdr:from>
    <xdr:ext cx="123825" cy="238125"/>
    <xdr:sp macro="" textlink="">
      <xdr:nvSpPr>
        <xdr:cNvPr id="117" name="Text Box 2">
          <a:extLst>
            <a:ext uri="{FF2B5EF4-FFF2-40B4-BE49-F238E27FC236}">
              <a16:creationId xmlns:a16="http://schemas.microsoft.com/office/drawing/2014/main" id="{5E043B0E-144D-4985-9B9E-5D29D70C42A9}"/>
            </a:ext>
          </a:extLst>
        </xdr:cNvPr>
        <xdr:cNvSpPr txBox="1">
          <a:spLocks noChangeArrowheads="1"/>
        </xdr:cNvSpPr>
      </xdr:nvSpPr>
      <xdr:spPr bwMode="auto">
        <a:xfrm>
          <a:off x="2247900" y="43929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1099</xdr:row>
      <xdr:rowOff>0</xdr:rowOff>
    </xdr:from>
    <xdr:to>
      <xdr:col>2</xdr:col>
      <xdr:colOff>387350</xdr:colOff>
      <xdr:row>1100</xdr:row>
      <xdr:rowOff>11174</xdr:rowOff>
    </xdr:to>
    <xdr:sp macro="" textlink="">
      <xdr:nvSpPr>
        <xdr:cNvPr id="118" name="Text Box 2">
          <a:extLst>
            <a:ext uri="{FF2B5EF4-FFF2-40B4-BE49-F238E27FC236}">
              <a16:creationId xmlns:a16="http://schemas.microsoft.com/office/drawing/2014/main" id="{AC43C091-4E71-45BD-86F6-A2B25EC4E737}"/>
            </a:ext>
          </a:extLst>
        </xdr:cNvPr>
        <xdr:cNvSpPr txBox="1">
          <a:spLocks noChangeArrowheads="1"/>
        </xdr:cNvSpPr>
      </xdr:nvSpPr>
      <xdr:spPr bwMode="auto">
        <a:xfrm>
          <a:off x="2247900" y="418719000"/>
          <a:ext cx="120650" cy="39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1099</xdr:row>
      <xdr:rowOff>0</xdr:rowOff>
    </xdr:from>
    <xdr:to>
      <xdr:col>2</xdr:col>
      <xdr:colOff>387350</xdr:colOff>
      <xdr:row>1100</xdr:row>
      <xdr:rowOff>11174</xdr:rowOff>
    </xdr:to>
    <xdr:sp macro="" textlink="">
      <xdr:nvSpPr>
        <xdr:cNvPr id="119" name="Text Box 2">
          <a:extLst>
            <a:ext uri="{FF2B5EF4-FFF2-40B4-BE49-F238E27FC236}">
              <a16:creationId xmlns:a16="http://schemas.microsoft.com/office/drawing/2014/main" id="{BF472981-8612-4175-BD9B-9801E2E6E3AE}"/>
            </a:ext>
          </a:extLst>
        </xdr:cNvPr>
        <xdr:cNvSpPr txBox="1">
          <a:spLocks noChangeArrowheads="1"/>
        </xdr:cNvSpPr>
      </xdr:nvSpPr>
      <xdr:spPr bwMode="auto">
        <a:xfrm>
          <a:off x="2247900" y="418719000"/>
          <a:ext cx="120650" cy="39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1099</xdr:row>
      <xdr:rowOff>0</xdr:rowOff>
    </xdr:from>
    <xdr:to>
      <xdr:col>2</xdr:col>
      <xdr:colOff>387350</xdr:colOff>
      <xdr:row>1100</xdr:row>
      <xdr:rowOff>11174</xdr:rowOff>
    </xdr:to>
    <xdr:sp macro="" textlink="">
      <xdr:nvSpPr>
        <xdr:cNvPr id="120" name="Text Box 2">
          <a:extLst>
            <a:ext uri="{FF2B5EF4-FFF2-40B4-BE49-F238E27FC236}">
              <a16:creationId xmlns:a16="http://schemas.microsoft.com/office/drawing/2014/main" id="{FEA9701A-04DB-4D7B-BB6C-3D5073385000}"/>
            </a:ext>
          </a:extLst>
        </xdr:cNvPr>
        <xdr:cNvSpPr txBox="1">
          <a:spLocks noChangeArrowheads="1"/>
        </xdr:cNvSpPr>
      </xdr:nvSpPr>
      <xdr:spPr bwMode="auto">
        <a:xfrm>
          <a:off x="2247900" y="418719000"/>
          <a:ext cx="120650" cy="39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1099</xdr:row>
      <xdr:rowOff>0</xdr:rowOff>
    </xdr:from>
    <xdr:to>
      <xdr:col>2</xdr:col>
      <xdr:colOff>387350</xdr:colOff>
      <xdr:row>1100</xdr:row>
      <xdr:rowOff>11174</xdr:rowOff>
    </xdr:to>
    <xdr:sp macro="" textlink="">
      <xdr:nvSpPr>
        <xdr:cNvPr id="121" name="Text Box 2">
          <a:extLst>
            <a:ext uri="{FF2B5EF4-FFF2-40B4-BE49-F238E27FC236}">
              <a16:creationId xmlns:a16="http://schemas.microsoft.com/office/drawing/2014/main" id="{CF5E7235-79A4-4175-83B8-DF85FDA79998}"/>
            </a:ext>
          </a:extLst>
        </xdr:cNvPr>
        <xdr:cNvSpPr txBox="1">
          <a:spLocks noChangeArrowheads="1"/>
        </xdr:cNvSpPr>
      </xdr:nvSpPr>
      <xdr:spPr bwMode="auto">
        <a:xfrm>
          <a:off x="2247900" y="418719000"/>
          <a:ext cx="120650" cy="39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1080</xdr:row>
      <xdr:rowOff>0</xdr:rowOff>
    </xdr:from>
    <xdr:to>
      <xdr:col>2</xdr:col>
      <xdr:colOff>387350</xdr:colOff>
      <xdr:row>1086</xdr:row>
      <xdr:rowOff>9670</xdr:rowOff>
    </xdr:to>
    <xdr:sp macro="" textlink="">
      <xdr:nvSpPr>
        <xdr:cNvPr id="122" name="Text Box 2">
          <a:extLst>
            <a:ext uri="{FF2B5EF4-FFF2-40B4-BE49-F238E27FC236}">
              <a16:creationId xmlns:a16="http://schemas.microsoft.com/office/drawing/2014/main" id="{560F85BD-1813-46CD-AD94-A8B8B2BC86C3}"/>
            </a:ext>
          </a:extLst>
        </xdr:cNvPr>
        <xdr:cNvSpPr txBox="1">
          <a:spLocks noChangeArrowheads="1"/>
        </xdr:cNvSpPr>
      </xdr:nvSpPr>
      <xdr:spPr bwMode="auto">
        <a:xfrm>
          <a:off x="2247900" y="411480000"/>
          <a:ext cx="120650" cy="229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1080</xdr:row>
      <xdr:rowOff>0</xdr:rowOff>
    </xdr:from>
    <xdr:to>
      <xdr:col>2</xdr:col>
      <xdr:colOff>387350</xdr:colOff>
      <xdr:row>1086</xdr:row>
      <xdr:rowOff>9670</xdr:rowOff>
    </xdr:to>
    <xdr:sp macro="" textlink="">
      <xdr:nvSpPr>
        <xdr:cNvPr id="123" name="Text Box 2">
          <a:extLst>
            <a:ext uri="{FF2B5EF4-FFF2-40B4-BE49-F238E27FC236}">
              <a16:creationId xmlns:a16="http://schemas.microsoft.com/office/drawing/2014/main" id="{EA827B34-D116-4ECC-BBB9-D9E28D170311}"/>
            </a:ext>
          </a:extLst>
        </xdr:cNvPr>
        <xdr:cNvSpPr txBox="1">
          <a:spLocks noChangeArrowheads="1"/>
        </xdr:cNvSpPr>
      </xdr:nvSpPr>
      <xdr:spPr bwMode="auto">
        <a:xfrm>
          <a:off x="2247900" y="411480000"/>
          <a:ext cx="120650" cy="229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1080</xdr:row>
      <xdr:rowOff>0</xdr:rowOff>
    </xdr:from>
    <xdr:to>
      <xdr:col>2</xdr:col>
      <xdr:colOff>387350</xdr:colOff>
      <xdr:row>1086</xdr:row>
      <xdr:rowOff>9670</xdr:rowOff>
    </xdr:to>
    <xdr:sp macro="" textlink="">
      <xdr:nvSpPr>
        <xdr:cNvPr id="124" name="Text Box 2">
          <a:extLst>
            <a:ext uri="{FF2B5EF4-FFF2-40B4-BE49-F238E27FC236}">
              <a16:creationId xmlns:a16="http://schemas.microsoft.com/office/drawing/2014/main" id="{37F0D05D-470C-46C8-8EC8-A7545489CFCD}"/>
            </a:ext>
          </a:extLst>
        </xdr:cNvPr>
        <xdr:cNvSpPr txBox="1">
          <a:spLocks noChangeArrowheads="1"/>
        </xdr:cNvSpPr>
      </xdr:nvSpPr>
      <xdr:spPr bwMode="auto">
        <a:xfrm>
          <a:off x="2247900" y="411480000"/>
          <a:ext cx="120650" cy="229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1080</xdr:row>
      <xdr:rowOff>0</xdr:rowOff>
    </xdr:from>
    <xdr:to>
      <xdr:col>2</xdr:col>
      <xdr:colOff>387350</xdr:colOff>
      <xdr:row>1086</xdr:row>
      <xdr:rowOff>9670</xdr:rowOff>
    </xdr:to>
    <xdr:sp macro="" textlink="">
      <xdr:nvSpPr>
        <xdr:cNvPr id="125" name="Text Box 2">
          <a:extLst>
            <a:ext uri="{FF2B5EF4-FFF2-40B4-BE49-F238E27FC236}">
              <a16:creationId xmlns:a16="http://schemas.microsoft.com/office/drawing/2014/main" id="{4FB785FE-9C2D-4482-A09A-F1B5DB182AAB}"/>
            </a:ext>
          </a:extLst>
        </xdr:cNvPr>
        <xdr:cNvSpPr txBox="1">
          <a:spLocks noChangeArrowheads="1"/>
        </xdr:cNvSpPr>
      </xdr:nvSpPr>
      <xdr:spPr bwMode="auto">
        <a:xfrm>
          <a:off x="2247900" y="411480000"/>
          <a:ext cx="120650" cy="229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1144</xdr:row>
      <xdr:rowOff>0</xdr:rowOff>
    </xdr:from>
    <xdr:ext cx="123825" cy="238125"/>
    <xdr:sp macro="" textlink="">
      <xdr:nvSpPr>
        <xdr:cNvPr id="126" name="Text Box 2">
          <a:extLst>
            <a:ext uri="{FF2B5EF4-FFF2-40B4-BE49-F238E27FC236}">
              <a16:creationId xmlns:a16="http://schemas.microsoft.com/office/drawing/2014/main" id="{339708AC-3C38-44A9-A329-3F297897BDFC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1144</xdr:row>
      <xdr:rowOff>0</xdr:rowOff>
    </xdr:from>
    <xdr:ext cx="123825" cy="238125"/>
    <xdr:sp macro="" textlink="">
      <xdr:nvSpPr>
        <xdr:cNvPr id="127" name="Text Box 2">
          <a:extLst>
            <a:ext uri="{FF2B5EF4-FFF2-40B4-BE49-F238E27FC236}">
              <a16:creationId xmlns:a16="http://schemas.microsoft.com/office/drawing/2014/main" id="{45E034EB-3F92-4A55-9AF5-F56247B3D019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1144</xdr:row>
      <xdr:rowOff>0</xdr:rowOff>
    </xdr:from>
    <xdr:ext cx="123825" cy="238125"/>
    <xdr:sp macro="" textlink="">
      <xdr:nvSpPr>
        <xdr:cNvPr id="128" name="Text Box 2">
          <a:extLst>
            <a:ext uri="{FF2B5EF4-FFF2-40B4-BE49-F238E27FC236}">
              <a16:creationId xmlns:a16="http://schemas.microsoft.com/office/drawing/2014/main" id="{98ED116E-74C2-49F3-A42B-D889D4D9893B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1144</xdr:row>
      <xdr:rowOff>0</xdr:rowOff>
    </xdr:from>
    <xdr:ext cx="123825" cy="238125"/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4BEA54F8-E792-48F1-9159-6F680A357D7B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1158</xdr:row>
      <xdr:rowOff>0</xdr:rowOff>
    </xdr:from>
    <xdr:ext cx="123825" cy="238125"/>
    <xdr:sp macro="" textlink="">
      <xdr:nvSpPr>
        <xdr:cNvPr id="130" name="Text Box 2">
          <a:extLst>
            <a:ext uri="{FF2B5EF4-FFF2-40B4-BE49-F238E27FC236}">
              <a16:creationId xmlns:a16="http://schemas.microsoft.com/office/drawing/2014/main" id="{A8E42234-7943-41C1-81B9-589C8B524A2F}"/>
            </a:ext>
          </a:extLst>
        </xdr:cNvPr>
        <xdr:cNvSpPr txBox="1">
          <a:spLocks noChangeArrowheads="1"/>
        </xdr:cNvSpPr>
      </xdr:nvSpPr>
      <xdr:spPr bwMode="auto">
        <a:xfrm>
          <a:off x="2247900" y="44119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1158</xdr:row>
      <xdr:rowOff>0</xdr:rowOff>
    </xdr:from>
    <xdr:ext cx="123825" cy="238125"/>
    <xdr:sp macro="" textlink="">
      <xdr:nvSpPr>
        <xdr:cNvPr id="131" name="Text Box 2">
          <a:extLst>
            <a:ext uri="{FF2B5EF4-FFF2-40B4-BE49-F238E27FC236}">
              <a16:creationId xmlns:a16="http://schemas.microsoft.com/office/drawing/2014/main" id="{3F145E57-37EA-420D-990E-5C1B6BCD6AC0}"/>
            </a:ext>
          </a:extLst>
        </xdr:cNvPr>
        <xdr:cNvSpPr txBox="1">
          <a:spLocks noChangeArrowheads="1"/>
        </xdr:cNvSpPr>
      </xdr:nvSpPr>
      <xdr:spPr bwMode="auto">
        <a:xfrm>
          <a:off x="2247900" y="44119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1158</xdr:row>
      <xdr:rowOff>0</xdr:rowOff>
    </xdr:from>
    <xdr:ext cx="123825" cy="238125"/>
    <xdr:sp macro="" textlink="">
      <xdr:nvSpPr>
        <xdr:cNvPr id="132" name="Text Box 2">
          <a:extLst>
            <a:ext uri="{FF2B5EF4-FFF2-40B4-BE49-F238E27FC236}">
              <a16:creationId xmlns:a16="http://schemas.microsoft.com/office/drawing/2014/main" id="{49F71FF4-B548-4B99-B1A1-D0A38727B8DF}"/>
            </a:ext>
          </a:extLst>
        </xdr:cNvPr>
        <xdr:cNvSpPr txBox="1">
          <a:spLocks noChangeArrowheads="1"/>
        </xdr:cNvSpPr>
      </xdr:nvSpPr>
      <xdr:spPr bwMode="auto">
        <a:xfrm>
          <a:off x="2247900" y="44119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1158</xdr:row>
      <xdr:rowOff>0</xdr:rowOff>
    </xdr:from>
    <xdr:ext cx="123825" cy="238125"/>
    <xdr:sp macro="" textlink="">
      <xdr:nvSpPr>
        <xdr:cNvPr id="133" name="Text Box 2">
          <a:extLst>
            <a:ext uri="{FF2B5EF4-FFF2-40B4-BE49-F238E27FC236}">
              <a16:creationId xmlns:a16="http://schemas.microsoft.com/office/drawing/2014/main" id="{F88601F8-0073-43CA-A5CD-FF7344D008FC}"/>
            </a:ext>
          </a:extLst>
        </xdr:cNvPr>
        <xdr:cNvSpPr txBox="1">
          <a:spLocks noChangeArrowheads="1"/>
        </xdr:cNvSpPr>
      </xdr:nvSpPr>
      <xdr:spPr bwMode="auto">
        <a:xfrm>
          <a:off x="2247900" y="44119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1103</xdr:row>
      <xdr:rowOff>0</xdr:rowOff>
    </xdr:from>
    <xdr:to>
      <xdr:col>2</xdr:col>
      <xdr:colOff>387350</xdr:colOff>
      <xdr:row>1105</xdr:row>
      <xdr:rowOff>87373</xdr:rowOff>
    </xdr:to>
    <xdr:sp macro="" textlink="">
      <xdr:nvSpPr>
        <xdr:cNvPr id="134" name="Text Box 2">
          <a:extLst>
            <a:ext uri="{FF2B5EF4-FFF2-40B4-BE49-F238E27FC236}">
              <a16:creationId xmlns:a16="http://schemas.microsoft.com/office/drawing/2014/main" id="{FAB99F7A-C18A-496F-AA1C-053C9E2D45D4}"/>
            </a:ext>
          </a:extLst>
        </xdr:cNvPr>
        <xdr:cNvSpPr txBox="1">
          <a:spLocks noChangeArrowheads="1"/>
        </xdr:cNvSpPr>
      </xdr:nvSpPr>
      <xdr:spPr bwMode="auto">
        <a:xfrm>
          <a:off x="2247900" y="420243000"/>
          <a:ext cx="120650" cy="849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1103</xdr:row>
      <xdr:rowOff>0</xdr:rowOff>
    </xdr:from>
    <xdr:to>
      <xdr:col>2</xdr:col>
      <xdr:colOff>387350</xdr:colOff>
      <xdr:row>1105</xdr:row>
      <xdr:rowOff>87373</xdr:rowOff>
    </xdr:to>
    <xdr:sp macro="" textlink="">
      <xdr:nvSpPr>
        <xdr:cNvPr id="135" name="Text Box 2">
          <a:extLst>
            <a:ext uri="{FF2B5EF4-FFF2-40B4-BE49-F238E27FC236}">
              <a16:creationId xmlns:a16="http://schemas.microsoft.com/office/drawing/2014/main" id="{7A7C10A7-EE36-4FA4-88D0-EB3734C52496}"/>
            </a:ext>
          </a:extLst>
        </xdr:cNvPr>
        <xdr:cNvSpPr txBox="1">
          <a:spLocks noChangeArrowheads="1"/>
        </xdr:cNvSpPr>
      </xdr:nvSpPr>
      <xdr:spPr bwMode="auto">
        <a:xfrm>
          <a:off x="2247900" y="420243000"/>
          <a:ext cx="120650" cy="849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1103</xdr:row>
      <xdr:rowOff>0</xdr:rowOff>
    </xdr:from>
    <xdr:to>
      <xdr:col>2</xdr:col>
      <xdr:colOff>387350</xdr:colOff>
      <xdr:row>1105</xdr:row>
      <xdr:rowOff>87373</xdr:rowOff>
    </xdr:to>
    <xdr:sp macro="" textlink="">
      <xdr:nvSpPr>
        <xdr:cNvPr id="136" name="Text Box 2">
          <a:extLst>
            <a:ext uri="{FF2B5EF4-FFF2-40B4-BE49-F238E27FC236}">
              <a16:creationId xmlns:a16="http://schemas.microsoft.com/office/drawing/2014/main" id="{5A222131-2265-4AF0-9EBC-883D0D8C6524}"/>
            </a:ext>
          </a:extLst>
        </xdr:cNvPr>
        <xdr:cNvSpPr txBox="1">
          <a:spLocks noChangeArrowheads="1"/>
        </xdr:cNvSpPr>
      </xdr:nvSpPr>
      <xdr:spPr bwMode="auto">
        <a:xfrm>
          <a:off x="2247900" y="420243000"/>
          <a:ext cx="120650" cy="849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1103</xdr:row>
      <xdr:rowOff>0</xdr:rowOff>
    </xdr:from>
    <xdr:to>
      <xdr:col>2</xdr:col>
      <xdr:colOff>387350</xdr:colOff>
      <xdr:row>1105</xdr:row>
      <xdr:rowOff>87373</xdr:rowOff>
    </xdr:to>
    <xdr:sp macro="" textlink="">
      <xdr:nvSpPr>
        <xdr:cNvPr id="137" name="Text Box 2">
          <a:extLst>
            <a:ext uri="{FF2B5EF4-FFF2-40B4-BE49-F238E27FC236}">
              <a16:creationId xmlns:a16="http://schemas.microsoft.com/office/drawing/2014/main" id="{53B56865-9AE4-4AE2-BF26-C6E2D0D048B5}"/>
            </a:ext>
          </a:extLst>
        </xdr:cNvPr>
        <xdr:cNvSpPr txBox="1">
          <a:spLocks noChangeArrowheads="1"/>
        </xdr:cNvSpPr>
      </xdr:nvSpPr>
      <xdr:spPr bwMode="auto">
        <a:xfrm>
          <a:off x="2247900" y="420243000"/>
          <a:ext cx="120650" cy="849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1083</xdr:row>
      <xdr:rowOff>0</xdr:rowOff>
    </xdr:from>
    <xdr:to>
      <xdr:col>2</xdr:col>
      <xdr:colOff>387350</xdr:colOff>
      <xdr:row>1100</xdr:row>
      <xdr:rowOff>120796</xdr:rowOff>
    </xdr:to>
    <xdr:sp macro="" textlink="">
      <xdr:nvSpPr>
        <xdr:cNvPr id="138" name="Text Box 2">
          <a:extLst>
            <a:ext uri="{FF2B5EF4-FFF2-40B4-BE49-F238E27FC236}">
              <a16:creationId xmlns:a16="http://schemas.microsoft.com/office/drawing/2014/main" id="{DE0B310D-1CC4-443B-B3B7-8BADA669C320}"/>
            </a:ext>
          </a:extLst>
        </xdr:cNvPr>
        <xdr:cNvSpPr txBox="1">
          <a:spLocks noChangeArrowheads="1"/>
        </xdr:cNvSpPr>
      </xdr:nvSpPr>
      <xdr:spPr bwMode="auto">
        <a:xfrm>
          <a:off x="2247900" y="412623000"/>
          <a:ext cx="120650" cy="6597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1083</xdr:row>
      <xdr:rowOff>0</xdr:rowOff>
    </xdr:from>
    <xdr:to>
      <xdr:col>2</xdr:col>
      <xdr:colOff>387350</xdr:colOff>
      <xdr:row>1100</xdr:row>
      <xdr:rowOff>120796</xdr:rowOff>
    </xdr:to>
    <xdr:sp macro="" textlink="">
      <xdr:nvSpPr>
        <xdr:cNvPr id="139" name="Text Box 2">
          <a:extLst>
            <a:ext uri="{FF2B5EF4-FFF2-40B4-BE49-F238E27FC236}">
              <a16:creationId xmlns:a16="http://schemas.microsoft.com/office/drawing/2014/main" id="{241D0183-A9B5-4E7F-B692-25D9CA029249}"/>
            </a:ext>
          </a:extLst>
        </xdr:cNvPr>
        <xdr:cNvSpPr txBox="1">
          <a:spLocks noChangeArrowheads="1"/>
        </xdr:cNvSpPr>
      </xdr:nvSpPr>
      <xdr:spPr bwMode="auto">
        <a:xfrm>
          <a:off x="2247900" y="412623000"/>
          <a:ext cx="120650" cy="6597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1083</xdr:row>
      <xdr:rowOff>0</xdr:rowOff>
    </xdr:from>
    <xdr:to>
      <xdr:col>2</xdr:col>
      <xdr:colOff>387350</xdr:colOff>
      <xdr:row>1100</xdr:row>
      <xdr:rowOff>120796</xdr:rowOff>
    </xdr:to>
    <xdr:sp macro="" textlink="">
      <xdr:nvSpPr>
        <xdr:cNvPr id="140" name="Text Box 2">
          <a:extLst>
            <a:ext uri="{FF2B5EF4-FFF2-40B4-BE49-F238E27FC236}">
              <a16:creationId xmlns:a16="http://schemas.microsoft.com/office/drawing/2014/main" id="{1BD79F2F-3E99-40EF-B6CA-C34D414EDDAC}"/>
            </a:ext>
          </a:extLst>
        </xdr:cNvPr>
        <xdr:cNvSpPr txBox="1">
          <a:spLocks noChangeArrowheads="1"/>
        </xdr:cNvSpPr>
      </xdr:nvSpPr>
      <xdr:spPr bwMode="auto">
        <a:xfrm>
          <a:off x="2247900" y="412623000"/>
          <a:ext cx="120650" cy="6597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1083</xdr:row>
      <xdr:rowOff>0</xdr:rowOff>
    </xdr:from>
    <xdr:to>
      <xdr:col>2</xdr:col>
      <xdr:colOff>387350</xdr:colOff>
      <xdr:row>1100</xdr:row>
      <xdr:rowOff>120796</xdr:rowOff>
    </xdr:to>
    <xdr:sp macro="" textlink="">
      <xdr:nvSpPr>
        <xdr:cNvPr id="141" name="Text Box 2">
          <a:extLst>
            <a:ext uri="{FF2B5EF4-FFF2-40B4-BE49-F238E27FC236}">
              <a16:creationId xmlns:a16="http://schemas.microsoft.com/office/drawing/2014/main" id="{32BE7E8C-BF7E-4B34-8EFE-67A3FBF117EC}"/>
            </a:ext>
          </a:extLst>
        </xdr:cNvPr>
        <xdr:cNvSpPr txBox="1">
          <a:spLocks noChangeArrowheads="1"/>
        </xdr:cNvSpPr>
      </xdr:nvSpPr>
      <xdr:spPr bwMode="auto">
        <a:xfrm>
          <a:off x="2247900" y="412623000"/>
          <a:ext cx="120650" cy="6597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1148</xdr:row>
      <xdr:rowOff>0</xdr:rowOff>
    </xdr:from>
    <xdr:ext cx="123825" cy="238125"/>
    <xdr:sp macro="" textlink="">
      <xdr:nvSpPr>
        <xdr:cNvPr id="142" name="Text Box 2">
          <a:extLst>
            <a:ext uri="{FF2B5EF4-FFF2-40B4-BE49-F238E27FC236}">
              <a16:creationId xmlns:a16="http://schemas.microsoft.com/office/drawing/2014/main" id="{5CF983E2-9389-4BAE-BA5E-7594F0B78BB2}"/>
            </a:ext>
          </a:extLst>
        </xdr:cNvPr>
        <xdr:cNvSpPr txBox="1">
          <a:spLocks noChangeArrowheads="1"/>
        </xdr:cNvSpPr>
      </xdr:nvSpPr>
      <xdr:spPr bwMode="auto">
        <a:xfrm>
          <a:off x="2247900" y="43738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1148</xdr:row>
      <xdr:rowOff>0</xdr:rowOff>
    </xdr:from>
    <xdr:ext cx="123825" cy="238125"/>
    <xdr:sp macro="" textlink="">
      <xdr:nvSpPr>
        <xdr:cNvPr id="143" name="Text Box 2">
          <a:extLst>
            <a:ext uri="{FF2B5EF4-FFF2-40B4-BE49-F238E27FC236}">
              <a16:creationId xmlns:a16="http://schemas.microsoft.com/office/drawing/2014/main" id="{9C18F329-63B7-4F0C-96D9-AE38A94A6D3B}"/>
            </a:ext>
          </a:extLst>
        </xdr:cNvPr>
        <xdr:cNvSpPr txBox="1">
          <a:spLocks noChangeArrowheads="1"/>
        </xdr:cNvSpPr>
      </xdr:nvSpPr>
      <xdr:spPr bwMode="auto">
        <a:xfrm>
          <a:off x="2247900" y="43738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1148</xdr:row>
      <xdr:rowOff>0</xdr:rowOff>
    </xdr:from>
    <xdr:ext cx="123825" cy="238125"/>
    <xdr:sp macro="" textlink="">
      <xdr:nvSpPr>
        <xdr:cNvPr id="144" name="Text Box 2">
          <a:extLst>
            <a:ext uri="{FF2B5EF4-FFF2-40B4-BE49-F238E27FC236}">
              <a16:creationId xmlns:a16="http://schemas.microsoft.com/office/drawing/2014/main" id="{64845B72-2A48-412C-A733-457D90BF728E}"/>
            </a:ext>
          </a:extLst>
        </xdr:cNvPr>
        <xdr:cNvSpPr txBox="1">
          <a:spLocks noChangeArrowheads="1"/>
        </xdr:cNvSpPr>
      </xdr:nvSpPr>
      <xdr:spPr bwMode="auto">
        <a:xfrm>
          <a:off x="2247900" y="43738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1148</xdr:row>
      <xdr:rowOff>0</xdr:rowOff>
    </xdr:from>
    <xdr:ext cx="123825" cy="238125"/>
    <xdr:sp macro="" textlink="">
      <xdr:nvSpPr>
        <xdr:cNvPr id="145" name="Text Box 2">
          <a:extLst>
            <a:ext uri="{FF2B5EF4-FFF2-40B4-BE49-F238E27FC236}">
              <a16:creationId xmlns:a16="http://schemas.microsoft.com/office/drawing/2014/main" id="{52A69D4D-28EA-429E-A6C5-7D0248F97BBD}"/>
            </a:ext>
          </a:extLst>
        </xdr:cNvPr>
        <xdr:cNvSpPr txBox="1">
          <a:spLocks noChangeArrowheads="1"/>
        </xdr:cNvSpPr>
      </xdr:nvSpPr>
      <xdr:spPr bwMode="auto">
        <a:xfrm>
          <a:off x="2247900" y="43738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146" name="Text Box 2">
          <a:extLst>
            <a:ext uri="{FF2B5EF4-FFF2-40B4-BE49-F238E27FC236}">
              <a16:creationId xmlns:a16="http://schemas.microsoft.com/office/drawing/2014/main" id="{C109341F-5671-443A-B9A4-D43A376300B8}"/>
            </a:ext>
          </a:extLst>
        </xdr:cNvPr>
        <xdr:cNvSpPr txBox="1">
          <a:spLocks noChangeArrowheads="1"/>
        </xdr:cNvSpPr>
      </xdr:nvSpPr>
      <xdr:spPr bwMode="auto">
        <a:xfrm>
          <a:off x="2247900" y="268986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147" name="Text Box 2">
          <a:extLst>
            <a:ext uri="{FF2B5EF4-FFF2-40B4-BE49-F238E27FC236}">
              <a16:creationId xmlns:a16="http://schemas.microsoft.com/office/drawing/2014/main" id="{385F0955-E2CC-43A6-9A27-3E6066245859}"/>
            </a:ext>
          </a:extLst>
        </xdr:cNvPr>
        <xdr:cNvSpPr txBox="1">
          <a:spLocks noChangeArrowheads="1"/>
        </xdr:cNvSpPr>
      </xdr:nvSpPr>
      <xdr:spPr bwMode="auto">
        <a:xfrm>
          <a:off x="2247900" y="268986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148" name="Text Box 2">
          <a:extLst>
            <a:ext uri="{FF2B5EF4-FFF2-40B4-BE49-F238E27FC236}">
              <a16:creationId xmlns:a16="http://schemas.microsoft.com/office/drawing/2014/main" id="{9B367226-FA22-4EEF-9E54-C29D7912DF08}"/>
            </a:ext>
          </a:extLst>
        </xdr:cNvPr>
        <xdr:cNvSpPr txBox="1">
          <a:spLocks noChangeArrowheads="1"/>
        </xdr:cNvSpPr>
      </xdr:nvSpPr>
      <xdr:spPr bwMode="auto">
        <a:xfrm>
          <a:off x="2247900" y="268986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149" name="Text Box 2">
          <a:extLst>
            <a:ext uri="{FF2B5EF4-FFF2-40B4-BE49-F238E27FC236}">
              <a16:creationId xmlns:a16="http://schemas.microsoft.com/office/drawing/2014/main" id="{532672B5-B3D1-452D-935A-BE076C2CEE4A}"/>
            </a:ext>
          </a:extLst>
        </xdr:cNvPr>
        <xdr:cNvSpPr txBox="1">
          <a:spLocks noChangeArrowheads="1"/>
        </xdr:cNvSpPr>
      </xdr:nvSpPr>
      <xdr:spPr bwMode="auto">
        <a:xfrm>
          <a:off x="2247900" y="268986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661</xdr:row>
      <xdr:rowOff>0</xdr:rowOff>
    </xdr:from>
    <xdr:to>
      <xdr:col>2</xdr:col>
      <xdr:colOff>390525</xdr:colOff>
      <xdr:row>666</xdr:row>
      <xdr:rowOff>268613</xdr:rowOff>
    </xdr:to>
    <xdr:sp macro="" textlink="">
      <xdr:nvSpPr>
        <xdr:cNvPr id="150" name="Text Box 2">
          <a:extLst>
            <a:ext uri="{FF2B5EF4-FFF2-40B4-BE49-F238E27FC236}">
              <a16:creationId xmlns:a16="http://schemas.microsoft.com/office/drawing/2014/main" id="{6B9A2CD4-5C6A-4A82-AB2A-E9630CBDC9E2}"/>
            </a:ext>
          </a:extLst>
        </xdr:cNvPr>
        <xdr:cNvSpPr txBox="1">
          <a:spLocks noChangeArrowheads="1"/>
        </xdr:cNvSpPr>
      </xdr:nvSpPr>
      <xdr:spPr bwMode="auto">
        <a:xfrm>
          <a:off x="2247900" y="251841000"/>
          <a:ext cx="123825" cy="2173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390525</xdr:colOff>
      <xdr:row>666</xdr:row>
      <xdr:rowOff>268613</xdr:rowOff>
    </xdr:to>
    <xdr:sp macro="" textlink="">
      <xdr:nvSpPr>
        <xdr:cNvPr id="151" name="Text Box 2">
          <a:extLst>
            <a:ext uri="{FF2B5EF4-FFF2-40B4-BE49-F238E27FC236}">
              <a16:creationId xmlns:a16="http://schemas.microsoft.com/office/drawing/2014/main" id="{5AB8F023-4708-4E5A-A0B6-6EE8A4793EAA}"/>
            </a:ext>
          </a:extLst>
        </xdr:cNvPr>
        <xdr:cNvSpPr txBox="1">
          <a:spLocks noChangeArrowheads="1"/>
        </xdr:cNvSpPr>
      </xdr:nvSpPr>
      <xdr:spPr bwMode="auto">
        <a:xfrm>
          <a:off x="2247900" y="251841000"/>
          <a:ext cx="123825" cy="2173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390525</xdr:colOff>
      <xdr:row>666</xdr:row>
      <xdr:rowOff>268613</xdr:rowOff>
    </xdr:to>
    <xdr:sp macro="" textlink="">
      <xdr:nvSpPr>
        <xdr:cNvPr id="152" name="Text Box 2">
          <a:extLst>
            <a:ext uri="{FF2B5EF4-FFF2-40B4-BE49-F238E27FC236}">
              <a16:creationId xmlns:a16="http://schemas.microsoft.com/office/drawing/2014/main" id="{13A66FDD-20BA-4E41-BA42-91AB326EA9CB}"/>
            </a:ext>
          </a:extLst>
        </xdr:cNvPr>
        <xdr:cNvSpPr txBox="1">
          <a:spLocks noChangeArrowheads="1"/>
        </xdr:cNvSpPr>
      </xdr:nvSpPr>
      <xdr:spPr bwMode="auto">
        <a:xfrm>
          <a:off x="2247900" y="251841000"/>
          <a:ext cx="123825" cy="2173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390525</xdr:colOff>
      <xdr:row>666</xdr:row>
      <xdr:rowOff>268613</xdr:rowOff>
    </xdr:to>
    <xdr:sp macro="" textlink="">
      <xdr:nvSpPr>
        <xdr:cNvPr id="153" name="Text Box 2">
          <a:extLst>
            <a:ext uri="{FF2B5EF4-FFF2-40B4-BE49-F238E27FC236}">
              <a16:creationId xmlns:a16="http://schemas.microsoft.com/office/drawing/2014/main" id="{979EA2F4-C68E-4C20-BFA7-03AE1B7626B3}"/>
            </a:ext>
          </a:extLst>
        </xdr:cNvPr>
        <xdr:cNvSpPr txBox="1">
          <a:spLocks noChangeArrowheads="1"/>
        </xdr:cNvSpPr>
      </xdr:nvSpPr>
      <xdr:spPr bwMode="auto">
        <a:xfrm>
          <a:off x="2247900" y="251841000"/>
          <a:ext cx="123825" cy="2173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390525</xdr:colOff>
      <xdr:row>657</xdr:row>
      <xdr:rowOff>200435</xdr:rowOff>
    </xdr:to>
    <xdr:sp macro="" textlink="">
      <xdr:nvSpPr>
        <xdr:cNvPr id="154" name="Text Box 2">
          <a:extLst>
            <a:ext uri="{FF2B5EF4-FFF2-40B4-BE49-F238E27FC236}">
              <a16:creationId xmlns:a16="http://schemas.microsoft.com/office/drawing/2014/main" id="{A44743DD-394B-4F75-8D2A-B02F5B3612DA}"/>
            </a:ext>
          </a:extLst>
        </xdr:cNvPr>
        <xdr:cNvSpPr txBox="1">
          <a:spLocks noChangeArrowheads="1"/>
        </xdr:cNvSpPr>
      </xdr:nvSpPr>
      <xdr:spPr bwMode="auto">
        <a:xfrm>
          <a:off x="2247900" y="246888000"/>
          <a:ext cx="123825" cy="3629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390525</xdr:colOff>
      <xdr:row>657</xdr:row>
      <xdr:rowOff>200435</xdr:rowOff>
    </xdr:to>
    <xdr:sp macro="" textlink="">
      <xdr:nvSpPr>
        <xdr:cNvPr id="155" name="Text Box 2">
          <a:extLst>
            <a:ext uri="{FF2B5EF4-FFF2-40B4-BE49-F238E27FC236}">
              <a16:creationId xmlns:a16="http://schemas.microsoft.com/office/drawing/2014/main" id="{EAE267C8-B972-4699-842B-78F3E77D84E2}"/>
            </a:ext>
          </a:extLst>
        </xdr:cNvPr>
        <xdr:cNvSpPr txBox="1">
          <a:spLocks noChangeArrowheads="1"/>
        </xdr:cNvSpPr>
      </xdr:nvSpPr>
      <xdr:spPr bwMode="auto">
        <a:xfrm>
          <a:off x="2247900" y="246888000"/>
          <a:ext cx="123825" cy="3629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390525</xdr:colOff>
      <xdr:row>657</xdr:row>
      <xdr:rowOff>200435</xdr:rowOff>
    </xdr:to>
    <xdr:sp macro="" textlink="">
      <xdr:nvSpPr>
        <xdr:cNvPr id="156" name="Text Box 2">
          <a:extLst>
            <a:ext uri="{FF2B5EF4-FFF2-40B4-BE49-F238E27FC236}">
              <a16:creationId xmlns:a16="http://schemas.microsoft.com/office/drawing/2014/main" id="{F711D4DF-88A9-4223-AA6C-A4E2BBD5C04D}"/>
            </a:ext>
          </a:extLst>
        </xdr:cNvPr>
        <xdr:cNvSpPr txBox="1">
          <a:spLocks noChangeArrowheads="1"/>
        </xdr:cNvSpPr>
      </xdr:nvSpPr>
      <xdr:spPr bwMode="auto">
        <a:xfrm>
          <a:off x="2247900" y="246888000"/>
          <a:ext cx="123825" cy="3629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390525</xdr:colOff>
      <xdr:row>657</xdr:row>
      <xdr:rowOff>200435</xdr:rowOff>
    </xdr:to>
    <xdr:sp macro="" textlink="">
      <xdr:nvSpPr>
        <xdr:cNvPr id="157" name="Text Box 2">
          <a:extLst>
            <a:ext uri="{FF2B5EF4-FFF2-40B4-BE49-F238E27FC236}">
              <a16:creationId xmlns:a16="http://schemas.microsoft.com/office/drawing/2014/main" id="{DFA16947-7512-481B-A217-8EC8C2EA1D22}"/>
            </a:ext>
          </a:extLst>
        </xdr:cNvPr>
        <xdr:cNvSpPr txBox="1">
          <a:spLocks noChangeArrowheads="1"/>
        </xdr:cNvSpPr>
      </xdr:nvSpPr>
      <xdr:spPr bwMode="auto">
        <a:xfrm>
          <a:off x="2247900" y="246888000"/>
          <a:ext cx="123825" cy="3629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58" name="Text Box 2">
          <a:extLst>
            <a:ext uri="{FF2B5EF4-FFF2-40B4-BE49-F238E27FC236}">
              <a16:creationId xmlns:a16="http://schemas.microsoft.com/office/drawing/2014/main" id="{5626EC19-E484-447D-8EF3-1EC752C5251E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59" name="Text Box 2">
          <a:extLst>
            <a:ext uri="{FF2B5EF4-FFF2-40B4-BE49-F238E27FC236}">
              <a16:creationId xmlns:a16="http://schemas.microsoft.com/office/drawing/2014/main" id="{45669E8E-F95D-4560-A324-543748175DC7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60" name="Text Box 2">
          <a:extLst>
            <a:ext uri="{FF2B5EF4-FFF2-40B4-BE49-F238E27FC236}">
              <a16:creationId xmlns:a16="http://schemas.microsoft.com/office/drawing/2014/main" id="{3765A115-C62C-40A3-A1EE-41A25D8F351E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61" name="Text Box 2">
          <a:extLst>
            <a:ext uri="{FF2B5EF4-FFF2-40B4-BE49-F238E27FC236}">
              <a16:creationId xmlns:a16="http://schemas.microsoft.com/office/drawing/2014/main" id="{412C5201-3CFD-4D2B-8775-4556D28CDC9A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1145</xdr:row>
      <xdr:rowOff>10795</xdr:rowOff>
    </xdr:to>
    <xdr:sp macro="" textlink="">
      <xdr:nvSpPr>
        <xdr:cNvPr id="162" name="Text Box 2">
          <a:extLst>
            <a:ext uri="{FF2B5EF4-FFF2-40B4-BE49-F238E27FC236}">
              <a16:creationId xmlns:a16="http://schemas.microsoft.com/office/drawing/2014/main" id="{68478C54-A1F6-47AD-AE2F-AE854471605A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391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1145</xdr:row>
      <xdr:rowOff>10795</xdr:rowOff>
    </xdr:to>
    <xdr:sp macro="" textlink="">
      <xdr:nvSpPr>
        <xdr:cNvPr id="163" name="Text Box 2">
          <a:extLst>
            <a:ext uri="{FF2B5EF4-FFF2-40B4-BE49-F238E27FC236}">
              <a16:creationId xmlns:a16="http://schemas.microsoft.com/office/drawing/2014/main" id="{64DC51D4-56CA-497D-B35A-58E9ADCEB498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391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1145</xdr:row>
      <xdr:rowOff>10795</xdr:rowOff>
    </xdr:to>
    <xdr:sp macro="" textlink="">
      <xdr:nvSpPr>
        <xdr:cNvPr id="164" name="Text Box 2">
          <a:extLst>
            <a:ext uri="{FF2B5EF4-FFF2-40B4-BE49-F238E27FC236}">
              <a16:creationId xmlns:a16="http://schemas.microsoft.com/office/drawing/2014/main" id="{8875121E-21DB-479B-8B8C-E03C3C21AA0F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391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1145</xdr:row>
      <xdr:rowOff>10795</xdr:rowOff>
    </xdr:to>
    <xdr:sp macro="" textlink="">
      <xdr:nvSpPr>
        <xdr:cNvPr id="165" name="Text Box 2">
          <a:extLst>
            <a:ext uri="{FF2B5EF4-FFF2-40B4-BE49-F238E27FC236}">
              <a16:creationId xmlns:a16="http://schemas.microsoft.com/office/drawing/2014/main" id="{F0F8FBD2-D93A-4186-A17A-9A1441B6CB99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391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1149</xdr:row>
      <xdr:rowOff>344207</xdr:rowOff>
    </xdr:to>
    <xdr:sp macro="" textlink="">
      <xdr:nvSpPr>
        <xdr:cNvPr id="166" name="Text Box 2">
          <a:extLst>
            <a:ext uri="{FF2B5EF4-FFF2-40B4-BE49-F238E27FC236}">
              <a16:creationId xmlns:a16="http://schemas.microsoft.com/office/drawing/2014/main" id="{8954C483-0441-415B-BC98-AD010C017D2E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2492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1149</xdr:row>
      <xdr:rowOff>344207</xdr:rowOff>
    </xdr:to>
    <xdr:sp macro="" textlink="">
      <xdr:nvSpPr>
        <xdr:cNvPr id="167" name="Text Box 2">
          <a:extLst>
            <a:ext uri="{FF2B5EF4-FFF2-40B4-BE49-F238E27FC236}">
              <a16:creationId xmlns:a16="http://schemas.microsoft.com/office/drawing/2014/main" id="{BFCE3677-66B3-4A90-92DE-A5B391D2B115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2492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1149</xdr:row>
      <xdr:rowOff>344207</xdr:rowOff>
    </xdr:to>
    <xdr:sp macro="" textlink="">
      <xdr:nvSpPr>
        <xdr:cNvPr id="168" name="Text Box 2">
          <a:extLst>
            <a:ext uri="{FF2B5EF4-FFF2-40B4-BE49-F238E27FC236}">
              <a16:creationId xmlns:a16="http://schemas.microsoft.com/office/drawing/2014/main" id="{6B700069-4DB2-4414-9549-8497C53ACC1A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2492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1149</xdr:row>
      <xdr:rowOff>344207</xdr:rowOff>
    </xdr:to>
    <xdr:sp macro="" textlink="">
      <xdr:nvSpPr>
        <xdr:cNvPr id="169" name="Text Box 2">
          <a:extLst>
            <a:ext uri="{FF2B5EF4-FFF2-40B4-BE49-F238E27FC236}">
              <a16:creationId xmlns:a16="http://schemas.microsoft.com/office/drawing/2014/main" id="{55CFE129-3222-4EDF-9EE6-D82C8B0F54E4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2492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B7329547-ED8B-4076-8DF7-330B73E78B42}"/>
            </a:ext>
          </a:extLst>
        </xdr:cNvPr>
        <xdr:cNvSpPr txBox="1">
          <a:spLocks noChangeArrowheads="1"/>
        </xdr:cNvSpPr>
      </xdr:nvSpPr>
      <xdr:spPr bwMode="auto">
        <a:xfrm>
          <a:off x="2247900" y="45034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171" name="Text Box 2">
          <a:extLst>
            <a:ext uri="{FF2B5EF4-FFF2-40B4-BE49-F238E27FC236}">
              <a16:creationId xmlns:a16="http://schemas.microsoft.com/office/drawing/2014/main" id="{5461B837-6C50-49E5-81BE-74011AFFA67B}"/>
            </a:ext>
          </a:extLst>
        </xdr:cNvPr>
        <xdr:cNvSpPr txBox="1">
          <a:spLocks noChangeArrowheads="1"/>
        </xdr:cNvSpPr>
      </xdr:nvSpPr>
      <xdr:spPr bwMode="auto">
        <a:xfrm>
          <a:off x="2247900" y="45034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172" name="Text Box 2">
          <a:extLst>
            <a:ext uri="{FF2B5EF4-FFF2-40B4-BE49-F238E27FC236}">
              <a16:creationId xmlns:a16="http://schemas.microsoft.com/office/drawing/2014/main" id="{C3133FC5-E417-4C6E-B9BD-035586E90B54}"/>
            </a:ext>
          </a:extLst>
        </xdr:cNvPr>
        <xdr:cNvSpPr txBox="1">
          <a:spLocks noChangeArrowheads="1"/>
        </xdr:cNvSpPr>
      </xdr:nvSpPr>
      <xdr:spPr bwMode="auto">
        <a:xfrm>
          <a:off x="2247900" y="45034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173" name="Text Box 2">
          <a:extLst>
            <a:ext uri="{FF2B5EF4-FFF2-40B4-BE49-F238E27FC236}">
              <a16:creationId xmlns:a16="http://schemas.microsoft.com/office/drawing/2014/main" id="{F24680A7-D2C4-4BCF-8F50-B379F10E97A2}"/>
            </a:ext>
          </a:extLst>
        </xdr:cNvPr>
        <xdr:cNvSpPr txBox="1">
          <a:spLocks noChangeArrowheads="1"/>
        </xdr:cNvSpPr>
      </xdr:nvSpPr>
      <xdr:spPr bwMode="auto">
        <a:xfrm>
          <a:off x="2247900" y="45034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0</xdr:colOff>
      <xdr:row>1109</xdr:row>
      <xdr:rowOff>0</xdr:rowOff>
    </xdr:from>
    <xdr:to>
      <xdr:col>4</xdr:col>
      <xdr:colOff>123825</xdr:colOff>
      <xdr:row>1110</xdr:row>
      <xdr:rowOff>6350</xdr:rowOff>
    </xdr:to>
    <xdr:sp macro="" textlink="">
      <xdr:nvSpPr>
        <xdr:cNvPr id="174" name="Text Box 2">
          <a:extLst>
            <a:ext uri="{FF2B5EF4-FFF2-40B4-BE49-F238E27FC236}">
              <a16:creationId xmlns:a16="http://schemas.microsoft.com/office/drawing/2014/main" id="{B03E54AA-937D-45B9-8D3C-0CD58D9FFC67}"/>
            </a:ext>
          </a:extLst>
        </xdr:cNvPr>
        <xdr:cNvSpPr txBox="1">
          <a:spLocks noChangeArrowheads="1"/>
        </xdr:cNvSpPr>
      </xdr:nvSpPr>
      <xdr:spPr bwMode="auto">
        <a:xfrm>
          <a:off x="9525000" y="422529000"/>
          <a:ext cx="123825" cy="38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123825</xdr:colOff>
      <xdr:row>1110</xdr:row>
      <xdr:rowOff>6350</xdr:rowOff>
    </xdr:to>
    <xdr:sp macro="" textlink="">
      <xdr:nvSpPr>
        <xdr:cNvPr id="175" name="Text Box 2">
          <a:extLst>
            <a:ext uri="{FF2B5EF4-FFF2-40B4-BE49-F238E27FC236}">
              <a16:creationId xmlns:a16="http://schemas.microsoft.com/office/drawing/2014/main" id="{87203EDC-21DC-4B96-9D8F-D2116E6B45D1}"/>
            </a:ext>
          </a:extLst>
        </xdr:cNvPr>
        <xdr:cNvSpPr txBox="1">
          <a:spLocks noChangeArrowheads="1"/>
        </xdr:cNvSpPr>
      </xdr:nvSpPr>
      <xdr:spPr bwMode="auto">
        <a:xfrm>
          <a:off x="9525000" y="422529000"/>
          <a:ext cx="123825" cy="38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123825</xdr:colOff>
      <xdr:row>1110</xdr:row>
      <xdr:rowOff>6350</xdr:rowOff>
    </xdr:to>
    <xdr:sp macro="" textlink="">
      <xdr:nvSpPr>
        <xdr:cNvPr id="176" name="Text Box 2">
          <a:extLst>
            <a:ext uri="{FF2B5EF4-FFF2-40B4-BE49-F238E27FC236}">
              <a16:creationId xmlns:a16="http://schemas.microsoft.com/office/drawing/2014/main" id="{B21760B9-DB36-415D-B4BD-7CC086449C39}"/>
            </a:ext>
          </a:extLst>
        </xdr:cNvPr>
        <xdr:cNvSpPr txBox="1">
          <a:spLocks noChangeArrowheads="1"/>
        </xdr:cNvSpPr>
      </xdr:nvSpPr>
      <xdr:spPr bwMode="auto">
        <a:xfrm>
          <a:off x="9525000" y="422529000"/>
          <a:ext cx="123825" cy="38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123825</xdr:colOff>
      <xdr:row>1110</xdr:row>
      <xdr:rowOff>6350</xdr:rowOff>
    </xdr:to>
    <xdr:sp macro="" textlink="">
      <xdr:nvSpPr>
        <xdr:cNvPr id="177" name="Text Box 2">
          <a:extLst>
            <a:ext uri="{FF2B5EF4-FFF2-40B4-BE49-F238E27FC236}">
              <a16:creationId xmlns:a16="http://schemas.microsoft.com/office/drawing/2014/main" id="{DA31A84A-AB0B-4FA5-9FB8-4F7AB49E2CBF}"/>
            </a:ext>
          </a:extLst>
        </xdr:cNvPr>
        <xdr:cNvSpPr txBox="1">
          <a:spLocks noChangeArrowheads="1"/>
        </xdr:cNvSpPr>
      </xdr:nvSpPr>
      <xdr:spPr bwMode="auto">
        <a:xfrm>
          <a:off x="9525000" y="422529000"/>
          <a:ext cx="123825" cy="38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178" name="Text Box 2">
          <a:extLst>
            <a:ext uri="{FF2B5EF4-FFF2-40B4-BE49-F238E27FC236}">
              <a16:creationId xmlns:a16="http://schemas.microsoft.com/office/drawing/2014/main" id="{9E8C8E5A-A962-4469-9EB5-C9C016ED042E}"/>
            </a:ext>
          </a:extLst>
        </xdr:cNvPr>
        <xdr:cNvSpPr txBox="1">
          <a:spLocks noChangeArrowheads="1"/>
        </xdr:cNvSpPr>
      </xdr:nvSpPr>
      <xdr:spPr bwMode="auto">
        <a:xfrm>
          <a:off x="2247900" y="369951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179" name="Text Box 2">
          <a:extLst>
            <a:ext uri="{FF2B5EF4-FFF2-40B4-BE49-F238E27FC236}">
              <a16:creationId xmlns:a16="http://schemas.microsoft.com/office/drawing/2014/main" id="{24492EEF-7D2A-4186-9946-5BEDEB94920F}"/>
            </a:ext>
          </a:extLst>
        </xdr:cNvPr>
        <xdr:cNvSpPr txBox="1">
          <a:spLocks noChangeArrowheads="1"/>
        </xdr:cNvSpPr>
      </xdr:nvSpPr>
      <xdr:spPr bwMode="auto">
        <a:xfrm>
          <a:off x="2247900" y="369951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180" name="Text Box 2">
          <a:extLst>
            <a:ext uri="{FF2B5EF4-FFF2-40B4-BE49-F238E27FC236}">
              <a16:creationId xmlns:a16="http://schemas.microsoft.com/office/drawing/2014/main" id="{4624B766-8658-44F9-B914-01E34E4FF85C}"/>
            </a:ext>
          </a:extLst>
        </xdr:cNvPr>
        <xdr:cNvSpPr txBox="1">
          <a:spLocks noChangeArrowheads="1"/>
        </xdr:cNvSpPr>
      </xdr:nvSpPr>
      <xdr:spPr bwMode="auto">
        <a:xfrm>
          <a:off x="2247900" y="369951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181" name="Text Box 2">
          <a:extLst>
            <a:ext uri="{FF2B5EF4-FFF2-40B4-BE49-F238E27FC236}">
              <a16:creationId xmlns:a16="http://schemas.microsoft.com/office/drawing/2014/main" id="{A56D8C41-FA65-4B1E-9C79-524D1B534783}"/>
            </a:ext>
          </a:extLst>
        </xdr:cNvPr>
        <xdr:cNvSpPr txBox="1">
          <a:spLocks noChangeArrowheads="1"/>
        </xdr:cNvSpPr>
      </xdr:nvSpPr>
      <xdr:spPr bwMode="auto">
        <a:xfrm>
          <a:off x="2247900" y="369951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1159</xdr:row>
      <xdr:rowOff>303038</xdr:rowOff>
    </xdr:to>
    <xdr:sp macro="" textlink="">
      <xdr:nvSpPr>
        <xdr:cNvPr id="182" name="Text Box 2">
          <a:extLst>
            <a:ext uri="{FF2B5EF4-FFF2-40B4-BE49-F238E27FC236}">
              <a16:creationId xmlns:a16="http://schemas.microsoft.com/office/drawing/2014/main" id="{D3203DA0-CB02-4148-B1BD-CCF062ACBCE5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6018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1159</xdr:row>
      <xdr:rowOff>303038</xdr:rowOff>
    </xdr:to>
    <xdr:sp macro="" textlink="">
      <xdr:nvSpPr>
        <xdr:cNvPr id="183" name="Text Box 2">
          <a:extLst>
            <a:ext uri="{FF2B5EF4-FFF2-40B4-BE49-F238E27FC236}">
              <a16:creationId xmlns:a16="http://schemas.microsoft.com/office/drawing/2014/main" id="{E06AA8BD-47F5-4AF9-9A9E-CD1C639891AC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6018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1159</xdr:row>
      <xdr:rowOff>303038</xdr:rowOff>
    </xdr:to>
    <xdr:sp macro="" textlink="">
      <xdr:nvSpPr>
        <xdr:cNvPr id="184" name="Text Box 2">
          <a:extLst>
            <a:ext uri="{FF2B5EF4-FFF2-40B4-BE49-F238E27FC236}">
              <a16:creationId xmlns:a16="http://schemas.microsoft.com/office/drawing/2014/main" id="{4698363B-B0E1-471D-8565-37CD9148E58C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6018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1159</xdr:row>
      <xdr:rowOff>303038</xdr:rowOff>
    </xdr:to>
    <xdr:sp macro="" textlink="">
      <xdr:nvSpPr>
        <xdr:cNvPr id="185" name="Text Box 2">
          <a:extLst>
            <a:ext uri="{FF2B5EF4-FFF2-40B4-BE49-F238E27FC236}">
              <a16:creationId xmlns:a16="http://schemas.microsoft.com/office/drawing/2014/main" id="{7B294ADA-0C8F-40BF-8909-5F6C92024A34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6018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186" name="Text Box 2">
          <a:extLst>
            <a:ext uri="{FF2B5EF4-FFF2-40B4-BE49-F238E27FC236}">
              <a16:creationId xmlns:a16="http://schemas.microsoft.com/office/drawing/2014/main" id="{0EC3765F-4292-4654-AD67-C0F3F3DEBE2D}"/>
            </a:ext>
          </a:extLst>
        </xdr:cNvPr>
        <xdr:cNvSpPr txBox="1">
          <a:spLocks noChangeArrowheads="1"/>
        </xdr:cNvSpPr>
      </xdr:nvSpPr>
      <xdr:spPr bwMode="auto">
        <a:xfrm>
          <a:off x="2247900" y="45262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187" name="Text Box 2">
          <a:extLst>
            <a:ext uri="{FF2B5EF4-FFF2-40B4-BE49-F238E27FC236}">
              <a16:creationId xmlns:a16="http://schemas.microsoft.com/office/drawing/2014/main" id="{8D1F7F8D-3353-41AA-B920-D990A3E68667}"/>
            </a:ext>
          </a:extLst>
        </xdr:cNvPr>
        <xdr:cNvSpPr txBox="1">
          <a:spLocks noChangeArrowheads="1"/>
        </xdr:cNvSpPr>
      </xdr:nvSpPr>
      <xdr:spPr bwMode="auto">
        <a:xfrm>
          <a:off x="2247900" y="45262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188" name="Text Box 2">
          <a:extLst>
            <a:ext uri="{FF2B5EF4-FFF2-40B4-BE49-F238E27FC236}">
              <a16:creationId xmlns:a16="http://schemas.microsoft.com/office/drawing/2014/main" id="{271127C4-C00A-418D-BB76-A1B4C14861C0}"/>
            </a:ext>
          </a:extLst>
        </xdr:cNvPr>
        <xdr:cNvSpPr txBox="1">
          <a:spLocks noChangeArrowheads="1"/>
        </xdr:cNvSpPr>
      </xdr:nvSpPr>
      <xdr:spPr bwMode="auto">
        <a:xfrm>
          <a:off x="2247900" y="45262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189" name="Text Box 2">
          <a:extLst>
            <a:ext uri="{FF2B5EF4-FFF2-40B4-BE49-F238E27FC236}">
              <a16:creationId xmlns:a16="http://schemas.microsoft.com/office/drawing/2014/main" id="{56BC93E4-BD2B-4322-9765-73CB9B9535C3}"/>
            </a:ext>
          </a:extLst>
        </xdr:cNvPr>
        <xdr:cNvSpPr txBox="1">
          <a:spLocks noChangeArrowheads="1"/>
        </xdr:cNvSpPr>
      </xdr:nvSpPr>
      <xdr:spPr bwMode="auto">
        <a:xfrm>
          <a:off x="2247900" y="45262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190" name="Text Box 2">
          <a:extLst>
            <a:ext uri="{FF2B5EF4-FFF2-40B4-BE49-F238E27FC236}">
              <a16:creationId xmlns:a16="http://schemas.microsoft.com/office/drawing/2014/main" id="{F48F6ADB-EAAA-4276-B19D-C58E528AF235}"/>
            </a:ext>
          </a:extLst>
        </xdr:cNvPr>
        <xdr:cNvSpPr txBox="1">
          <a:spLocks noChangeArrowheads="1"/>
        </xdr:cNvSpPr>
      </xdr:nvSpPr>
      <xdr:spPr bwMode="auto">
        <a:xfrm>
          <a:off x="9525000" y="367665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191" name="Text Box 2">
          <a:extLst>
            <a:ext uri="{FF2B5EF4-FFF2-40B4-BE49-F238E27FC236}">
              <a16:creationId xmlns:a16="http://schemas.microsoft.com/office/drawing/2014/main" id="{A165C087-2FB6-48DC-B1BD-64CAFFE9E248}"/>
            </a:ext>
          </a:extLst>
        </xdr:cNvPr>
        <xdr:cNvSpPr txBox="1">
          <a:spLocks noChangeArrowheads="1"/>
        </xdr:cNvSpPr>
      </xdr:nvSpPr>
      <xdr:spPr bwMode="auto">
        <a:xfrm>
          <a:off x="9525000" y="367665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192" name="Text Box 2">
          <a:extLst>
            <a:ext uri="{FF2B5EF4-FFF2-40B4-BE49-F238E27FC236}">
              <a16:creationId xmlns:a16="http://schemas.microsoft.com/office/drawing/2014/main" id="{715B3E60-2CBE-4009-891C-20A3853BDE74}"/>
            </a:ext>
          </a:extLst>
        </xdr:cNvPr>
        <xdr:cNvSpPr txBox="1">
          <a:spLocks noChangeArrowheads="1"/>
        </xdr:cNvSpPr>
      </xdr:nvSpPr>
      <xdr:spPr bwMode="auto">
        <a:xfrm>
          <a:off x="9525000" y="367665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193" name="Text Box 2">
          <a:extLst>
            <a:ext uri="{FF2B5EF4-FFF2-40B4-BE49-F238E27FC236}">
              <a16:creationId xmlns:a16="http://schemas.microsoft.com/office/drawing/2014/main" id="{F6207218-0121-43F7-8511-2B705E46DCCA}"/>
            </a:ext>
          </a:extLst>
        </xdr:cNvPr>
        <xdr:cNvSpPr txBox="1">
          <a:spLocks noChangeArrowheads="1"/>
        </xdr:cNvSpPr>
      </xdr:nvSpPr>
      <xdr:spPr bwMode="auto">
        <a:xfrm>
          <a:off x="9525000" y="367665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94" name="Text Box 2">
          <a:extLst>
            <a:ext uri="{FF2B5EF4-FFF2-40B4-BE49-F238E27FC236}">
              <a16:creationId xmlns:a16="http://schemas.microsoft.com/office/drawing/2014/main" id="{A991487A-EC20-41DE-8D1E-142210E55751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95" name="Text Box 2">
          <a:extLst>
            <a:ext uri="{FF2B5EF4-FFF2-40B4-BE49-F238E27FC236}">
              <a16:creationId xmlns:a16="http://schemas.microsoft.com/office/drawing/2014/main" id="{BC8B3F47-7401-4F66-97D1-67C531512EEA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96" name="Text Box 2">
          <a:extLst>
            <a:ext uri="{FF2B5EF4-FFF2-40B4-BE49-F238E27FC236}">
              <a16:creationId xmlns:a16="http://schemas.microsoft.com/office/drawing/2014/main" id="{971151A3-0FDB-46C9-BC53-C450509569F7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197" name="Text Box 2">
          <a:extLst>
            <a:ext uri="{FF2B5EF4-FFF2-40B4-BE49-F238E27FC236}">
              <a16:creationId xmlns:a16="http://schemas.microsoft.com/office/drawing/2014/main" id="{5F4186FD-406C-4ACC-98C9-D14C74F97247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198" name="Text Box 2">
          <a:extLst>
            <a:ext uri="{FF2B5EF4-FFF2-40B4-BE49-F238E27FC236}">
              <a16:creationId xmlns:a16="http://schemas.microsoft.com/office/drawing/2014/main" id="{C9E10FD8-92B2-431F-B97C-F75E54683D21}"/>
            </a:ext>
          </a:extLst>
        </xdr:cNvPr>
        <xdr:cNvSpPr txBox="1">
          <a:spLocks noChangeArrowheads="1"/>
        </xdr:cNvSpPr>
      </xdr:nvSpPr>
      <xdr:spPr bwMode="auto">
        <a:xfrm>
          <a:off x="9525000" y="43662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199" name="Text Box 2">
          <a:extLst>
            <a:ext uri="{FF2B5EF4-FFF2-40B4-BE49-F238E27FC236}">
              <a16:creationId xmlns:a16="http://schemas.microsoft.com/office/drawing/2014/main" id="{F4C7EFB6-AAF8-4914-A909-33D336EBAAD0}"/>
            </a:ext>
          </a:extLst>
        </xdr:cNvPr>
        <xdr:cNvSpPr txBox="1">
          <a:spLocks noChangeArrowheads="1"/>
        </xdr:cNvSpPr>
      </xdr:nvSpPr>
      <xdr:spPr bwMode="auto">
        <a:xfrm>
          <a:off x="9525000" y="43662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200" name="Text Box 2">
          <a:extLst>
            <a:ext uri="{FF2B5EF4-FFF2-40B4-BE49-F238E27FC236}">
              <a16:creationId xmlns:a16="http://schemas.microsoft.com/office/drawing/2014/main" id="{30654102-7AF0-4DE7-803D-F8A105F7C832}"/>
            </a:ext>
          </a:extLst>
        </xdr:cNvPr>
        <xdr:cNvSpPr txBox="1">
          <a:spLocks noChangeArrowheads="1"/>
        </xdr:cNvSpPr>
      </xdr:nvSpPr>
      <xdr:spPr bwMode="auto">
        <a:xfrm>
          <a:off x="9525000" y="43662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201" name="Text Box 2">
          <a:extLst>
            <a:ext uri="{FF2B5EF4-FFF2-40B4-BE49-F238E27FC236}">
              <a16:creationId xmlns:a16="http://schemas.microsoft.com/office/drawing/2014/main" id="{D6C37FC1-58AF-4DBE-92E8-4083AC30A08A}"/>
            </a:ext>
          </a:extLst>
        </xdr:cNvPr>
        <xdr:cNvSpPr txBox="1">
          <a:spLocks noChangeArrowheads="1"/>
        </xdr:cNvSpPr>
      </xdr:nvSpPr>
      <xdr:spPr bwMode="auto">
        <a:xfrm>
          <a:off x="9525000" y="43662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202" name="Text Box 2">
          <a:extLst>
            <a:ext uri="{FF2B5EF4-FFF2-40B4-BE49-F238E27FC236}">
              <a16:creationId xmlns:a16="http://schemas.microsoft.com/office/drawing/2014/main" id="{D124ECA8-AD43-4F41-B029-2C41F21614E7}"/>
            </a:ext>
          </a:extLst>
        </xdr:cNvPr>
        <xdr:cNvSpPr txBox="1">
          <a:spLocks noChangeArrowheads="1"/>
        </xdr:cNvSpPr>
      </xdr:nvSpPr>
      <xdr:spPr bwMode="auto">
        <a:xfrm>
          <a:off x="9525000" y="44043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203" name="Text Box 2">
          <a:extLst>
            <a:ext uri="{FF2B5EF4-FFF2-40B4-BE49-F238E27FC236}">
              <a16:creationId xmlns:a16="http://schemas.microsoft.com/office/drawing/2014/main" id="{0E9FAA5F-39D6-4FE0-A19D-0E82BA075E0F}"/>
            </a:ext>
          </a:extLst>
        </xdr:cNvPr>
        <xdr:cNvSpPr txBox="1">
          <a:spLocks noChangeArrowheads="1"/>
        </xdr:cNvSpPr>
      </xdr:nvSpPr>
      <xdr:spPr bwMode="auto">
        <a:xfrm>
          <a:off x="9525000" y="44043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204" name="Text Box 2">
          <a:extLst>
            <a:ext uri="{FF2B5EF4-FFF2-40B4-BE49-F238E27FC236}">
              <a16:creationId xmlns:a16="http://schemas.microsoft.com/office/drawing/2014/main" id="{B3BF41DF-2990-4666-842D-F58DC552379C}"/>
            </a:ext>
          </a:extLst>
        </xdr:cNvPr>
        <xdr:cNvSpPr txBox="1">
          <a:spLocks noChangeArrowheads="1"/>
        </xdr:cNvSpPr>
      </xdr:nvSpPr>
      <xdr:spPr bwMode="auto">
        <a:xfrm>
          <a:off x="9525000" y="44043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205" name="Text Box 2">
          <a:extLst>
            <a:ext uri="{FF2B5EF4-FFF2-40B4-BE49-F238E27FC236}">
              <a16:creationId xmlns:a16="http://schemas.microsoft.com/office/drawing/2014/main" id="{1F92D345-F0C1-4664-8E1E-53DD02D02D21}"/>
            </a:ext>
          </a:extLst>
        </xdr:cNvPr>
        <xdr:cNvSpPr txBox="1">
          <a:spLocks noChangeArrowheads="1"/>
        </xdr:cNvSpPr>
      </xdr:nvSpPr>
      <xdr:spPr bwMode="auto">
        <a:xfrm>
          <a:off x="9525000" y="44043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206" name="Text Box 2">
          <a:extLst>
            <a:ext uri="{FF2B5EF4-FFF2-40B4-BE49-F238E27FC236}">
              <a16:creationId xmlns:a16="http://schemas.microsoft.com/office/drawing/2014/main" id="{7DF71AA2-4722-49B6-B499-8CFCCF98CABA}"/>
            </a:ext>
          </a:extLst>
        </xdr:cNvPr>
        <xdr:cNvSpPr txBox="1">
          <a:spLocks noChangeArrowheads="1"/>
        </xdr:cNvSpPr>
      </xdr:nvSpPr>
      <xdr:spPr bwMode="auto">
        <a:xfrm>
          <a:off x="9525000" y="443865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207" name="Text Box 2">
          <a:extLst>
            <a:ext uri="{FF2B5EF4-FFF2-40B4-BE49-F238E27FC236}">
              <a16:creationId xmlns:a16="http://schemas.microsoft.com/office/drawing/2014/main" id="{D8FDB9DE-EF09-44CE-A89C-B2697B2DB3AE}"/>
            </a:ext>
          </a:extLst>
        </xdr:cNvPr>
        <xdr:cNvSpPr txBox="1">
          <a:spLocks noChangeArrowheads="1"/>
        </xdr:cNvSpPr>
      </xdr:nvSpPr>
      <xdr:spPr bwMode="auto">
        <a:xfrm>
          <a:off x="9525000" y="443865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208" name="Text Box 2">
          <a:extLst>
            <a:ext uri="{FF2B5EF4-FFF2-40B4-BE49-F238E27FC236}">
              <a16:creationId xmlns:a16="http://schemas.microsoft.com/office/drawing/2014/main" id="{963D8CAE-88AC-4FD4-A5C4-F71143A426DE}"/>
            </a:ext>
          </a:extLst>
        </xdr:cNvPr>
        <xdr:cNvSpPr txBox="1">
          <a:spLocks noChangeArrowheads="1"/>
        </xdr:cNvSpPr>
      </xdr:nvSpPr>
      <xdr:spPr bwMode="auto">
        <a:xfrm>
          <a:off x="9525000" y="443865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209" name="Text Box 2">
          <a:extLst>
            <a:ext uri="{FF2B5EF4-FFF2-40B4-BE49-F238E27FC236}">
              <a16:creationId xmlns:a16="http://schemas.microsoft.com/office/drawing/2014/main" id="{1DC61519-E13A-4DDB-AB23-71C9E3A7D654}"/>
            </a:ext>
          </a:extLst>
        </xdr:cNvPr>
        <xdr:cNvSpPr txBox="1">
          <a:spLocks noChangeArrowheads="1"/>
        </xdr:cNvSpPr>
      </xdr:nvSpPr>
      <xdr:spPr bwMode="auto">
        <a:xfrm>
          <a:off x="9525000" y="443865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210" name="Text Box 2">
          <a:extLst>
            <a:ext uri="{FF2B5EF4-FFF2-40B4-BE49-F238E27FC236}">
              <a16:creationId xmlns:a16="http://schemas.microsoft.com/office/drawing/2014/main" id="{E874B408-6F49-4D9F-B326-1DFF58535732}"/>
            </a:ext>
          </a:extLst>
        </xdr:cNvPr>
        <xdr:cNvSpPr txBox="1">
          <a:spLocks noChangeArrowheads="1"/>
        </xdr:cNvSpPr>
      </xdr:nvSpPr>
      <xdr:spPr bwMode="auto">
        <a:xfrm>
          <a:off x="9525000" y="445008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211" name="Text Box 2">
          <a:extLst>
            <a:ext uri="{FF2B5EF4-FFF2-40B4-BE49-F238E27FC236}">
              <a16:creationId xmlns:a16="http://schemas.microsoft.com/office/drawing/2014/main" id="{06B90EE5-AAAB-47FA-898D-E382D5AB9D67}"/>
            </a:ext>
          </a:extLst>
        </xdr:cNvPr>
        <xdr:cNvSpPr txBox="1">
          <a:spLocks noChangeArrowheads="1"/>
        </xdr:cNvSpPr>
      </xdr:nvSpPr>
      <xdr:spPr bwMode="auto">
        <a:xfrm>
          <a:off x="9525000" y="445008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212" name="Text Box 2">
          <a:extLst>
            <a:ext uri="{FF2B5EF4-FFF2-40B4-BE49-F238E27FC236}">
              <a16:creationId xmlns:a16="http://schemas.microsoft.com/office/drawing/2014/main" id="{F6EA58DE-9D0B-43F4-8628-52BFA22FEEA1}"/>
            </a:ext>
          </a:extLst>
        </xdr:cNvPr>
        <xdr:cNvSpPr txBox="1">
          <a:spLocks noChangeArrowheads="1"/>
        </xdr:cNvSpPr>
      </xdr:nvSpPr>
      <xdr:spPr bwMode="auto">
        <a:xfrm>
          <a:off x="9525000" y="445008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213" name="Text Box 2">
          <a:extLst>
            <a:ext uri="{FF2B5EF4-FFF2-40B4-BE49-F238E27FC236}">
              <a16:creationId xmlns:a16="http://schemas.microsoft.com/office/drawing/2014/main" id="{910EA88C-288D-4788-B726-7B3559290EEC}"/>
            </a:ext>
          </a:extLst>
        </xdr:cNvPr>
        <xdr:cNvSpPr txBox="1">
          <a:spLocks noChangeArrowheads="1"/>
        </xdr:cNvSpPr>
      </xdr:nvSpPr>
      <xdr:spPr bwMode="auto">
        <a:xfrm>
          <a:off x="9525000" y="445008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214" name="Text Box 2">
          <a:extLst>
            <a:ext uri="{FF2B5EF4-FFF2-40B4-BE49-F238E27FC236}">
              <a16:creationId xmlns:a16="http://schemas.microsoft.com/office/drawing/2014/main" id="{CF8C4619-6390-47F7-8B8E-E3ED9F6E660F}"/>
            </a:ext>
          </a:extLst>
        </xdr:cNvPr>
        <xdr:cNvSpPr txBox="1">
          <a:spLocks noChangeArrowheads="1"/>
        </xdr:cNvSpPr>
      </xdr:nvSpPr>
      <xdr:spPr bwMode="auto">
        <a:xfrm>
          <a:off x="9525000" y="44653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215" name="Text Box 2">
          <a:extLst>
            <a:ext uri="{FF2B5EF4-FFF2-40B4-BE49-F238E27FC236}">
              <a16:creationId xmlns:a16="http://schemas.microsoft.com/office/drawing/2014/main" id="{58937610-9029-4CA3-B69C-573EA9EB2031}"/>
            </a:ext>
          </a:extLst>
        </xdr:cNvPr>
        <xdr:cNvSpPr txBox="1">
          <a:spLocks noChangeArrowheads="1"/>
        </xdr:cNvSpPr>
      </xdr:nvSpPr>
      <xdr:spPr bwMode="auto">
        <a:xfrm>
          <a:off x="9525000" y="44653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216" name="Text Box 2">
          <a:extLst>
            <a:ext uri="{FF2B5EF4-FFF2-40B4-BE49-F238E27FC236}">
              <a16:creationId xmlns:a16="http://schemas.microsoft.com/office/drawing/2014/main" id="{700AD325-0ADB-4956-8AE5-1127249D8D26}"/>
            </a:ext>
          </a:extLst>
        </xdr:cNvPr>
        <xdr:cNvSpPr txBox="1">
          <a:spLocks noChangeArrowheads="1"/>
        </xdr:cNvSpPr>
      </xdr:nvSpPr>
      <xdr:spPr bwMode="auto">
        <a:xfrm>
          <a:off x="9525000" y="44653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217" name="Text Box 2">
          <a:extLst>
            <a:ext uri="{FF2B5EF4-FFF2-40B4-BE49-F238E27FC236}">
              <a16:creationId xmlns:a16="http://schemas.microsoft.com/office/drawing/2014/main" id="{DAF73567-A100-4551-BB2F-8A12312E506A}"/>
            </a:ext>
          </a:extLst>
        </xdr:cNvPr>
        <xdr:cNvSpPr txBox="1">
          <a:spLocks noChangeArrowheads="1"/>
        </xdr:cNvSpPr>
      </xdr:nvSpPr>
      <xdr:spPr bwMode="auto">
        <a:xfrm>
          <a:off x="9525000" y="44653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218" name="Text Box 2">
          <a:extLst>
            <a:ext uri="{FF2B5EF4-FFF2-40B4-BE49-F238E27FC236}">
              <a16:creationId xmlns:a16="http://schemas.microsoft.com/office/drawing/2014/main" id="{2080A08C-3030-46EB-A311-D3DB19E98DDE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219" name="Text Box 2">
          <a:extLst>
            <a:ext uri="{FF2B5EF4-FFF2-40B4-BE49-F238E27FC236}">
              <a16:creationId xmlns:a16="http://schemas.microsoft.com/office/drawing/2014/main" id="{CB7233DB-F4BB-4A90-9841-14D7406892B8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220" name="Text Box 2">
          <a:extLst>
            <a:ext uri="{FF2B5EF4-FFF2-40B4-BE49-F238E27FC236}">
              <a16:creationId xmlns:a16="http://schemas.microsoft.com/office/drawing/2014/main" id="{DDC0E853-978C-4F87-A718-71968EF5BF93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221" name="Text Box 2">
          <a:extLst>
            <a:ext uri="{FF2B5EF4-FFF2-40B4-BE49-F238E27FC236}">
              <a16:creationId xmlns:a16="http://schemas.microsoft.com/office/drawing/2014/main" id="{699A97F5-DB57-424B-B357-47A84A22196C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222" name="Text Box 2">
          <a:extLst>
            <a:ext uri="{FF2B5EF4-FFF2-40B4-BE49-F238E27FC236}">
              <a16:creationId xmlns:a16="http://schemas.microsoft.com/office/drawing/2014/main" id="{D5C77927-26A0-4FB2-B3CE-0D3DA90B25F7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223" name="Text Box 2">
          <a:extLst>
            <a:ext uri="{FF2B5EF4-FFF2-40B4-BE49-F238E27FC236}">
              <a16:creationId xmlns:a16="http://schemas.microsoft.com/office/drawing/2014/main" id="{4FF0BB72-768F-46CC-88E5-96CAC115AD33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224" name="Text Box 2">
          <a:extLst>
            <a:ext uri="{FF2B5EF4-FFF2-40B4-BE49-F238E27FC236}">
              <a16:creationId xmlns:a16="http://schemas.microsoft.com/office/drawing/2014/main" id="{D46B7A22-EA81-4B50-8DE6-DCAB5BBB2DBD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225" name="Text Box 2">
          <a:extLst>
            <a:ext uri="{FF2B5EF4-FFF2-40B4-BE49-F238E27FC236}">
              <a16:creationId xmlns:a16="http://schemas.microsoft.com/office/drawing/2014/main" id="{C530B501-2E7D-442B-B5D2-121A4686EE07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226" name="Text Box 2">
          <a:extLst>
            <a:ext uri="{FF2B5EF4-FFF2-40B4-BE49-F238E27FC236}">
              <a16:creationId xmlns:a16="http://schemas.microsoft.com/office/drawing/2014/main" id="{B7C4BA9E-D643-42CE-89E3-EDA3E9D5B0DE}"/>
            </a:ext>
          </a:extLst>
        </xdr:cNvPr>
        <xdr:cNvSpPr txBox="1">
          <a:spLocks noChangeArrowheads="1"/>
        </xdr:cNvSpPr>
      </xdr:nvSpPr>
      <xdr:spPr bwMode="auto">
        <a:xfrm>
          <a:off x="2247900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227" name="Text Box 2">
          <a:extLst>
            <a:ext uri="{FF2B5EF4-FFF2-40B4-BE49-F238E27FC236}">
              <a16:creationId xmlns:a16="http://schemas.microsoft.com/office/drawing/2014/main" id="{8BD1FD3C-1158-4437-9617-8BACB8904004}"/>
            </a:ext>
          </a:extLst>
        </xdr:cNvPr>
        <xdr:cNvSpPr txBox="1">
          <a:spLocks noChangeArrowheads="1"/>
        </xdr:cNvSpPr>
      </xdr:nvSpPr>
      <xdr:spPr bwMode="auto">
        <a:xfrm>
          <a:off x="2247900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228" name="Text Box 2">
          <a:extLst>
            <a:ext uri="{FF2B5EF4-FFF2-40B4-BE49-F238E27FC236}">
              <a16:creationId xmlns:a16="http://schemas.microsoft.com/office/drawing/2014/main" id="{890BD16C-1262-46C6-A1B0-8728FAD1FAEE}"/>
            </a:ext>
          </a:extLst>
        </xdr:cNvPr>
        <xdr:cNvSpPr txBox="1">
          <a:spLocks noChangeArrowheads="1"/>
        </xdr:cNvSpPr>
      </xdr:nvSpPr>
      <xdr:spPr bwMode="auto">
        <a:xfrm>
          <a:off x="2247900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229" name="Text Box 2">
          <a:extLst>
            <a:ext uri="{FF2B5EF4-FFF2-40B4-BE49-F238E27FC236}">
              <a16:creationId xmlns:a16="http://schemas.microsoft.com/office/drawing/2014/main" id="{C056269B-C622-4B5C-AD6A-361113F15A0F}"/>
            </a:ext>
          </a:extLst>
        </xdr:cNvPr>
        <xdr:cNvSpPr txBox="1">
          <a:spLocks noChangeArrowheads="1"/>
        </xdr:cNvSpPr>
      </xdr:nvSpPr>
      <xdr:spPr bwMode="auto">
        <a:xfrm>
          <a:off x="2247900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247</xdr:row>
      <xdr:rowOff>0</xdr:rowOff>
    </xdr:from>
    <xdr:to>
      <xdr:col>2</xdr:col>
      <xdr:colOff>387350</xdr:colOff>
      <xdr:row>252</xdr:row>
      <xdr:rowOff>268348</xdr:rowOff>
    </xdr:to>
    <xdr:sp macro="" textlink="">
      <xdr:nvSpPr>
        <xdr:cNvPr id="230" name="Text Box 2">
          <a:extLst>
            <a:ext uri="{FF2B5EF4-FFF2-40B4-BE49-F238E27FC236}">
              <a16:creationId xmlns:a16="http://schemas.microsoft.com/office/drawing/2014/main" id="{A00677B0-6DB9-434D-873B-D881A37474F4}"/>
            </a:ext>
          </a:extLst>
        </xdr:cNvPr>
        <xdr:cNvSpPr txBox="1">
          <a:spLocks noChangeArrowheads="1"/>
        </xdr:cNvSpPr>
      </xdr:nvSpPr>
      <xdr:spPr bwMode="auto">
        <a:xfrm>
          <a:off x="2247900" y="94107000"/>
          <a:ext cx="120650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387350</xdr:colOff>
      <xdr:row>252</xdr:row>
      <xdr:rowOff>268348</xdr:rowOff>
    </xdr:to>
    <xdr:sp macro="" textlink="">
      <xdr:nvSpPr>
        <xdr:cNvPr id="231" name="Text Box 2">
          <a:extLst>
            <a:ext uri="{FF2B5EF4-FFF2-40B4-BE49-F238E27FC236}">
              <a16:creationId xmlns:a16="http://schemas.microsoft.com/office/drawing/2014/main" id="{AF8306F0-1553-45BE-A310-8CD308CA982E}"/>
            </a:ext>
          </a:extLst>
        </xdr:cNvPr>
        <xdr:cNvSpPr txBox="1">
          <a:spLocks noChangeArrowheads="1"/>
        </xdr:cNvSpPr>
      </xdr:nvSpPr>
      <xdr:spPr bwMode="auto">
        <a:xfrm>
          <a:off x="2247900" y="94107000"/>
          <a:ext cx="120650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387350</xdr:colOff>
      <xdr:row>252</xdr:row>
      <xdr:rowOff>268348</xdr:rowOff>
    </xdr:to>
    <xdr:sp macro="" textlink="">
      <xdr:nvSpPr>
        <xdr:cNvPr id="232" name="Text Box 2">
          <a:extLst>
            <a:ext uri="{FF2B5EF4-FFF2-40B4-BE49-F238E27FC236}">
              <a16:creationId xmlns:a16="http://schemas.microsoft.com/office/drawing/2014/main" id="{5A2397CE-DF93-43EB-BE69-F9F0EF4A27DF}"/>
            </a:ext>
          </a:extLst>
        </xdr:cNvPr>
        <xdr:cNvSpPr txBox="1">
          <a:spLocks noChangeArrowheads="1"/>
        </xdr:cNvSpPr>
      </xdr:nvSpPr>
      <xdr:spPr bwMode="auto">
        <a:xfrm>
          <a:off x="2247900" y="94107000"/>
          <a:ext cx="120650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387350</xdr:colOff>
      <xdr:row>252</xdr:row>
      <xdr:rowOff>268348</xdr:rowOff>
    </xdr:to>
    <xdr:sp macro="" textlink="">
      <xdr:nvSpPr>
        <xdr:cNvPr id="233" name="Text Box 2">
          <a:extLst>
            <a:ext uri="{FF2B5EF4-FFF2-40B4-BE49-F238E27FC236}">
              <a16:creationId xmlns:a16="http://schemas.microsoft.com/office/drawing/2014/main" id="{B19D6659-3002-47AF-8A24-44FC879784F3}"/>
            </a:ext>
          </a:extLst>
        </xdr:cNvPr>
        <xdr:cNvSpPr txBox="1">
          <a:spLocks noChangeArrowheads="1"/>
        </xdr:cNvSpPr>
      </xdr:nvSpPr>
      <xdr:spPr bwMode="auto">
        <a:xfrm>
          <a:off x="2247900" y="94107000"/>
          <a:ext cx="120650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387350</xdr:colOff>
      <xdr:row>237</xdr:row>
      <xdr:rowOff>235096</xdr:rowOff>
    </xdr:to>
    <xdr:sp macro="" textlink="">
      <xdr:nvSpPr>
        <xdr:cNvPr id="234" name="Text Box 2">
          <a:extLst>
            <a:ext uri="{FF2B5EF4-FFF2-40B4-BE49-F238E27FC236}">
              <a16:creationId xmlns:a16="http://schemas.microsoft.com/office/drawing/2014/main" id="{8F88F9CD-143E-4D6F-A099-11ECCA1B0404}"/>
            </a:ext>
          </a:extLst>
        </xdr:cNvPr>
        <xdr:cNvSpPr txBox="1">
          <a:spLocks noChangeArrowheads="1"/>
        </xdr:cNvSpPr>
      </xdr:nvSpPr>
      <xdr:spPr bwMode="auto">
        <a:xfrm>
          <a:off x="2247900" y="86868000"/>
          <a:ext cx="120650" cy="3664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387350</xdr:colOff>
      <xdr:row>237</xdr:row>
      <xdr:rowOff>235096</xdr:rowOff>
    </xdr:to>
    <xdr:sp macro="" textlink="">
      <xdr:nvSpPr>
        <xdr:cNvPr id="235" name="Text Box 2">
          <a:extLst>
            <a:ext uri="{FF2B5EF4-FFF2-40B4-BE49-F238E27FC236}">
              <a16:creationId xmlns:a16="http://schemas.microsoft.com/office/drawing/2014/main" id="{4BA21F18-97E2-4021-85A5-A6389E2425F1}"/>
            </a:ext>
          </a:extLst>
        </xdr:cNvPr>
        <xdr:cNvSpPr txBox="1">
          <a:spLocks noChangeArrowheads="1"/>
        </xdr:cNvSpPr>
      </xdr:nvSpPr>
      <xdr:spPr bwMode="auto">
        <a:xfrm>
          <a:off x="2247900" y="86868000"/>
          <a:ext cx="120650" cy="3664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387350</xdr:colOff>
      <xdr:row>237</xdr:row>
      <xdr:rowOff>235096</xdr:rowOff>
    </xdr:to>
    <xdr:sp macro="" textlink="">
      <xdr:nvSpPr>
        <xdr:cNvPr id="236" name="Text Box 2">
          <a:extLst>
            <a:ext uri="{FF2B5EF4-FFF2-40B4-BE49-F238E27FC236}">
              <a16:creationId xmlns:a16="http://schemas.microsoft.com/office/drawing/2014/main" id="{3ECF91FB-55A8-4366-9DE9-AC2193998DD6}"/>
            </a:ext>
          </a:extLst>
        </xdr:cNvPr>
        <xdr:cNvSpPr txBox="1">
          <a:spLocks noChangeArrowheads="1"/>
        </xdr:cNvSpPr>
      </xdr:nvSpPr>
      <xdr:spPr bwMode="auto">
        <a:xfrm>
          <a:off x="2247900" y="86868000"/>
          <a:ext cx="120650" cy="3664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387350</xdr:colOff>
      <xdr:row>237</xdr:row>
      <xdr:rowOff>235096</xdr:rowOff>
    </xdr:to>
    <xdr:sp macro="" textlink="">
      <xdr:nvSpPr>
        <xdr:cNvPr id="237" name="Text Box 2">
          <a:extLst>
            <a:ext uri="{FF2B5EF4-FFF2-40B4-BE49-F238E27FC236}">
              <a16:creationId xmlns:a16="http://schemas.microsoft.com/office/drawing/2014/main" id="{D970C039-641E-49BA-95B0-98042D279B99}"/>
            </a:ext>
          </a:extLst>
        </xdr:cNvPr>
        <xdr:cNvSpPr txBox="1">
          <a:spLocks noChangeArrowheads="1"/>
        </xdr:cNvSpPr>
      </xdr:nvSpPr>
      <xdr:spPr bwMode="auto">
        <a:xfrm>
          <a:off x="2247900" y="86868000"/>
          <a:ext cx="120650" cy="3664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238" name="Text Box 2">
          <a:extLst>
            <a:ext uri="{FF2B5EF4-FFF2-40B4-BE49-F238E27FC236}">
              <a16:creationId xmlns:a16="http://schemas.microsoft.com/office/drawing/2014/main" id="{DA7099DC-3639-46E5-AD0B-3C6B7F24EF85}"/>
            </a:ext>
          </a:extLst>
        </xdr:cNvPr>
        <xdr:cNvSpPr txBox="1">
          <a:spLocks noChangeArrowheads="1"/>
        </xdr:cNvSpPr>
      </xdr:nvSpPr>
      <xdr:spPr bwMode="auto">
        <a:xfrm>
          <a:off x="2247900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239" name="Text Box 2">
          <a:extLst>
            <a:ext uri="{FF2B5EF4-FFF2-40B4-BE49-F238E27FC236}">
              <a16:creationId xmlns:a16="http://schemas.microsoft.com/office/drawing/2014/main" id="{479B1122-B54F-47A9-B7CC-97A5449A8E89}"/>
            </a:ext>
          </a:extLst>
        </xdr:cNvPr>
        <xdr:cNvSpPr txBox="1">
          <a:spLocks noChangeArrowheads="1"/>
        </xdr:cNvSpPr>
      </xdr:nvSpPr>
      <xdr:spPr bwMode="auto">
        <a:xfrm>
          <a:off x="2247900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240" name="Text Box 2">
          <a:extLst>
            <a:ext uri="{FF2B5EF4-FFF2-40B4-BE49-F238E27FC236}">
              <a16:creationId xmlns:a16="http://schemas.microsoft.com/office/drawing/2014/main" id="{80A1C0C0-6E84-45C0-A66A-37A06515FA9A}"/>
            </a:ext>
          </a:extLst>
        </xdr:cNvPr>
        <xdr:cNvSpPr txBox="1">
          <a:spLocks noChangeArrowheads="1"/>
        </xdr:cNvSpPr>
      </xdr:nvSpPr>
      <xdr:spPr bwMode="auto">
        <a:xfrm>
          <a:off x="2247900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241" name="Text Box 2">
          <a:extLst>
            <a:ext uri="{FF2B5EF4-FFF2-40B4-BE49-F238E27FC236}">
              <a16:creationId xmlns:a16="http://schemas.microsoft.com/office/drawing/2014/main" id="{14CC3CD1-4D92-469C-8857-47D57BB13EE7}"/>
            </a:ext>
          </a:extLst>
        </xdr:cNvPr>
        <xdr:cNvSpPr txBox="1">
          <a:spLocks noChangeArrowheads="1"/>
        </xdr:cNvSpPr>
      </xdr:nvSpPr>
      <xdr:spPr bwMode="auto">
        <a:xfrm>
          <a:off x="2247900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242" name="Text Box 2">
          <a:extLst>
            <a:ext uri="{FF2B5EF4-FFF2-40B4-BE49-F238E27FC236}">
              <a16:creationId xmlns:a16="http://schemas.microsoft.com/office/drawing/2014/main" id="{97803AEA-B407-43CB-9301-B06D83730D9F}"/>
            </a:ext>
          </a:extLst>
        </xdr:cNvPr>
        <xdr:cNvSpPr txBox="1">
          <a:spLocks noChangeArrowheads="1"/>
        </xdr:cNvSpPr>
      </xdr:nvSpPr>
      <xdr:spPr bwMode="auto">
        <a:xfrm>
          <a:off x="2247900" y="43891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243" name="Text Box 2">
          <a:extLst>
            <a:ext uri="{FF2B5EF4-FFF2-40B4-BE49-F238E27FC236}">
              <a16:creationId xmlns:a16="http://schemas.microsoft.com/office/drawing/2014/main" id="{6BC7E2C6-9AD3-4467-B670-618EACD96B48}"/>
            </a:ext>
          </a:extLst>
        </xdr:cNvPr>
        <xdr:cNvSpPr txBox="1">
          <a:spLocks noChangeArrowheads="1"/>
        </xdr:cNvSpPr>
      </xdr:nvSpPr>
      <xdr:spPr bwMode="auto">
        <a:xfrm>
          <a:off x="2247900" y="43891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244" name="Text Box 2">
          <a:extLst>
            <a:ext uri="{FF2B5EF4-FFF2-40B4-BE49-F238E27FC236}">
              <a16:creationId xmlns:a16="http://schemas.microsoft.com/office/drawing/2014/main" id="{93135D63-B6E3-4B1B-9683-E07FF2871B23}"/>
            </a:ext>
          </a:extLst>
        </xdr:cNvPr>
        <xdr:cNvSpPr txBox="1">
          <a:spLocks noChangeArrowheads="1"/>
        </xdr:cNvSpPr>
      </xdr:nvSpPr>
      <xdr:spPr bwMode="auto">
        <a:xfrm>
          <a:off x="2247900" y="43891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245" name="Text Box 2">
          <a:extLst>
            <a:ext uri="{FF2B5EF4-FFF2-40B4-BE49-F238E27FC236}">
              <a16:creationId xmlns:a16="http://schemas.microsoft.com/office/drawing/2014/main" id="{25B6160F-B899-430D-B06F-1155F960600B}"/>
            </a:ext>
          </a:extLst>
        </xdr:cNvPr>
        <xdr:cNvSpPr txBox="1">
          <a:spLocks noChangeArrowheads="1"/>
        </xdr:cNvSpPr>
      </xdr:nvSpPr>
      <xdr:spPr bwMode="auto">
        <a:xfrm>
          <a:off x="2247900" y="43891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1098</xdr:row>
      <xdr:rowOff>0</xdr:rowOff>
    </xdr:from>
    <xdr:to>
      <xdr:col>2</xdr:col>
      <xdr:colOff>387350</xdr:colOff>
      <xdr:row>1099</xdr:row>
      <xdr:rowOff>0</xdr:rowOff>
    </xdr:to>
    <xdr:sp macro="" textlink="">
      <xdr:nvSpPr>
        <xdr:cNvPr id="246" name="Text Box 2">
          <a:extLst>
            <a:ext uri="{FF2B5EF4-FFF2-40B4-BE49-F238E27FC236}">
              <a16:creationId xmlns:a16="http://schemas.microsoft.com/office/drawing/2014/main" id="{9B059511-EA01-4B37-9524-25F518406955}"/>
            </a:ext>
          </a:extLst>
        </xdr:cNvPr>
        <xdr:cNvSpPr txBox="1">
          <a:spLocks noChangeArrowheads="1"/>
        </xdr:cNvSpPr>
      </xdr:nvSpPr>
      <xdr:spPr bwMode="auto">
        <a:xfrm>
          <a:off x="2247900" y="418338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387350</xdr:colOff>
      <xdr:row>1099</xdr:row>
      <xdr:rowOff>0</xdr:rowOff>
    </xdr:to>
    <xdr:sp macro="" textlink="">
      <xdr:nvSpPr>
        <xdr:cNvPr id="247" name="Text Box 2">
          <a:extLst>
            <a:ext uri="{FF2B5EF4-FFF2-40B4-BE49-F238E27FC236}">
              <a16:creationId xmlns:a16="http://schemas.microsoft.com/office/drawing/2014/main" id="{3142730B-C4C6-425D-B6CA-D92B036606E5}"/>
            </a:ext>
          </a:extLst>
        </xdr:cNvPr>
        <xdr:cNvSpPr txBox="1">
          <a:spLocks noChangeArrowheads="1"/>
        </xdr:cNvSpPr>
      </xdr:nvSpPr>
      <xdr:spPr bwMode="auto">
        <a:xfrm>
          <a:off x="2247900" y="418338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387350</xdr:colOff>
      <xdr:row>1099</xdr:row>
      <xdr:rowOff>0</xdr:rowOff>
    </xdr:to>
    <xdr:sp macro="" textlink="">
      <xdr:nvSpPr>
        <xdr:cNvPr id="248" name="Text Box 2">
          <a:extLst>
            <a:ext uri="{FF2B5EF4-FFF2-40B4-BE49-F238E27FC236}">
              <a16:creationId xmlns:a16="http://schemas.microsoft.com/office/drawing/2014/main" id="{2B80AAEE-1CD4-4831-B937-706C044C803F}"/>
            </a:ext>
          </a:extLst>
        </xdr:cNvPr>
        <xdr:cNvSpPr txBox="1">
          <a:spLocks noChangeArrowheads="1"/>
        </xdr:cNvSpPr>
      </xdr:nvSpPr>
      <xdr:spPr bwMode="auto">
        <a:xfrm>
          <a:off x="2247900" y="418338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387350</xdr:colOff>
      <xdr:row>1099</xdr:row>
      <xdr:rowOff>0</xdr:rowOff>
    </xdr:to>
    <xdr:sp macro="" textlink="">
      <xdr:nvSpPr>
        <xdr:cNvPr id="249" name="Text Box 2">
          <a:extLst>
            <a:ext uri="{FF2B5EF4-FFF2-40B4-BE49-F238E27FC236}">
              <a16:creationId xmlns:a16="http://schemas.microsoft.com/office/drawing/2014/main" id="{74400580-848F-47FA-A0A1-444827D0A8C2}"/>
            </a:ext>
          </a:extLst>
        </xdr:cNvPr>
        <xdr:cNvSpPr txBox="1">
          <a:spLocks noChangeArrowheads="1"/>
        </xdr:cNvSpPr>
      </xdr:nvSpPr>
      <xdr:spPr bwMode="auto">
        <a:xfrm>
          <a:off x="2247900" y="418338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387350</xdr:colOff>
      <xdr:row>1085</xdr:row>
      <xdr:rowOff>9670</xdr:rowOff>
    </xdr:to>
    <xdr:sp macro="" textlink="">
      <xdr:nvSpPr>
        <xdr:cNvPr id="250" name="Text Box 2">
          <a:extLst>
            <a:ext uri="{FF2B5EF4-FFF2-40B4-BE49-F238E27FC236}">
              <a16:creationId xmlns:a16="http://schemas.microsoft.com/office/drawing/2014/main" id="{F18F1FD9-451B-40CA-9265-835F80013EF5}"/>
            </a:ext>
          </a:extLst>
        </xdr:cNvPr>
        <xdr:cNvSpPr txBox="1">
          <a:spLocks noChangeArrowheads="1"/>
        </xdr:cNvSpPr>
      </xdr:nvSpPr>
      <xdr:spPr bwMode="auto">
        <a:xfrm>
          <a:off x="2247900" y="411099000"/>
          <a:ext cx="120650" cy="229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387350</xdr:colOff>
      <xdr:row>1085</xdr:row>
      <xdr:rowOff>9670</xdr:rowOff>
    </xdr:to>
    <xdr:sp macro="" textlink="">
      <xdr:nvSpPr>
        <xdr:cNvPr id="251" name="Text Box 2">
          <a:extLst>
            <a:ext uri="{FF2B5EF4-FFF2-40B4-BE49-F238E27FC236}">
              <a16:creationId xmlns:a16="http://schemas.microsoft.com/office/drawing/2014/main" id="{F9E141F1-D1E6-4BB6-BDD6-1BB00BB8C7F9}"/>
            </a:ext>
          </a:extLst>
        </xdr:cNvPr>
        <xdr:cNvSpPr txBox="1">
          <a:spLocks noChangeArrowheads="1"/>
        </xdr:cNvSpPr>
      </xdr:nvSpPr>
      <xdr:spPr bwMode="auto">
        <a:xfrm>
          <a:off x="2247900" y="411099000"/>
          <a:ext cx="120650" cy="229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387350</xdr:colOff>
      <xdr:row>1085</xdr:row>
      <xdr:rowOff>9670</xdr:rowOff>
    </xdr:to>
    <xdr:sp macro="" textlink="">
      <xdr:nvSpPr>
        <xdr:cNvPr id="252" name="Text Box 2">
          <a:extLst>
            <a:ext uri="{FF2B5EF4-FFF2-40B4-BE49-F238E27FC236}">
              <a16:creationId xmlns:a16="http://schemas.microsoft.com/office/drawing/2014/main" id="{E509C5BA-23D7-4C07-9E3C-EB0D25517793}"/>
            </a:ext>
          </a:extLst>
        </xdr:cNvPr>
        <xdr:cNvSpPr txBox="1">
          <a:spLocks noChangeArrowheads="1"/>
        </xdr:cNvSpPr>
      </xdr:nvSpPr>
      <xdr:spPr bwMode="auto">
        <a:xfrm>
          <a:off x="2247900" y="411099000"/>
          <a:ext cx="120650" cy="229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387350</xdr:colOff>
      <xdr:row>1085</xdr:row>
      <xdr:rowOff>9670</xdr:rowOff>
    </xdr:to>
    <xdr:sp macro="" textlink="">
      <xdr:nvSpPr>
        <xdr:cNvPr id="253" name="Text Box 2">
          <a:extLst>
            <a:ext uri="{FF2B5EF4-FFF2-40B4-BE49-F238E27FC236}">
              <a16:creationId xmlns:a16="http://schemas.microsoft.com/office/drawing/2014/main" id="{98B85F9A-6711-4DDE-9E10-F2272147AC80}"/>
            </a:ext>
          </a:extLst>
        </xdr:cNvPr>
        <xdr:cNvSpPr txBox="1">
          <a:spLocks noChangeArrowheads="1"/>
        </xdr:cNvSpPr>
      </xdr:nvSpPr>
      <xdr:spPr bwMode="auto">
        <a:xfrm>
          <a:off x="2247900" y="411099000"/>
          <a:ext cx="120650" cy="229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254" name="Text Box 2">
          <a:extLst>
            <a:ext uri="{FF2B5EF4-FFF2-40B4-BE49-F238E27FC236}">
              <a16:creationId xmlns:a16="http://schemas.microsoft.com/office/drawing/2014/main" id="{4E0AB96A-396F-47B1-993B-61B79359B0AF}"/>
            </a:ext>
          </a:extLst>
        </xdr:cNvPr>
        <xdr:cNvSpPr txBox="1">
          <a:spLocks noChangeArrowheads="1"/>
        </xdr:cNvSpPr>
      </xdr:nvSpPr>
      <xdr:spPr bwMode="auto">
        <a:xfrm>
          <a:off x="2247900" y="43548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255" name="Text Box 2">
          <a:extLst>
            <a:ext uri="{FF2B5EF4-FFF2-40B4-BE49-F238E27FC236}">
              <a16:creationId xmlns:a16="http://schemas.microsoft.com/office/drawing/2014/main" id="{9F0F3296-0005-42C3-9202-8FC84842D160}"/>
            </a:ext>
          </a:extLst>
        </xdr:cNvPr>
        <xdr:cNvSpPr txBox="1">
          <a:spLocks noChangeArrowheads="1"/>
        </xdr:cNvSpPr>
      </xdr:nvSpPr>
      <xdr:spPr bwMode="auto">
        <a:xfrm>
          <a:off x="2247900" y="43548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256" name="Text Box 2">
          <a:extLst>
            <a:ext uri="{FF2B5EF4-FFF2-40B4-BE49-F238E27FC236}">
              <a16:creationId xmlns:a16="http://schemas.microsoft.com/office/drawing/2014/main" id="{8E91DDA0-9434-42E2-9225-45148398B1EE}"/>
            </a:ext>
          </a:extLst>
        </xdr:cNvPr>
        <xdr:cNvSpPr txBox="1">
          <a:spLocks noChangeArrowheads="1"/>
        </xdr:cNvSpPr>
      </xdr:nvSpPr>
      <xdr:spPr bwMode="auto">
        <a:xfrm>
          <a:off x="2247900" y="43548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257" name="Text Box 2">
          <a:extLst>
            <a:ext uri="{FF2B5EF4-FFF2-40B4-BE49-F238E27FC236}">
              <a16:creationId xmlns:a16="http://schemas.microsoft.com/office/drawing/2014/main" id="{047EF2D2-F3A4-42F2-891D-CD4121B484FB}"/>
            </a:ext>
          </a:extLst>
        </xdr:cNvPr>
        <xdr:cNvSpPr txBox="1">
          <a:spLocks noChangeArrowheads="1"/>
        </xdr:cNvSpPr>
      </xdr:nvSpPr>
      <xdr:spPr bwMode="auto">
        <a:xfrm>
          <a:off x="2247900" y="43548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258" name="Text Box 2">
          <a:extLst>
            <a:ext uri="{FF2B5EF4-FFF2-40B4-BE49-F238E27FC236}">
              <a16:creationId xmlns:a16="http://schemas.microsoft.com/office/drawing/2014/main" id="{6A28A2DB-88D5-4881-9F64-17B8416CBADC}"/>
            </a:ext>
          </a:extLst>
        </xdr:cNvPr>
        <xdr:cNvSpPr txBox="1">
          <a:spLocks noChangeArrowheads="1"/>
        </xdr:cNvSpPr>
      </xdr:nvSpPr>
      <xdr:spPr bwMode="auto">
        <a:xfrm>
          <a:off x="2247900" y="44081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259" name="Text Box 2">
          <a:extLst>
            <a:ext uri="{FF2B5EF4-FFF2-40B4-BE49-F238E27FC236}">
              <a16:creationId xmlns:a16="http://schemas.microsoft.com/office/drawing/2014/main" id="{A922A9EF-4825-4BC9-AD03-2491160DFA3A}"/>
            </a:ext>
          </a:extLst>
        </xdr:cNvPr>
        <xdr:cNvSpPr txBox="1">
          <a:spLocks noChangeArrowheads="1"/>
        </xdr:cNvSpPr>
      </xdr:nvSpPr>
      <xdr:spPr bwMode="auto">
        <a:xfrm>
          <a:off x="2247900" y="44081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260" name="Text Box 2">
          <a:extLst>
            <a:ext uri="{FF2B5EF4-FFF2-40B4-BE49-F238E27FC236}">
              <a16:creationId xmlns:a16="http://schemas.microsoft.com/office/drawing/2014/main" id="{CDE3B2D5-0402-4F28-87FC-C159A18CAF25}"/>
            </a:ext>
          </a:extLst>
        </xdr:cNvPr>
        <xdr:cNvSpPr txBox="1">
          <a:spLocks noChangeArrowheads="1"/>
        </xdr:cNvSpPr>
      </xdr:nvSpPr>
      <xdr:spPr bwMode="auto">
        <a:xfrm>
          <a:off x="2247900" y="44081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261" name="Text Box 2">
          <a:extLst>
            <a:ext uri="{FF2B5EF4-FFF2-40B4-BE49-F238E27FC236}">
              <a16:creationId xmlns:a16="http://schemas.microsoft.com/office/drawing/2014/main" id="{8A2D031E-947A-4DF7-8073-87233912F649}"/>
            </a:ext>
          </a:extLst>
        </xdr:cNvPr>
        <xdr:cNvSpPr txBox="1">
          <a:spLocks noChangeArrowheads="1"/>
        </xdr:cNvSpPr>
      </xdr:nvSpPr>
      <xdr:spPr bwMode="auto">
        <a:xfrm>
          <a:off x="2247900" y="44081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1102</xdr:row>
      <xdr:rowOff>0</xdr:rowOff>
    </xdr:from>
    <xdr:to>
      <xdr:col>2</xdr:col>
      <xdr:colOff>387350</xdr:colOff>
      <xdr:row>1104</xdr:row>
      <xdr:rowOff>87373</xdr:rowOff>
    </xdr:to>
    <xdr:sp macro="" textlink="">
      <xdr:nvSpPr>
        <xdr:cNvPr id="262" name="Text Box 2">
          <a:extLst>
            <a:ext uri="{FF2B5EF4-FFF2-40B4-BE49-F238E27FC236}">
              <a16:creationId xmlns:a16="http://schemas.microsoft.com/office/drawing/2014/main" id="{DC20E9F5-E460-429F-838E-ECBA820B8D03}"/>
            </a:ext>
          </a:extLst>
        </xdr:cNvPr>
        <xdr:cNvSpPr txBox="1">
          <a:spLocks noChangeArrowheads="1"/>
        </xdr:cNvSpPr>
      </xdr:nvSpPr>
      <xdr:spPr bwMode="auto">
        <a:xfrm>
          <a:off x="2247900" y="419862000"/>
          <a:ext cx="120650" cy="849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387350</xdr:colOff>
      <xdr:row>1104</xdr:row>
      <xdr:rowOff>87373</xdr:rowOff>
    </xdr:to>
    <xdr:sp macro="" textlink="">
      <xdr:nvSpPr>
        <xdr:cNvPr id="263" name="Text Box 2">
          <a:extLst>
            <a:ext uri="{FF2B5EF4-FFF2-40B4-BE49-F238E27FC236}">
              <a16:creationId xmlns:a16="http://schemas.microsoft.com/office/drawing/2014/main" id="{7DBC77A8-50AE-40FF-9D83-0230902A994E}"/>
            </a:ext>
          </a:extLst>
        </xdr:cNvPr>
        <xdr:cNvSpPr txBox="1">
          <a:spLocks noChangeArrowheads="1"/>
        </xdr:cNvSpPr>
      </xdr:nvSpPr>
      <xdr:spPr bwMode="auto">
        <a:xfrm>
          <a:off x="2247900" y="419862000"/>
          <a:ext cx="120650" cy="849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387350</xdr:colOff>
      <xdr:row>1104</xdr:row>
      <xdr:rowOff>87373</xdr:rowOff>
    </xdr:to>
    <xdr:sp macro="" textlink="">
      <xdr:nvSpPr>
        <xdr:cNvPr id="264" name="Text Box 2">
          <a:extLst>
            <a:ext uri="{FF2B5EF4-FFF2-40B4-BE49-F238E27FC236}">
              <a16:creationId xmlns:a16="http://schemas.microsoft.com/office/drawing/2014/main" id="{21105540-D11C-4665-968F-2FF6C9D22EEA}"/>
            </a:ext>
          </a:extLst>
        </xdr:cNvPr>
        <xdr:cNvSpPr txBox="1">
          <a:spLocks noChangeArrowheads="1"/>
        </xdr:cNvSpPr>
      </xdr:nvSpPr>
      <xdr:spPr bwMode="auto">
        <a:xfrm>
          <a:off x="2247900" y="419862000"/>
          <a:ext cx="120650" cy="849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387350</xdr:colOff>
      <xdr:row>1104</xdr:row>
      <xdr:rowOff>87373</xdr:rowOff>
    </xdr:to>
    <xdr:sp macro="" textlink="">
      <xdr:nvSpPr>
        <xdr:cNvPr id="265" name="Text Box 2">
          <a:extLst>
            <a:ext uri="{FF2B5EF4-FFF2-40B4-BE49-F238E27FC236}">
              <a16:creationId xmlns:a16="http://schemas.microsoft.com/office/drawing/2014/main" id="{0C99EA28-07B9-434C-B8AD-02F0E074E0FA}"/>
            </a:ext>
          </a:extLst>
        </xdr:cNvPr>
        <xdr:cNvSpPr txBox="1">
          <a:spLocks noChangeArrowheads="1"/>
        </xdr:cNvSpPr>
      </xdr:nvSpPr>
      <xdr:spPr bwMode="auto">
        <a:xfrm>
          <a:off x="2247900" y="419862000"/>
          <a:ext cx="120650" cy="849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387350</xdr:colOff>
      <xdr:row>1099</xdr:row>
      <xdr:rowOff>120795</xdr:rowOff>
    </xdr:to>
    <xdr:sp macro="" textlink="">
      <xdr:nvSpPr>
        <xdr:cNvPr id="266" name="Text Box 2">
          <a:extLst>
            <a:ext uri="{FF2B5EF4-FFF2-40B4-BE49-F238E27FC236}">
              <a16:creationId xmlns:a16="http://schemas.microsoft.com/office/drawing/2014/main" id="{F7626275-C4AE-4D64-A168-B15CFCA7FBDD}"/>
            </a:ext>
          </a:extLst>
        </xdr:cNvPr>
        <xdr:cNvSpPr txBox="1">
          <a:spLocks noChangeArrowheads="1"/>
        </xdr:cNvSpPr>
      </xdr:nvSpPr>
      <xdr:spPr bwMode="auto">
        <a:xfrm>
          <a:off x="2247900" y="412242000"/>
          <a:ext cx="120650" cy="6597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387350</xdr:colOff>
      <xdr:row>1099</xdr:row>
      <xdr:rowOff>120795</xdr:rowOff>
    </xdr:to>
    <xdr:sp macro="" textlink="">
      <xdr:nvSpPr>
        <xdr:cNvPr id="267" name="Text Box 2">
          <a:extLst>
            <a:ext uri="{FF2B5EF4-FFF2-40B4-BE49-F238E27FC236}">
              <a16:creationId xmlns:a16="http://schemas.microsoft.com/office/drawing/2014/main" id="{AE9AE78D-3F2C-40DC-B3B4-3F64AD030413}"/>
            </a:ext>
          </a:extLst>
        </xdr:cNvPr>
        <xdr:cNvSpPr txBox="1">
          <a:spLocks noChangeArrowheads="1"/>
        </xdr:cNvSpPr>
      </xdr:nvSpPr>
      <xdr:spPr bwMode="auto">
        <a:xfrm>
          <a:off x="2247900" y="412242000"/>
          <a:ext cx="120650" cy="6597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387350</xdr:colOff>
      <xdr:row>1099</xdr:row>
      <xdr:rowOff>120795</xdr:rowOff>
    </xdr:to>
    <xdr:sp macro="" textlink="">
      <xdr:nvSpPr>
        <xdr:cNvPr id="268" name="Text Box 2">
          <a:extLst>
            <a:ext uri="{FF2B5EF4-FFF2-40B4-BE49-F238E27FC236}">
              <a16:creationId xmlns:a16="http://schemas.microsoft.com/office/drawing/2014/main" id="{F4AB121E-FCA1-401B-9A6E-A1E9125D82CB}"/>
            </a:ext>
          </a:extLst>
        </xdr:cNvPr>
        <xdr:cNvSpPr txBox="1">
          <a:spLocks noChangeArrowheads="1"/>
        </xdr:cNvSpPr>
      </xdr:nvSpPr>
      <xdr:spPr bwMode="auto">
        <a:xfrm>
          <a:off x="2247900" y="412242000"/>
          <a:ext cx="120650" cy="6597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387350</xdr:colOff>
      <xdr:row>1099</xdr:row>
      <xdr:rowOff>120795</xdr:rowOff>
    </xdr:to>
    <xdr:sp macro="" textlink="">
      <xdr:nvSpPr>
        <xdr:cNvPr id="269" name="Text Box 2">
          <a:extLst>
            <a:ext uri="{FF2B5EF4-FFF2-40B4-BE49-F238E27FC236}">
              <a16:creationId xmlns:a16="http://schemas.microsoft.com/office/drawing/2014/main" id="{3670868A-A6BA-48C1-8387-40542DFC1B26}"/>
            </a:ext>
          </a:extLst>
        </xdr:cNvPr>
        <xdr:cNvSpPr txBox="1">
          <a:spLocks noChangeArrowheads="1"/>
        </xdr:cNvSpPr>
      </xdr:nvSpPr>
      <xdr:spPr bwMode="auto">
        <a:xfrm>
          <a:off x="2247900" y="412242000"/>
          <a:ext cx="120650" cy="6597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270" name="Text Box 2">
          <a:extLst>
            <a:ext uri="{FF2B5EF4-FFF2-40B4-BE49-F238E27FC236}">
              <a16:creationId xmlns:a16="http://schemas.microsoft.com/office/drawing/2014/main" id="{1704DC39-9214-413D-8F65-957A76B6F2B5}"/>
            </a:ext>
          </a:extLst>
        </xdr:cNvPr>
        <xdr:cNvSpPr txBox="1">
          <a:spLocks noChangeArrowheads="1"/>
        </xdr:cNvSpPr>
      </xdr:nvSpPr>
      <xdr:spPr bwMode="auto">
        <a:xfrm>
          <a:off x="2247900" y="43700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271" name="Text Box 2">
          <a:extLst>
            <a:ext uri="{FF2B5EF4-FFF2-40B4-BE49-F238E27FC236}">
              <a16:creationId xmlns:a16="http://schemas.microsoft.com/office/drawing/2014/main" id="{56B70DB4-30F2-4886-A4BF-C3581FB709E4}"/>
            </a:ext>
          </a:extLst>
        </xdr:cNvPr>
        <xdr:cNvSpPr txBox="1">
          <a:spLocks noChangeArrowheads="1"/>
        </xdr:cNvSpPr>
      </xdr:nvSpPr>
      <xdr:spPr bwMode="auto">
        <a:xfrm>
          <a:off x="2247900" y="43700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272" name="Text Box 2">
          <a:extLst>
            <a:ext uri="{FF2B5EF4-FFF2-40B4-BE49-F238E27FC236}">
              <a16:creationId xmlns:a16="http://schemas.microsoft.com/office/drawing/2014/main" id="{9ECE2347-E277-4E1B-9BEC-8BBE633C4489}"/>
            </a:ext>
          </a:extLst>
        </xdr:cNvPr>
        <xdr:cNvSpPr txBox="1">
          <a:spLocks noChangeArrowheads="1"/>
        </xdr:cNvSpPr>
      </xdr:nvSpPr>
      <xdr:spPr bwMode="auto">
        <a:xfrm>
          <a:off x="2247900" y="43700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273" name="Text Box 2">
          <a:extLst>
            <a:ext uri="{FF2B5EF4-FFF2-40B4-BE49-F238E27FC236}">
              <a16:creationId xmlns:a16="http://schemas.microsoft.com/office/drawing/2014/main" id="{58F07FBB-5266-4EB7-AEDC-74C86C7353AD}"/>
            </a:ext>
          </a:extLst>
        </xdr:cNvPr>
        <xdr:cNvSpPr txBox="1">
          <a:spLocks noChangeArrowheads="1"/>
        </xdr:cNvSpPr>
      </xdr:nvSpPr>
      <xdr:spPr bwMode="auto">
        <a:xfrm>
          <a:off x="2247900" y="43700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274" name="Text Box 2">
          <a:extLst>
            <a:ext uri="{FF2B5EF4-FFF2-40B4-BE49-F238E27FC236}">
              <a16:creationId xmlns:a16="http://schemas.microsoft.com/office/drawing/2014/main" id="{5AAE4933-13E4-45C3-80AD-52B79E3D725B}"/>
            </a:ext>
          </a:extLst>
        </xdr:cNvPr>
        <xdr:cNvSpPr txBox="1">
          <a:spLocks noChangeArrowheads="1"/>
        </xdr:cNvSpPr>
      </xdr:nvSpPr>
      <xdr:spPr bwMode="auto">
        <a:xfrm>
          <a:off x="2247900" y="268986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275" name="Text Box 2">
          <a:extLst>
            <a:ext uri="{FF2B5EF4-FFF2-40B4-BE49-F238E27FC236}">
              <a16:creationId xmlns:a16="http://schemas.microsoft.com/office/drawing/2014/main" id="{37300898-1670-4CA0-B6A1-86A664182B0C}"/>
            </a:ext>
          </a:extLst>
        </xdr:cNvPr>
        <xdr:cNvSpPr txBox="1">
          <a:spLocks noChangeArrowheads="1"/>
        </xdr:cNvSpPr>
      </xdr:nvSpPr>
      <xdr:spPr bwMode="auto">
        <a:xfrm>
          <a:off x="2247900" y="268986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276" name="Text Box 2">
          <a:extLst>
            <a:ext uri="{FF2B5EF4-FFF2-40B4-BE49-F238E27FC236}">
              <a16:creationId xmlns:a16="http://schemas.microsoft.com/office/drawing/2014/main" id="{289470F9-3EBF-4498-B249-11F89CC24A5F}"/>
            </a:ext>
          </a:extLst>
        </xdr:cNvPr>
        <xdr:cNvSpPr txBox="1">
          <a:spLocks noChangeArrowheads="1"/>
        </xdr:cNvSpPr>
      </xdr:nvSpPr>
      <xdr:spPr bwMode="auto">
        <a:xfrm>
          <a:off x="2247900" y="268986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277" name="Text Box 2">
          <a:extLst>
            <a:ext uri="{FF2B5EF4-FFF2-40B4-BE49-F238E27FC236}">
              <a16:creationId xmlns:a16="http://schemas.microsoft.com/office/drawing/2014/main" id="{0276BFD8-50FA-4959-923B-62044B82D477}"/>
            </a:ext>
          </a:extLst>
        </xdr:cNvPr>
        <xdr:cNvSpPr txBox="1">
          <a:spLocks noChangeArrowheads="1"/>
        </xdr:cNvSpPr>
      </xdr:nvSpPr>
      <xdr:spPr bwMode="auto">
        <a:xfrm>
          <a:off x="2247900" y="268986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661</xdr:row>
      <xdr:rowOff>0</xdr:rowOff>
    </xdr:from>
    <xdr:to>
      <xdr:col>2</xdr:col>
      <xdr:colOff>390525</xdr:colOff>
      <xdr:row>666</xdr:row>
      <xdr:rowOff>268614</xdr:rowOff>
    </xdr:to>
    <xdr:sp macro="" textlink="">
      <xdr:nvSpPr>
        <xdr:cNvPr id="278" name="Text Box 2">
          <a:extLst>
            <a:ext uri="{FF2B5EF4-FFF2-40B4-BE49-F238E27FC236}">
              <a16:creationId xmlns:a16="http://schemas.microsoft.com/office/drawing/2014/main" id="{E461B423-E180-41C2-B75D-05814726A00F}"/>
            </a:ext>
          </a:extLst>
        </xdr:cNvPr>
        <xdr:cNvSpPr txBox="1">
          <a:spLocks noChangeArrowheads="1"/>
        </xdr:cNvSpPr>
      </xdr:nvSpPr>
      <xdr:spPr bwMode="auto">
        <a:xfrm>
          <a:off x="2247900" y="251841000"/>
          <a:ext cx="123825" cy="2173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390525</xdr:colOff>
      <xdr:row>666</xdr:row>
      <xdr:rowOff>268614</xdr:rowOff>
    </xdr:to>
    <xdr:sp macro="" textlink="">
      <xdr:nvSpPr>
        <xdr:cNvPr id="279" name="Text Box 2">
          <a:extLst>
            <a:ext uri="{FF2B5EF4-FFF2-40B4-BE49-F238E27FC236}">
              <a16:creationId xmlns:a16="http://schemas.microsoft.com/office/drawing/2014/main" id="{A520F240-8775-49A9-8098-EB0B3FD773DA}"/>
            </a:ext>
          </a:extLst>
        </xdr:cNvPr>
        <xdr:cNvSpPr txBox="1">
          <a:spLocks noChangeArrowheads="1"/>
        </xdr:cNvSpPr>
      </xdr:nvSpPr>
      <xdr:spPr bwMode="auto">
        <a:xfrm>
          <a:off x="2247900" y="251841000"/>
          <a:ext cx="123825" cy="2173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390525</xdr:colOff>
      <xdr:row>666</xdr:row>
      <xdr:rowOff>268614</xdr:rowOff>
    </xdr:to>
    <xdr:sp macro="" textlink="">
      <xdr:nvSpPr>
        <xdr:cNvPr id="280" name="Text Box 2">
          <a:extLst>
            <a:ext uri="{FF2B5EF4-FFF2-40B4-BE49-F238E27FC236}">
              <a16:creationId xmlns:a16="http://schemas.microsoft.com/office/drawing/2014/main" id="{7A3988ED-A20D-450E-B7B5-8443B15CC9A2}"/>
            </a:ext>
          </a:extLst>
        </xdr:cNvPr>
        <xdr:cNvSpPr txBox="1">
          <a:spLocks noChangeArrowheads="1"/>
        </xdr:cNvSpPr>
      </xdr:nvSpPr>
      <xdr:spPr bwMode="auto">
        <a:xfrm>
          <a:off x="2247900" y="251841000"/>
          <a:ext cx="123825" cy="2173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390525</xdr:colOff>
      <xdr:row>666</xdr:row>
      <xdr:rowOff>268614</xdr:rowOff>
    </xdr:to>
    <xdr:sp macro="" textlink="">
      <xdr:nvSpPr>
        <xdr:cNvPr id="281" name="Text Box 2">
          <a:extLst>
            <a:ext uri="{FF2B5EF4-FFF2-40B4-BE49-F238E27FC236}">
              <a16:creationId xmlns:a16="http://schemas.microsoft.com/office/drawing/2014/main" id="{A624F120-9FAF-4ACC-8DFE-CA1F8D6F3B4D}"/>
            </a:ext>
          </a:extLst>
        </xdr:cNvPr>
        <xdr:cNvSpPr txBox="1">
          <a:spLocks noChangeArrowheads="1"/>
        </xdr:cNvSpPr>
      </xdr:nvSpPr>
      <xdr:spPr bwMode="auto">
        <a:xfrm>
          <a:off x="2247900" y="251841000"/>
          <a:ext cx="123825" cy="2173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390525</xdr:colOff>
      <xdr:row>657</xdr:row>
      <xdr:rowOff>200436</xdr:rowOff>
    </xdr:to>
    <xdr:sp macro="" textlink="">
      <xdr:nvSpPr>
        <xdr:cNvPr id="282" name="Text Box 2">
          <a:extLst>
            <a:ext uri="{FF2B5EF4-FFF2-40B4-BE49-F238E27FC236}">
              <a16:creationId xmlns:a16="http://schemas.microsoft.com/office/drawing/2014/main" id="{ED221178-5EBB-493E-A277-77A7E8218050}"/>
            </a:ext>
          </a:extLst>
        </xdr:cNvPr>
        <xdr:cNvSpPr txBox="1">
          <a:spLocks noChangeArrowheads="1"/>
        </xdr:cNvSpPr>
      </xdr:nvSpPr>
      <xdr:spPr bwMode="auto">
        <a:xfrm>
          <a:off x="2247900" y="246888000"/>
          <a:ext cx="123825" cy="362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390525</xdr:colOff>
      <xdr:row>657</xdr:row>
      <xdr:rowOff>200436</xdr:rowOff>
    </xdr:to>
    <xdr:sp macro="" textlink="">
      <xdr:nvSpPr>
        <xdr:cNvPr id="283" name="Text Box 2">
          <a:extLst>
            <a:ext uri="{FF2B5EF4-FFF2-40B4-BE49-F238E27FC236}">
              <a16:creationId xmlns:a16="http://schemas.microsoft.com/office/drawing/2014/main" id="{1E05645C-C47C-4CBA-9BEF-4BAD09372E2F}"/>
            </a:ext>
          </a:extLst>
        </xdr:cNvPr>
        <xdr:cNvSpPr txBox="1">
          <a:spLocks noChangeArrowheads="1"/>
        </xdr:cNvSpPr>
      </xdr:nvSpPr>
      <xdr:spPr bwMode="auto">
        <a:xfrm>
          <a:off x="2247900" y="246888000"/>
          <a:ext cx="123825" cy="362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390525</xdr:colOff>
      <xdr:row>657</xdr:row>
      <xdr:rowOff>200436</xdr:rowOff>
    </xdr:to>
    <xdr:sp macro="" textlink="">
      <xdr:nvSpPr>
        <xdr:cNvPr id="284" name="Text Box 2">
          <a:extLst>
            <a:ext uri="{FF2B5EF4-FFF2-40B4-BE49-F238E27FC236}">
              <a16:creationId xmlns:a16="http://schemas.microsoft.com/office/drawing/2014/main" id="{11EF7FB9-0A43-4AE7-BF60-903139212211}"/>
            </a:ext>
          </a:extLst>
        </xdr:cNvPr>
        <xdr:cNvSpPr txBox="1">
          <a:spLocks noChangeArrowheads="1"/>
        </xdr:cNvSpPr>
      </xdr:nvSpPr>
      <xdr:spPr bwMode="auto">
        <a:xfrm>
          <a:off x="2247900" y="246888000"/>
          <a:ext cx="123825" cy="362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390525</xdr:colOff>
      <xdr:row>657</xdr:row>
      <xdr:rowOff>200436</xdr:rowOff>
    </xdr:to>
    <xdr:sp macro="" textlink="">
      <xdr:nvSpPr>
        <xdr:cNvPr id="285" name="Text Box 2">
          <a:extLst>
            <a:ext uri="{FF2B5EF4-FFF2-40B4-BE49-F238E27FC236}">
              <a16:creationId xmlns:a16="http://schemas.microsoft.com/office/drawing/2014/main" id="{88F1820E-DC1F-4EFB-92E4-A4D97A497141}"/>
            </a:ext>
          </a:extLst>
        </xdr:cNvPr>
        <xdr:cNvSpPr txBox="1">
          <a:spLocks noChangeArrowheads="1"/>
        </xdr:cNvSpPr>
      </xdr:nvSpPr>
      <xdr:spPr bwMode="auto">
        <a:xfrm>
          <a:off x="2247900" y="246888000"/>
          <a:ext cx="123825" cy="362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286" name="Text Box 2">
          <a:extLst>
            <a:ext uri="{FF2B5EF4-FFF2-40B4-BE49-F238E27FC236}">
              <a16:creationId xmlns:a16="http://schemas.microsoft.com/office/drawing/2014/main" id="{DC69DAC6-408D-49E1-9540-1DCD37FF3DAA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287" name="Text Box 2">
          <a:extLst>
            <a:ext uri="{FF2B5EF4-FFF2-40B4-BE49-F238E27FC236}">
              <a16:creationId xmlns:a16="http://schemas.microsoft.com/office/drawing/2014/main" id="{9BD8FA9E-C054-4C9B-BB60-C98B2FFC6E47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288" name="Text Box 2">
          <a:extLst>
            <a:ext uri="{FF2B5EF4-FFF2-40B4-BE49-F238E27FC236}">
              <a16:creationId xmlns:a16="http://schemas.microsoft.com/office/drawing/2014/main" id="{6B05220A-B69B-4483-8F30-86A253065A3E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289" name="Text Box 2">
          <a:extLst>
            <a:ext uri="{FF2B5EF4-FFF2-40B4-BE49-F238E27FC236}">
              <a16:creationId xmlns:a16="http://schemas.microsoft.com/office/drawing/2014/main" id="{FB320DBA-9BD0-4605-9C01-AF3159E2EFA0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1145</xdr:row>
      <xdr:rowOff>0</xdr:rowOff>
    </xdr:to>
    <xdr:sp macro="" textlink="">
      <xdr:nvSpPr>
        <xdr:cNvPr id="290" name="Text Box 2">
          <a:extLst>
            <a:ext uri="{FF2B5EF4-FFF2-40B4-BE49-F238E27FC236}">
              <a16:creationId xmlns:a16="http://schemas.microsoft.com/office/drawing/2014/main" id="{FE48B0D4-05F9-4066-9AF7-C9F7540AACC7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1145</xdr:row>
      <xdr:rowOff>0</xdr:rowOff>
    </xdr:to>
    <xdr:sp macro="" textlink="">
      <xdr:nvSpPr>
        <xdr:cNvPr id="291" name="Text Box 2">
          <a:extLst>
            <a:ext uri="{FF2B5EF4-FFF2-40B4-BE49-F238E27FC236}">
              <a16:creationId xmlns:a16="http://schemas.microsoft.com/office/drawing/2014/main" id="{E339A478-867C-45D8-AF86-39ECA299E837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1145</xdr:row>
      <xdr:rowOff>0</xdr:rowOff>
    </xdr:to>
    <xdr:sp macro="" textlink="">
      <xdr:nvSpPr>
        <xdr:cNvPr id="292" name="Text Box 2">
          <a:extLst>
            <a:ext uri="{FF2B5EF4-FFF2-40B4-BE49-F238E27FC236}">
              <a16:creationId xmlns:a16="http://schemas.microsoft.com/office/drawing/2014/main" id="{DB48C99B-2C8B-4137-9528-7C9B8F89375F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1145</xdr:row>
      <xdr:rowOff>0</xdr:rowOff>
    </xdr:to>
    <xdr:sp macro="" textlink="">
      <xdr:nvSpPr>
        <xdr:cNvPr id="293" name="Text Box 2">
          <a:extLst>
            <a:ext uri="{FF2B5EF4-FFF2-40B4-BE49-F238E27FC236}">
              <a16:creationId xmlns:a16="http://schemas.microsoft.com/office/drawing/2014/main" id="{92EE1ABA-6071-4FA0-8205-3020334D1B15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1149</xdr:row>
      <xdr:rowOff>344208</xdr:rowOff>
    </xdr:to>
    <xdr:sp macro="" textlink="">
      <xdr:nvSpPr>
        <xdr:cNvPr id="294" name="Text Box 2">
          <a:extLst>
            <a:ext uri="{FF2B5EF4-FFF2-40B4-BE49-F238E27FC236}">
              <a16:creationId xmlns:a16="http://schemas.microsoft.com/office/drawing/2014/main" id="{E1DB35DA-D619-4DF5-962E-D1411353ECB0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249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1149</xdr:row>
      <xdr:rowOff>344208</xdr:rowOff>
    </xdr:to>
    <xdr:sp macro="" textlink="">
      <xdr:nvSpPr>
        <xdr:cNvPr id="295" name="Text Box 2">
          <a:extLst>
            <a:ext uri="{FF2B5EF4-FFF2-40B4-BE49-F238E27FC236}">
              <a16:creationId xmlns:a16="http://schemas.microsoft.com/office/drawing/2014/main" id="{03BBCE12-46C4-4293-885F-7201C0666C7E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249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1149</xdr:row>
      <xdr:rowOff>344208</xdr:rowOff>
    </xdr:to>
    <xdr:sp macro="" textlink="">
      <xdr:nvSpPr>
        <xdr:cNvPr id="296" name="Text Box 2">
          <a:extLst>
            <a:ext uri="{FF2B5EF4-FFF2-40B4-BE49-F238E27FC236}">
              <a16:creationId xmlns:a16="http://schemas.microsoft.com/office/drawing/2014/main" id="{4E8AAF13-2A1E-4D04-B0FF-9EF3450D4FEC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249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1149</xdr:row>
      <xdr:rowOff>344208</xdr:rowOff>
    </xdr:to>
    <xdr:sp macro="" textlink="">
      <xdr:nvSpPr>
        <xdr:cNvPr id="297" name="Text Box 2">
          <a:extLst>
            <a:ext uri="{FF2B5EF4-FFF2-40B4-BE49-F238E27FC236}">
              <a16:creationId xmlns:a16="http://schemas.microsoft.com/office/drawing/2014/main" id="{2562D7E8-338D-4D04-90D5-DDD35DEE11E1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249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298" name="Text Box 2">
          <a:extLst>
            <a:ext uri="{FF2B5EF4-FFF2-40B4-BE49-F238E27FC236}">
              <a16:creationId xmlns:a16="http://schemas.microsoft.com/office/drawing/2014/main" id="{59C2522A-F18D-454D-96ED-F5115BC51B01}"/>
            </a:ext>
          </a:extLst>
        </xdr:cNvPr>
        <xdr:cNvSpPr txBox="1">
          <a:spLocks noChangeArrowheads="1"/>
        </xdr:cNvSpPr>
      </xdr:nvSpPr>
      <xdr:spPr bwMode="auto">
        <a:xfrm>
          <a:off x="2247900" y="45034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299" name="Text Box 2">
          <a:extLst>
            <a:ext uri="{FF2B5EF4-FFF2-40B4-BE49-F238E27FC236}">
              <a16:creationId xmlns:a16="http://schemas.microsoft.com/office/drawing/2014/main" id="{FE333CCB-5991-4556-913A-B2441EA04EF2}"/>
            </a:ext>
          </a:extLst>
        </xdr:cNvPr>
        <xdr:cNvSpPr txBox="1">
          <a:spLocks noChangeArrowheads="1"/>
        </xdr:cNvSpPr>
      </xdr:nvSpPr>
      <xdr:spPr bwMode="auto">
        <a:xfrm>
          <a:off x="2247900" y="45034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300" name="Text Box 2">
          <a:extLst>
            <a:ext uri="{FF2B5EF4-FFF2-40B4-BE49-F238E27FC236}">
              <a16:creationId xmlns:a16="http://schemas.microsoft.com/office/drawing/2014/main" id="{26B66848-B03C-4948-A76B-21EB3BF0084F}"/>
            </a:ext>
          </a:extLst>
        </xdr:cNvPr>
        <xdr:cNvSpPr txBox="1">
          <a:spLocks noChangeArrowheads="1"/>
        </xdr:cNvSpPr>
      </xdr:nvSpPr>
      <xdr:spPr bwMode="auto">
        <a:xfrm>
          <a:off x="2247900" y="45034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301" name="Text Box 2">
          <a:extLst>
            <a:ext uri="{FF2B5EF4-FFF2-40B4-BE49-F238E27FC236}">
              <a16:creationId xmlns:a16="http://schemas.microsoft.com/office/drawing/2014/main" id="{538BCF2B-2E59-4FA9-B646-3FBC8B467022}"/>
            </a:ext>
          </a:extLst>
        </xdr:cNvPr>
        <xdr:cNvSpPr txBox="1">
          <a:spLocks noChangeArrowheads="1"/>
        </xdr:cNvSpPr>
      </xdr:nvSpPr>
      <xdr:spPr bwMode="auto">
        <a:xfrm>
          <a:off x="2247900" y="45034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0</xdr:colOff>
      <xdr:row>1109</xdr:row>
      <xdr:rowOff>0</xdr:rowOff>
    </xdr:from>
    <xdr:to>
      <xdr:col>4</xdr:col>
      <xdr:colOff>123825</xdr:colOff>
      <xdr:row>1110</xdr:row>
      <xdr:rowOff>0</xdr:rowOff>
    </xdr:to>
    <xdr:sp macro="" textlink="">
      <xdr:nvSpPr>
        <xdr:cNvPr id="302" name="Text Box 2">
          <a:extLst>
            <a:ext uri="{FF2B5EF4-FFF2-40B4-BE49-F238E27FC236}">
              <a16:creationId xmlns:a16="http://schemas.microsoft.com/office/drawing/2014/main" id="{18923F3F-3E05-4F78-A3A1-A02F9648EB5E}"/>
            </a:ext>
          </a:extLst>
        </xdr:cNvPr>
        <xdr:cNvSpPr txBox="1">
          <a:spLocks noChangeArrowheads="1"/>
        </xdr:cNvSpPr>
      </xdr:nvSpPr>
      <xdr:spPr bwMode="auto">
        <a:xfrm>
          <a:off x="9525000" y="422529000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123825</xdr:colOff>
      <xdr:row>1110</xdr:row>
      <xdr:rowOff>0</xdr:rowOff>
    </xdr:to>
    <xdr:sp macro="" textlink="">
      <xdr:nvSpPr>
        <xdr:cNvPr id="303" name="Text Box 2">
          <a:extLst>
            <a:ext uri="{FF2B5EF4-FFF2-40B4-BE49-F238E27FC236}">
              <a16:creationId xmlns:a16="http://schemas.microsoft.com/office/drawing/2014/main" id="{31D52B10-E09A-4A92-AB00-26EBA9ABCBB7}"/>
            </a:ext>
          </a:extLst>
        </xdr:cNvPr>
        <xdr:cNvSpPr txBox="1">
          <a:spLocks noChangeArrowheads="1"/>
        </xdr:cNvSpPr>
      </xdr:nvSpPr>
      <xdr:spPr bwMode="auto">
        <a:xfrm>
          <a:off x="9525000" y="422529000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123825</xdr:colOff>
      <xdr:row>1110</xdr:row>
      <xdr:rowOff>0</xdr:rowOff>
    </xdr:to>
    <xdr:sp macro="" textlink="">
      <xdr:nvSpPr>
        <xdr:cNvPr id="304" name="Text Box 2">
          <a:extLst>
            <a:ext uri="{FF2B5EF4-FFF2-40B4-BE49-F238E27FC236}">
              <a16:creationId xmlns:a16="http://schemas.microsoft.com/office/drawing/2014/main" id="{1C177600-47FC-4C1E-983A-B97F7E1E4448}"/>
            </a:ext>
          </a:extLst>
        </xdr:cNvPr>
        <xdr:cNvSpPr txBox="1">
          <a:spLocks noChangeArrowheads="1"/>
        </xdr:cNvSpPr>
      </xdr:nvSpPr>
      <xdr:spPr bwMode="auto">
        <a:xfrm>
          <a:off x="9525000" y="422529000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123825</xdr:colOff>
      <xdr:row>1110</xdr:row>
      <xdr:rowOff>0</xdr:rowOff>
    </xdr:to>
    <xdr:sp macro="" textlink="">
      <xdr:nvSpPr>
        <xdr:cNvPr id="305" name="Text Box 2">
          <a:extLst>
            <a:ext uri="{FF2B5EF4-FFF2-40B4-BE49-F238E27FC236}">
              <a16:creationId xmlns:a16="http://schemas.microsoft.com/office/drawing/2014/main" id="{3608DA85-82CA-4D1F-B787-1CD8EEAF8099}"/>
            </a:ext>
          </a:extLst>
        </xdr:cNvPr>
        <xdr:cNvSpPr txBox="1">
          <a:spLocks noChangeArrowheads="1"/>
        </xdr:cNvSpPr>
      </xdr:nvSpPr>
      <xdr:spPr bwMode="auto">
        <a:xfrm>
          <a:off x="9525000" y="422529000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306" name="Text Box 2">
          <a:extLst>
            <a:ext uri="{FF2B5EF4-FFF2-40B4-BE49-F238E27FC236}">
              <a16:creationId xmlns:a16="http://schemas.microsoft.com/office/drawing/2014/main" id="{CEC766C6-4510-4D30-A267-1FBEA3BEA7CB}"/>
            </a:ext>
          </a:extLst>
        </xdr:cNvPr>
        <xdr:cNvSpPr txBox="1">
          <a:spLocks noChangeArrowheads="1"/>
        </xdr:cNvSpPr>
      </xdr:nvSpPr>
      <xdr:spPr bwMode="auto">
        <a:xfrm>
          <a:off x="2247900" y="369951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307" name="Text Box 2">
          <a:extLst>
            <a:ext uri="{FF2B5EF4-FFF2-40B4-BE49-F238E27FC236}">
              <a16:creationId xmlns:a16="http://schemas.microsoft.com/office/drawing/2014/main" id="{C07790DB-F07F-4CB6-AB46-F9EE701424B2}"/>
            </a:ext>
          </a:extLst>
        </xdr:cNvPr>
        <xdr:cNvSpPr txBox="1">
          <a:spLocks noChangeArrowheads="1"/>
        </xdr:cNvSpPr>
      </xdr:nvSpPr>
      <xdr:spPr bwMode="auto">
        <a:xfrm>
          <a:off x="2247900" y="369951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308" name="Text Box 2">
          <a:extLst>
            <a:ext uri="{FF2B5EF4-FFF2-40B4-BE49-F238E27FC236}">
              <a16:creationId xmlns:a16="http://schemas.microsoft.com/office/drawing/2014/main" id="{89FFB676-1E68-4E6C-83DD-54F8F7E58318}"/>
            </a:ext>
          </a:extLst>
        </xdr:cNvPr>
        <xdr:cNvSpPr txBox="1">
          <a:spLocks noChangeArrowheads="1"/>
        </xdr:cNvSpPr>
      </xdr:nvSpPr>
      <xdr:spPr bwMode="auto">
        <a:xfrm>
          <a:off x="2247900" y="369951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309" name="Text Box 2">
          <a:extLst>
            <a:ext uri="{FF2B5EF4-FFF2-40B4-BE49-F238E27FC236}">
              <a16:creationId xmlns:a16="http://schemas.microsoft.com/office/drawing/2014/main" id="{8EBDE2A1-3A24-474B-B5C0-CA7DA53F57EF}"/>
            </a:ext>
          </a:extLst>
        </xdr:cNvPr>
        <xdr:cNvSpPr txBox="1">
          <a:spLocks noChangeArrowheads="1"/>
        </xdr:cNvSpPr>
      </xdr:nvSpPr>
      <xdr:spPr bwMode="auto">
        <a:xfrm>
          <a:off x="2247900" y="369951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1159</xdr:row>
      <xdr:rowOff>303039</xdr:rowOff>
    </xdr:to>
    <xdr:sp macro="" textlink="">
      <xdr:nvSpPr>
        <xdr:cNvPr id="310" name="Text Box 2">
          <a:extLst>
            <a:ext uri="{FF2B5EF4-FFF2-40B4-BE49-F238E27FC236}">
              <a16:creationId xmlns:a16="http://schemas.microsoft.com/office/drawing/2014/main" id="{98D58062-16E4-4E97-9B5E-B047AB217F08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6018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1159</xdr:row>
      <xdr:rowOff>303039</xdr:rowOff>
    </xdr:to>
    <xdr:sp macro="" textlink="">
      <xdr:nvSpPr>
        <xdr:cNvPr id="311" name="Text Box 2">
          <a:extLst>
            <a:ext uri="{FF2B5EF4-FFF2-40B4-BE49-F238E27FC236}">
              <a16:creationId xmlns:a16="http://schemas.microsoft.com/office/drawing/2014/main" id="{1C058F2C-AFFC-4460-967B-96A19656CF5F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6018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1159</xdr:row>
      <xdr:rowOff>303039</xdr:rowOff>
    </xdr:to>
    <xdr:sp macro="" textlink="">
      <xdr:nvSpPr>
        <xdr:cNvPr id="312" name="Text Box 2">
          <a:extLst>
            <a:ext uri="{FF2B5EF4-FFF2-40B4-BE49-F238E27FC236}">
              <a16:creationId xmlns:a16="http://schemas.microsoft.com/office/drawing/2014/main" id="{CF76FE73-28E1-46D5-BCD2-A8B5049329F7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6018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1159</xdr:row>
      <xdr:rowOff>303039</xdr:rowOff>
    </xdr:to>
    <xdr:sp macro="" textlink="">
      <xdr:nvSpPr>
        <xdr:cNvPr id="313" name="Text Box 2">
          <a:extLst>
            <a:ext uri="{FF2B5EF4-FFF2-40B4-BE49-F238E27FC236}">
              <a16:creationId xmlns:a16="http://schemas.microsoft.com/office/drawing/2014/main" id="{BB284B52-0296-4E21-BC87-174A099FCDAA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6018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314" name="Text Box 2">
          <a:extLst>
            <a:ext uri="{FF2B5EF4-FFF2-40B4-BE49-F238E27FC236}">
              <a16:creationId xmlns:a16="http://schemas.microsoft.com/office/drawing/2014/main" id="{30BC33AB-7396-47F7-B1F4-15B35BB6D4DF}"/>
            </a:ext>
          </a:extLst>
        </xdr:cNvPr>
        <xdr:cNvSpPr txBox="1">
          <a:spLocks noChangeArrowheads="1"/>
        </xdr:cNvSpPr>
      </xdr:nvSpPr>
      <xdr:spPr bwMode="auto">
        <a:xfrm>
          <a:off x="2247900" y="45262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315" name="Text Box 2">
          <a:extLst>
            <a:ext uri="{FF2B5EF4-FFF2-40B4-BE49-F238E27FC236}">
              <a16:creationId xmlns:a16="http://schemas.microsoft.com/office/drawing/2014/main" id="{E0FF755E-5DEC-455E-8C7B-ADB2A8FCFA64}"/>
            </a:ext>
          </a:extLst>
        </xdr:cNvPr>
        <xdr:cNvSpPr txBox="1">
          <a:spLocks noChangeArrowheads="1"/>
        </xdr:cNvSpPr>
      </xdr:nvSpPr>
      <xdr:spPr bwMode="auto">
        <a:xfrm>
          <a:off x="2247900" y="45262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316" name="Text Box 2">
          <a:extLst>
            <a:ext uri="{FF2B5EF4-FFF2-40B4-BE49-F238E27FC236}">
              <a16:creationId xmlns:a16="http://schemas.microsoft.com/office/drawing/2014/main" id="{E7912938-D189-4454-AE32-18BF0944A524}"/>
            </a:ext>
          </a:extLst>
        </xdr:cNvPr>
        <xdr:cNvSpPr txBox="1">
          <a:spLocks noChangeArrowheads="1"/>
        </xdr:cNvSpPr>
      </xdr:nvSpPr>
      <xdr:spPr bwMode="auto">
        <a:xfrm>
          <a:off x="2247900" y="45262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317" name="Text Box 2">
          <a:extLst>
            <a:ext uri="{FF2B5EF4-FFF2-40B4-BE49-F238E27FC236}">
              <a16:creationId xmlns:a16="http://schemas.microsoft.com/office/drawing/2014/main" id="{402030E4-D082-4146-9C82-0F142CEF0A0D}"/>
            </a:ext>
          </a:extLst>
        </xdr:cNvPr>
        <xdr:cNvSpPr txBox="1">
          <a:spLocks noChangeArrowheads="1"/>
        </xdr:cNvSpPr>
      </xdr:nvSpPr>
      <xdr:spPr bwMode="auto">
        <a:xfrm>
          <a:off x="2247900" y="45262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318" name="Text Box 2">
          <a:extLst>
            <a:ext uri="{FF2B5EF4-FFF2-40B4-BE49-F238E27FC236}">
              <a16:creationId xmlns:a16="http://schemas.microsoft.com/office/drawing/2014/main" id="{20BEECE5-5DDB-4459-96AF-CED46D8716B1}"/>
            </a:ext>
          </a:extLst>
        </xdr:cNvPr>
        <xdr:cNvSpPr txBox="1">
          <a:spLocks noChangeArrowheads="1"/>
        </xdr:cNvSpPr>
      </xdr:nvSpPr>
      <xdr:spPr bwMode="auto">
        <a:xfrm>
          <a:off x="9525000" y="367665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319" name="Text Box 2">
          <a:extLst>
            <a:ext uri="{FF2B5EF4-FFF2-40B4-BE49-F238E27FC236}">
              <a16:creationId xmlns:a16="http://schemas.microsoft.com/office/drawing/2014/main" id="{866656DC-CD12-4C7A-B9B7-B8BF47C8E7AD}"/>
            </a:ext>
          </a:extLst>
        </xdr:cNvPr>
        <xdr:cNvSpPr txBox="1">
          <a:spLocks noChangeArrowheads="1"/>
        </xdr:cNvSpPr>
      </xdr:nvSpPr>
      <xdr:spPr bwMode="auto">
        <a:xfrm>
          <a:off x="9525000" y="367665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320" name="Text Box 2">
          <a:extLst>
            <a:ext uri="{FF2B5EF4-FFF2-40B4-BE49-F238E27FC236}">
              <a16:creationId xmlns:a16="http://schemas.microsoft.com/office/drawing/2014/main" id="{2A57CE0F-449F-4E70-8578-77A35521B37B}"/>
            </a:ext>
          </a:extLst>
        </xdr:cNvPr>
        <xdr:cNvSpPr txBox="1">
          <a:spLocks noChangeArrowheads="1"/>
        </xdr:cNvSpPr>
      </xdr:nvSpPr>
      <xdr:spPr bwMode="auto">
        <a:xfrm>
          <a:off x="9525000" y="367665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321" name="Text Box 2">
          <a:extLst>
            <a:ext uri="{FF2B5EF4-FFF2-40B4-BE49-F238E27FC236}">
              <a16:creationId xmlns:a16="http://schemas.microsoft.com/office/drawing/2014/main" id="{A83A2101-F55E-4AF4-8703-FCD2B51FA9FA}"/>
            </a:ext>
          </a:extLst>
        </xdr:cNvPr>
        <xdr:cNvSpPr txBox="1">
          <a:spLocks noChangeArrowheads="1"/>
        </xdr:cNvSpPr>
      </xdr:nvSpPr>
      <xdr:spPr bwMode="auto">
        <a:xfrm>
          <a:off x="9525000" y="367665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322" name="Text Box 2">
          <a:extLst>
            <a:ext uri="{FF2B5EF4-FFF2-40B4-BE49-F238E27FC236}">
              <a16:creationId xmlns:a16="http://schemas.microsoft.com/office/drawing/2014/main" id="{E67B3EEB-A70D-430C-9951-78A71E7FE5B9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323" name="Text Box 2">
          <a:extLst>
            <a:ext uri="{FF2B5EF4-FFF2-40B4-BE49-F238E27FC236}">
              <a16:creationId xmlns:a16="http://schemas.microsoft.com/office/drawing/2014/main" id="{5F8469FE-5085-4818-B819-A349DC61855C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324" name="Text Box 2">
          <a:extLst>
            <a:ext uri="{FF2B5EF4-FFF2-40B4-BE49-F238E27FC236}">
              <a16:creationId xmlns:a16="http://schemas.microsoft.com/office/drawing/2014/main" id="{C98FFA0B-98B4-48C9-AA71-8CFD4580CF60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325" name="Text Box 2">
          <a:extLst>
            <a:ext uri="{FF2B5EF4-FFF2-40B4-BE49-F238E27FC236}">
              <a16:creationId xmlns:a16="http://schemas.microsoft.com/office/drawing/2014/main" id="{10B85511-4D2F-4E94-917A-E9058F3B895D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326" name="Text Box 2">
          <a:extLst>
            <a:ext uri="{FF2B5EF4-FFF2-40B4-BE49-F238E27FC236}">
              <a16:creationId xmlns:a16="http://schemas.microsoft.com/office/drawing/2014/main" id="{650AD442-F7C5-4DAF-A60E-423ADDB9D431}"/>
            </a:ext>
          </a:extLst>
        </xdr:cNvPr>
        <xdr:cNvSpPr txBox="1">
          <a:spLocks noChangeArrowheads="1"/>
        </xdr:cNvSpPr>
      </xdr:nvSpPr>
      <xdr:spPr bwMode="auto">
        <a:xfrm>
          <a:off x="9525000" y="43662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327" name="Text Box 2">
          <a:extLst>
            <a:ext uri="{FF2B5EF4-FFF2-40B4-BE49-F238E27FC236}">
              <a16:creationId xmlns:a16="http://schemas.microsoft.com/office/drawing/2014/main" id="{65F8E66E-997B-47C1-B808-C9A77CDC6BDE}"/>
            </a:ext>
          </a:extLst>
        </xdr:cNvPr>
        <xdr:cNvSpPr txBox="1">
          <a:spLocks noChangeArrowheads="1"/>
        </xdr:cNvSpPr>
      </xdr:nvSpPr>
      <xdr:spPr bwMode="auto">
        <a:xfrm>
          <a:off x="9525000" y="43662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328" name="Text Box 2">
          <a:extLst>
            <a:ext uri="{FF2B5EF4-FFF2-40B4-BE49-F238E27FC236}">
              <a16:creationId xmlns:a16="http://schemas.microsoft.com/office/drawing/2014/main" id="{3EFC26AE-3463-41BE-A5EA-DD6AC75991C5}"/>
            </a:ext>
          </a:extLst>
        </xdr:cNvPr>
        <xdr:cNvSpPr txBox="1">
          <a:spLocks noChangeArrowheads="1"/>
        </xdr:cNvSpPr>
      </xdr:nvSpPr>
      <xdr:spPr bwMode="auto">
        <a:xfrm>
          <a:off x="9525000" y="43662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329" name="Text Box 2">
          <a:extLst>
            <a:ext uri="{FF2B5EF4-FFF2-40B4-BE49-F238E27FC236}">
              <a16:creationId xmlns:a16="http://schemas.microsoft.com/office/drawing/2014/main" id="{D4516D21-6939-4FE3-8DFF-21C2582491FD}"/>
            </a:ext>
          </a:extLst>
        </xdr:cNvPr>
        <xdr:cNvSpPr txBox="1">
          <a:spLocks noChangeArrowheads="1"/>
        </xdr:cNvSpPr>
      </xdr:nvSpPr>
      <xdr:spPr bwMode="auto">
        <a:xfrm>
          <a:off x="9525000" y="43662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330" name="Text Box 2">
          <a:extLst>
            <a:ext uri="{FF2B5EF4-FFF2-40B4-BE49-F238E27FC236}">
              <a16:creationId xmlns:a16="http://schemas.microsoft.com/office/drawing/2014/main" id="{FC08D4F5-3593-4871-AA07-3EDACEDAA1C4}"/>
            </a:ext>
          </a:extLst>
        </xdr:cNvPr>
        <xdr:cNvSpPr txBox="1">
          <a:spLocks noChangeArrowheads="1"/>
        </xdr:cNvSpPr>
      </xdr:nvSpPr>
      <xdr:spPr bwMode="auto">
        <a:xfrm>
          <a:off x="9525000" y="44043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331" name="Text Box 2">
          <a:extLst>
            <a:ext uri="{FF2B5EF4-FFF2-40B4-BE49-F238E27FC236}">
              <a16:creationId xmlns:a16="http://schemas.microsoft.com/office/drawing/2014/main" id="{878388A1-044E-41A5-BCE7-CCEF342405B7}"/>
            </a:ext>
          </a:extLst>
        </xdr:cNvPr>
        <xdr:cNvSpPr txBox="1">
          <a:spLocks noChangeArrowheads="1"/>
        </xdr:cNvSpPr>
      </xdr:nvSpPr>
      <xdr:spPr bwMode="auto">
        <a:xfrm>
          <a:off x="9525000" y="44043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332" name="Text Box 2">
          <a:extLst>
            <a:ext uri="{FF2B5EF4-FFF2-40B4-BE49-F238E27FC236}">
              <a16:creationId xmlns:a16="http://schemas.microsoft.com/office/drawing/2014/main" id="{F1B83D42-AF56-4B2F-947F-142032505144}"/>
            </a:ext>
          </a:extLst>
        </xdr:cNvPr>
        <xdr:cNvSpPr txBox="1">
          <a:spLocks noChangeArrowheads="1"/>
        </xdr:cNvSpPr>
      </xdr:nvSpPr>
      <xdr:spPr bwMode="auto">
        <a:xfrm>
          <a:off x="9525000" y="44043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333" name="Text Box 2">
          <a:extLst>
            <a:ext uri="{FF2B5EF4-FFF2-40B4-BE49-F238E27FC236}">
              <a16:creationId xmlns:a16="http://schemas.microsoft.com/office/drawing/2014/main" id="{DB50EA87-F599-430C-8EF4-42F05045C7CA}"/>
            </a:ext>
          </a:extLst>
        </xdr:cNvPr>
        <xdr:cNvSpPr txBox="1">
          <a:spLocks noChangeArrowheads="1"/>
        </xdr:cNvSpPr>
      </xdr:nvSpPr>
      <xdr:spPr bwMode="auto">
        <a:xfrm>
          <a:off x="9525000" y="44043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334" name="Text Box 2">
          <a:extLst>
            <a:ext uri="{FF2B5EF4-FFF2-40B4-BE49-F238E27FC236}">
              <a16:creationId xmlns:a16="http://schemas.microsoft.com/office/drawing/2014/main" id="{AB2AF9F5-8E12-45B6-923F-31FF5CF64567}"/>
            </a:ext>
          </a:extLst>
        </xdr:cNvPr>
        <xdr:cNvSpPr txBox="1">
          <a:spLocks noChangeArrowheads="1"/>
        </xdr:cNvSpPr>
      </xdr:nvSpPr>
      <xdr:spPr bwMode="auto">
        <a:xfrm>
          <a:off x="9525000" y="443865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335" name="Text Box 2">
          <a:extLst>
            <a:ext uri="{FF2B5EF4-FFF2-40B4-BE49-F238E27FC236}">
              <a16:creationId xmlns:a16="http://schemas.microsoft.com/office/drawing/2014/main" id="{A142BDCC-3A5B-46A2-8B10-761067784B0E}"/>
            </a:ext>
          </a:extLst>
        </xdr:cNvPr>
        <xdr:cNvSpPr txBox="1">
          <a:spLocks noChangeArrowheads="1"/>
        </xdr:cNvSpPr>
      </xdr:nvSpPr>
      <xdr:spPr bwMode="auto">
        <a:xfrm>
          <a:off x="9525000" y="443865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336" name="Text Box 2">
          <a:extLst>
            <a:ext uri="{FF2B5EF4-FFF2-40B4-BE49-F238E27FC236}">
              <a16:creationId xmlns:a16="http://schemas.microsoft.com/office/drawing/2014/main" id="{0264EB6F-8810-487F-A686-AA83D2CC91E9}"/>
            </a:ext>
          </a:extLst>
        </xdr:cNvPr>
        <xdr:cNvSpPr txBox="1">
          <a:spLocks noChangeArrowheads="1"/>
        </xdr:cNvSpPr>
      </xdr:nvSpPr>
      <xdr:spPr bwMode="auto">
        <a:xfrm>
          <a:off x="9525000" y="443865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337" name="Text Box 2">
          <a:extLst>
            <a:ext uri="{FF2B5EF4-FFF2-40B4-BE49-F238E27FC236}">
              <a16:creationId xmlns:a16="http://schemas.microsoft.com/office/drawing/2014/main" id="{0194697E-BC06-4DCA-9BA6-2AB84C0F3935}"/>
            </a:ext>
          </a:extLst>
        </xdr:cNvPr>
        <xdr:cNvSpPr txBox="1">
          <a:spLocks noChangeArrowheads="1"/>
        </xdr:cNvSpPr>
      </xdr:nvSpPr>
      <xdr:spPr bwMode="auto">
        <a:xfrm>
          <a:off x="9525000" y="443865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338" name="Text Box 2">
          <a:extLst>
            <a:ext uri="{FF2B5EF4-FFF2-40B4-BE49-F238E27FC236}">
              <a16:creationId xmlns:a16="http://schemas.microsoft.com/office/drawing/2014/main" id="{E6B71DE0-091B-4665-88A5-6948AA2D95FB}"/>
            </a:ext>
          </a:extLst>
        </xdr:cNvPr>
        <xdr:cNvSpPr txBox="1">
          <a:spLocks noChangeArrowheads="1"/>
        </xdr:cNvSpPr>
      </xdr:nvSpPr>
      <xdr:spPr bwMode="auto">
        <a:xfrm>
          <a:off x="9525000" y="445008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339" name="Text Box 2">
          <a:extLst>
            <a:ext uri="{FF2B5EF4-FFF2-40B4-BE49-F238E27FC236}">
              <a16:creationId xmlns:a16="http://schemas.microsoft.com/office/drawing/2014/main" id="{E250AFB8-D09B-4359-A9E7-AA324320E79B}"/>
            </a:ext>
          </a:extLst>
        </xdr:cNvPr>
        <xdr:cNvSpPr txBox="1">
          <a:spLocks noChangeArrowheads="1"/>
        </xdr:cNvSpPr>
      </xdr:nvSpPr>
      <xdr:spPr bwMode="auto">
        <a:xfrm>
          <a:off x="9525000" y="445008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340" name="Text Box 2">
          <a:extLst>
            <a:ext uri="{FF2B5EF4-FFF2-40B4-BE49-F238E27FC236}">
              <a16:creationId xmlns:a16="http://schemas.microsoft.com/office/drawing/2014/main" id="{FEA91A44-792D-46FC-98A4-97D48CA78E5B}"/>
            </a:ext>
          </a:extLst>
        </xdr:cNvPr>
        <xdr:cNvSpPr txBox="1">
          <a:spLocks noChangeArrowheads="1"/>
        </xdr:cNvSpPr>
      </xdr:nvSpPr>
      <xdr:spPr bwMode="auto">
        <a:xfrm>
          <a:off x="9525000" y="445008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341" name="Text Box 2">
          <a:extLst>
            <a:ext uri="{FF2B5EF4-FFF2-40B4-BE49-F238E27FC236}">
              <a16:creationId xmlns:a16="http://schemas.microsoft.com/office/drawing/2014/main" id="{AF42FEA8-E6D7-4CA2-B888-42D75D981D95}"/>
            </a:ext>
          </a:extLst>
        </xdr:cNvPr>
        <xdr:cNvSpPr txBox="1">
          <a:spLocks noChangeArrowheads="1"/>
        </xdr:cNvSpPr>
      </xdr:nvSpPr>
      <xdr:spPr bwMode="auto">
        <a:xfrm>
          <a:off x="9525000" y="445008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342" name="Text Box 2">
          <a:extLst>
            <a:ext uri="{FF2B5EF4-FFF2-40B4-BE49-F238E27FC236}">
              <a16:creationId xmlns:a16="http://schemas.microsoft.com/office/drawing/2014/main" id="{96246184-C087-47C5-B54B-80C6F575E364}"/>
            </a:ext>
          </a:extLst>
        </xdr:cNvPr>
        <xdr:cNvSpPr txBox="1">
          <a:spLocks noChangeArrowheads="1"/>
        </xdr:cNvSpPr>
      </xdr:nvSpPr>
      <xdr:spPr bwMode="auto">
        <a:xfrm>
          <a:off x="9525000" y="44653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343" name="Text Box 2">
          <a:extLst>
            <a:ext uri="{FF2B5EF4-FFF2-40B4-BE49-F238E27FC236}">
              <a16:creationId xmlns:a16="http://schemas.microsoft.com/office/drawing/2014/main" id="{DC6A4E5B-BEC5-43D3-9A67-3B141FA9FD85}"/>
            </a:ext>
          </a:extLst>
        </xdr:cNvPr>
        <xdr:cNvSpPr txBox="1">
          <a:spLocks noChangeArrowheads="1"/>
        </xdr:cNvSpPr>
      </xdr:nvSpPr>
      <xdr:spPr bwMode="auto">
        <a:xfrm>
          <a:off x="9525000" y="44653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344" name="Text Box 2">
          <a:extLst>
            <a:ext uri="{FF2B5EF4-FFF2-40B4-BE49-F238E27FC236}">
              <a16:creationId xmlns:a16="http://schemas.microsoft.com/office/drawing/2014/main" id="{1BC0804D-F597-4270-A083-77ABF6367118}"/>
            </a:ext>
          </a:extLst>
        </xdr:cNvPr>
        <xdr:cNvSpPr txBox="1">
          <a:spLocks noChangeArrowheads="1"/>
        </xdr:cNvSpPr>
      </xdr:nvSpPr>
      <xdr:spPr bwMode="auto">
        <a:xfrm>
          <a:off x="9525000" y="44653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345" name="Text Box 2">
          <a:extLst>
            <a:ext uri="{FF2B5EF4-FFF2-40B4-BE49-F238E27FC236}">
              <a16:creationId xmlns:a16="http://schemas.microsoft.com/office/drawing/2014/main" id="{600634ED-C215-4123-AC74-684993C85DD8}"/>
            </a:ext>
          </a:extLst>
        </xdr:cNvPr>
        <xdr:cNvSpPr txBox="1">
          <a:spLocks noChangeArrowheads="1"/>
        </xdr:cNvSpPr>
      </xdr:nvSpPr>
      <xdr:spPr bwMode="auto">
        <a:xfrm>
          <a:off x="9525000" y="44653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46" name="Text Box 2">
          <a:extLst>
            <a:ext uri="{FF2B5EF4-FFF2-40B4-BE49-F238E27FC236}">
              <a16:creationId xmlns:a16="http://schemas.microsoft.com/office/drawing/2014/main" id="{597DC166-6F8F-4E63-81C6-E483DD9CC19C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47" name="Text Box 2">
          <a:extLst>
            <a:ext uri="{FF2B5EF4-FFF2-40B4-BE49-F238E27FC236}">
              <a16:creationId xmlns:a16="http://schemas.microsoft.com/office/drawing/2014/main" id="{55516CBE-CBA6-43B6-A672-F3A56485C302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48" name="Text Box 2">
          <a:extLst>
            <a:ext uri="{FF2B5EF4-FFF2-40B4-BE49-F238E27FC236}">
              <a16:creationId xmlns:a16="http://schemas.microsoft.com/office/drawing/2014/main" id="{F435DE6F-B0FD-49D9-AC39-A9FF34C04889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49" name="Text Box 2">
          <a:extLst>
            <a:ext uri="{FF2B5EF4-FFF2-40B4-BE49-F238E27FC236}">
              <a16:creationId xmlns:a16="http://schemas.microsoft.com/office/drawing/2014/main" id="{93DE643C-F8DF-4281-8639-7DC6F59D3AD0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50" name="Text Box 2">
          <a:extLst>
            <a:ext uri="{FF2B5EF4-FFF2-40B4-BE49-F238E27FC236}">
              <a16:creationId xmlns:a16="http://schemas.microsoft.com/office/drawing/2014/main" id="{971BF0AC-BD57-49A9-BEE2-FBCB9613AD0B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51" name="Text Box 2">
          <a:extLst>
            <a:ext uri="{FF2B5EF4-FFF2-40B4-BE49-F238E27FC236}">
              <a16:creationId xmlns:a16="http://schemas.microsoft.com/office/drawing/2014/main" id="{3A3B8596-B317-46D7-A7BC-4CF7DB9159D5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52" name="Text Box 2">
          <a:extLst>
            <a:ext uri="{FF2B5EF4-FFF2-40B4-BE49-F238E27FC236}">
              <a16:creationId xmlns:a16="http://schemas.microsoft.com/office/drawing/2014/main" id="{9744B0CF-9AFF-4617-BE0D-A360F7416503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53" name="Text Box 2">
          <a:extLst>
            <a:ext uri="{FF2B5EF4-FFF2-40B4-BE49-F238E27FC236}">
              <a16:creationId xmlns:a16="http://schemas.microsoft.com/office/drawing/2014/main" id="{430DA588-E28E-48F1-9882-C8CBFD3CF0E7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54" name="Text Box 2">
          <a:extLst>
            <a:ext uri="{FF2B5EF4-FFF2-40B4-BE49-F238E27FC236}">
              <a16:creationId xmlns:a16="http://schemas.microsoft.com/office/drawing/2014/main" id="{EFA24614-F811-4F70-A9E2-F79876B33B62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55" name="Text Box 2">
          <a:extLst>
            <a:ext uri="{FF2B5EF4-FFF2-40B4-BE49-F238E27FC236}">
              <a16:creationId xmlns:a16="http://schemas.microsoft.com/office/drawing/2014/main" id="{2754E881-5236-4E92-A77B-8AC668C311B2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56" name="Text Box 2">
          <a:extLst>
            <a:ext uri="{FF2B5EF4-FFF2-40B4-BE49-F238E27FC236}">
              <a16:creationId xmlns:a16="http://schemas.microsoft.com/office/drawing/2014/main" id="{CFFBD90C-795C-4765-8505-3D868C679E77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57" name="Text Box 2">
          <a:extLst>
            <a:ext uri="{FF2B5EF4-FFF2-40B4-BE49-F238E27FC236}">
              <a16:creationId xmlns:a16="http://schemas.microsoft.com/office/drawing/2014/main" id="{40CB0A1D-C04F-48CF-8409-3719EC8C216B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58" name="Text Box 2">
          <a:extLst>
            <a:ext uri="{FF2B5EF4-FFF2-40B4-BE49-F238E27FC236}">
              <a16:creationId xmlns:a16="http://schemas.microsoft.com/office/drawing/2014/main" id="{598D521D-B19C-4656-8BA0-346C3DCA4C0F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59" name="Text Box 2">
          <a:extLst>
            <a:ext uri="{FF2B5EF4-FFF2-40B4-BE49-F238E27FC236}">
              <a16:creationId xmlns:a16="http://schemas.microsoft.com/office/drawing/2014/main" id="{B4ADA0DF-557B-4A36-89FA-88411976D593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60" name="Text Box 2">
          <a:extLst>
            <a:ext uri="{FF2B5EF4-FFF2-40B4-BE49-F238E27FC236}">
              <a16:creationId xmlns:a16="http://schemas.microsoft.com/office/drawing/2014/main" id="{89651C8C-3243-4D2B-97F1-A3ED6A68F289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61" name="Text Box 2">
          <a:extLst>
            <a:ext uri="{FF2B5EF4-FFF2-40B4-BE49-F238E27FC236}">
              <a16:creationId xmlns:a16="http://schemas.microsoft.com/office/drawing/2014/main" id="{5EC85FD5-AF4A-48A2-8DF8-32A536492AD9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62" name="Text Box 2">
          <a:extLst>
            <a:ext uri="{FF2B5EF4-FFF2-40B4-BE49-F238E27FC236}">
              <a16:creationId xmlns:a16="http://schemas.microsoft.com/office/drawing/2014/main" id="{C25B8A8B-8F70-412C-8C36-A455E62493A7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63" name="Text Box 2">
          <a:extLst>
            <a:ext uri="{FF2B5EF4-FFF2-40B4-BE49-F238E27FC236}">
              <a16:creationId xmlns:a16="http://schemas.microsoft.com/office/drawing/2014/main" id="{7C0AAAB1-2B93-4088-B5B7-A6D76D3518EC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64" name="Text Box 2">
          <a:extLst>
            <a:ext uri="{FF2B5EF4-FFF2-40B4-BE49-F238E27FC236}">
              <a16:creationId xmlns:a16="http://schemas.microsoft.com/office/drawing/2014/main" id="{86459227-E063-468E-BD1B-1840E8350E5C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65" name="Text Box 2">
          <a:extLst>
            <a:ext uri="{FF2B5EF4-FFF2-40B4-BE49-F238E27FC236}">
              <a16:creationId xmlns:a16="http://schemas.microsoft.com/office/drawing/2014/main" id="{448C820B-82A2-41DE-8494-15A33C63FA57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66" name="Text Box 2">
          <a:extLst>
            <a:ext uri="{FF2B5EF4-FFF2-40B4-BE49-F238E27FC236}">
              <a16:creationId xmlns:a16="http://schemas.microsoft.com/office/drawing/2014/main" id="{A6FD2179-51B9-4D14-B297-9644C7D66D9B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67" name="Text Box 2">
          <a:extLst>
            <a:ext uri="{FF2B5EF4-FFF2-40B4-BE49-F238E27FC236}">
              <a16:creationId xmlns:a16="http://schemas.microsoft.com/office/drawing/2014/main" id="{637AC9FD-1280-4775-A14E-9B836727986D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68" name="Text Box 2">
          <a:extLst>
            <a:ext uri="{FF2B5EF4-FFF2-40B4-BE49-F238E27FC236}">
              <a16:creationId xmlns:a16="http://schemas.microsoft.com/office/drawing/2014/main" id="{FB9DA1C8-D5F6-4DB1-9E99-9F0FA58B69B0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69" name="Text Box 2">
          <a:extLst>
            <a:ext uri="{FF2B5EF4-FFF2-40B4-BE49-F238E27FC236}">
              <a16:creationId xmlns:a16="http://schemas.microsoft.com/office/drawing/2014/main" id="{C0DBFF02-1250-4DB2-973C-7F1EE278D754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70" name="Text Box 2">
          <a:extLst>
            <a:ext uri="{FF2B5EF4-FFF2-40B4-BE49-F238E27FC236}">
              <a16:creationId xmlns:a16="http://schemas.microsoft.com/office/drawing/2014/main" id="{12B3F842-E090-4006-B7EA-F4654E8CFBE8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71" name="Text Box 2">
          <a:extLst>
            <a:ext uri="{FF2B5EF4-FFF2-40B4-BE49-F238E27FC236}">
              <a16:creationId xmlns:a16="http://schemas.microsoft.com/office/drawing/2014/main" id="{FC5ACF9D-45D9-4E74-B59C-CE846E8A25E8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72" name="Text Box 2">
          <a:extLst>
            <a:ext uri="{FF2B5EF4-FFF2-40B4-BE49-F238E27FC236}">
              <a16:creationId xmlns:a16="http://schemas.microsoft.com/office/drawing/2014/main" id="{90191BA6-F88A-43C9-902D-51692EFA19A6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73" name="Text Box 2">
          <a:extLst>
            <a:ext uri="{FF2B5EF4-FFF2-40B4-BE49-F238E27FC236}">
              <a16:creationId xmlns:a16="http://schemas.microsoft.com/office/drawing/2014/main" id="{26EC30C6-E054-43E4-B596-37EB6263161F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4" name="Text Box 2">
          <a:extLst>
            <a:ext uri="{FF2B5EF4-FFF2-40B4-BE49-F238E27FC236}">
              <a16:creationId xmlns:a16="http://schemas.microsoft.com/office/drawing/2014/main" id="{96328E30-782A-4B61-AF9F-05E6B7CEED40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5" name="Text Box 2">
          <a:extLst>
            <a:ext uri="{FF2B5EF4-FFF2-40B4-BE49-F238E27FC236}">
              <a16:creationId xmlns:a16="http://schemas.microsoft.com/office/drawing/2014/main" id="{05C35425-28C9-435D-87A2-1041BB699DD1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6" name="Text Box 2">
          <a:extLst>
            <a:ext uri="{FF2B5EF4-FFF2-40B4-BE49-F238E27FC236}">
              <a16:creationId xmlns:a16="http://schemas.microsoft.com/office/drawing/2014/main" id="{F9CF7875-19A8-45BB-A15F-0ACAF61B5519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7" name="Text Box 2">
          <a:extLst>
            <a:ext uri="{FF2B5EF4-FFF2-40B4-BE49-F238E27FC236}">
              <a16:creationId xmlns:a16="http://schemas.microsoft.com/office/drawing/2014/main" id="{7A7236AD-E18B-4A6F-9A62-FF8F7D49B459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8" name="Text Box 2">
          <a:extLst>
            <a:ext uri="{FF2B5EF4-FFF2-40B4-BE49-F238E27FC236}">
              <a16:creationId xmlns:a16="http://schemas.microsoft.com/office/drawing/2014/main" id="{615964E0-8778-4DE2-8B98-9B4A4F584AC6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79" name="Text Box 2">
          <a:extLst>
            <a:ext uri="{FF2B5EF4-FFF2-40B4-BE49-F238E27FC236}">
              <a16:creationId xmlns:a16="http://schemas.microsoft.com/office/drawing/2014/main" id="{073CCE69-0876-45AB-B6FC-C9BAD0C14E86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80" name="Text Box 2">
          <a:extLst>
            <a:ext uri="{FF2B5EF4-FFF2-40B4-BE49-F238E27FC236}">
              <a16:creationId xmlns:a16="http://schemas.microsoft.com/office/drawing/2014/main" id="{CD42A1AF-8380-4B4B-840F-0DB4346A05C5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381" name="Text Box 2">
          <a:extLst>
            <a:ext uri="{FF2B5EF4-FFF2-40B4-BE49-F238E27FC236}">
              <a16:creationId xmlns:a16="http://schemas.microsoft.com/office/drawing/2014/main" id="{4007070A-246E-42F0-9CB0-2BCA87CD5A17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1284</xdr:row>
      <xdr:rowOff>0</xdr:rowOff>
    </xdr:from>
    <xdr:ext cx="120650" cy="388620"/>
    <xdr:sp macro="" textlink="">
      <xdr:nvSpPr>
        <xdr:cNvPr id="382" name="Text Box 2">
          <a:extLst>
            <a:ext uri="{FF2B5EF4-FFF2-40B4-BE49-F238E27FC236}">
              <a16:creationId xmlns:a16="http://schemas.microsoft.com/office/drawing/2014/main" id="{2900C508-DD2B-4D14-ADC9-B79B29FD946E}"/>
            </a:ext>
          </a:extLst>
        </xdr:cNvPr>
        <xdr:cNvSpPr txBox="1">
          <a:spLocks noChangeArrowheads="1"/>
        </xdr:cNvSpPr>
      </xdr:nvSpPr>
      <xdr:spPr bwMode="auto">
        <a:xfrm>
          <a:off x="9525000" y="489204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1284</xdr:row>
      <xdr:rowOff>0</xdr:rowOff>
    </xdr:from>
    <xdr:ext cx="120650" cy="388620"/>
    <xdr:sp macro="" textlink="">
      <xdr:nvSpPr>
        <xdr:cNvPr id="383" name="Text Box 2">
          <a:extLst>
            <a:ext uri="{FF2B5EF4-FFF2-40B4-BE49-F238E27FC236}">
              <a16:creationId xmlns:a16="http://schemas.microsoft.com/office/drawing/2014/main" id="{A4955010-D5EB-4B7F-B193-96D79DF482B6}"/>
            </a:ext>
          </a:extLst>
        </xdr:cNvPr>
        <xdr:cNvSpPr txBox="1">
          <a:spLocks noChangeArrowheads="1"/>
        </xdr:cNvSpPr>
      </xdr:nvSpPr>
      <xdr:spPr bwMode="auto">
        <a:xfrm>
          <a:off x="9525000" y="489204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1284</xdr:row>
      <xdr:rowOff>0</xdr:rowOff>
    </xdr:from>
    <xdr:ext cx="120650" cy="388620"/>
    <xdr:sp macro="" textlink="">
      <xdr:nvSpPr>
        <xdr:cNvPr id="384" name="Text Box 2">
          <a:extLst>
            <a:ext uri="{FF2B5EF4-FFF2-40B4-BE49-F238E27FC236}">
              <a16:creationId xmlns:a16="http://schemas.microsoft.com/office/drawing/2014/main" id="{300FB865-EE2E-4B95-992D-CD502208C5E1}"/>
            </a:ext>
          </a:extLst>
        </xdr:cNvPr>
        <xdr:cNvSpPr txBox="1">
          <a:spLocks noChangeArrowheads="1"/>
        </xdr:cNvSpPr>
      </xdr:nvSpPr>
      <xdr:spPr bwMode="auto">
        <a:xfrm>
          <a:off x="9525000" y="489204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1284</xdr:row>
      <xdr:rowOff>0</xdr:rowOff>
    </xdr:from>
    <xdr:ext cx="120650" cy="388620"/>
    <xdr:sp macro="" textlink="">
      <xdr:nvSpPr>
        <xdr:cNvPr id="385" name="Text Box 2">
          <a:extLst>
            <a:ext uri="{FF2B5EF4-FFF2-40B4-BE49-F238E27FC236}">
              <a16:creationId xmlns:a16="http://schemas.microsoft.com/office/drawing/2014/main" id="{EF7EECA1-8304-4808-A999-F61CD5C2A55F}"/>
            </a:ext>
          </a:extLst>
        </xdr:cNvPr>
        <xdr:cNvSpPr txBox="1">
          <a:spLocks noChangeArrowheads="1"/>
        </xdr:cNvSpPr>
      </xdr:nvSpPr>
      <xdr:spPr bwMode="auto">
        <a:xfrm>
          <a:off x="9525000" y="489204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1109</xdr:row>
      <xdr:rowOff>0</xdr:rowOff>
    </xdr:from>
    <xdr:ext cx="120650" cy="379056"/>
    <xdr:sp macro="" textlink="">
      <xdr:nvSpPr>
        <xdr:cNvPr id="386" name="Text Box 2">
          <a:extLst>
            <a:ext uri="{FF2B5EF4-FFF2-40B4-BE49-F238E27FC236}">
              <a16:creationId xmlns:a16="http://schemas.microsoft.com/office/drawing/2014/main" id="{C5492710-6FAE-4D10-BD72-E0309A5190B1}"/>
            </a:ext>
          </a:extLst>
        </xdr:cNvPr>
        <xdr:cNvSpPr txBox="1">
          <a:spLocks noChangeArrowheads="1"/>
        </xdr:cNvSpPr>
      </xdr:nvSpPr>
      <xdr:spPr bwMode="auto">
        <a:xfrm>
          <a:off x="9525000" y="422529000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1109</xdr:row>
      <xdr:rowOff>0</xdr:rowOff>
    </xdr:from>
    <xdr:ext cx="120650" cy="379056"/>
    <xdr:sp macro="" textlink="">
      <xdr:nvSpPr>
        <xdr:cNvPr id="387" name="Text Box 2">
          <a:extLst>
            <a:ext uri="{FF2B5EF4-FFF2-40B4-BE49-F238E27FC236}">
              <a16:creationId xmlns:a16="http://schemas.microsoft.com/office/drawing/2014/main" id="{C95905B6-CBF9-4932-A15A-A335B35E7469}"/>
            </a:ext>
          </a:extLst>
        </xdr:cNvPr>
        <xdr:cNvSpPr txBox="1">
          <a:spLocks noChangeArrowheads="1"/>
        </xdr:cNvSpPr>
      </xdr:nvSpPr>
      <xdr:spPr bwMode="auto">
        <a:xfrm>
          <a:off x="9525000" y="422529000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1109</xdr:row>
      <xdr:rowOff>0</xdr:rowOff>
    </xdr:from>
    <xdr:ext cx="120650" cy="379056"/>
    <xdr:sp macro="" textlink="">
      <xdr:nvSpPr>
        <xdr:cNvPr id="388" name="Text Box 2">
          <a:extLst>
            <a:ext uri="{FF2B5EF4-FFF2-40B4-BE49-F238E27FC236}">
              <a16:creationId xmlns:a16="http://schemas.microsoft.com/office/drawing/2014/main" id="{703395C4-7044-4624-8571-C6E563CC6ABD}"/>
            </a:ext>
          </a:extLst>
        </xdr:cNvPr>
        <xdr:cNvSpPr txBox="1">
          <a:spLocks noChangeArrowheads="1"/>
        </xdr:cNvSpPr>
      </xdr:nvSpPr>
      <xdr:spPr bwMode="auto">
        <a:xfrm>
          <a:off x="9525000" y="422529000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1109</xdr:row>
      <xdr:rowOff>0</xdr:rowOff>
    </xdr:from>
    <xdr:ext cx="120650" cy="379056"/>
    <xdr:sp macro="" textlink="">
      <xdr:nvSpPr>
        <xdr:cNvPr id="389" name="Text Box 2">
          <a:extLst>
            <a:ext uri="{FF2B5EF4-FFF2-40B4-BE49-F238E27FC236}">
              <a16:creationId xmlns:a16="http://schemas.microsoft.com/office/drawing/2014/main" id="{3218E674-24BC-4D6D-B283-1A912441BF20}"/>
            </a:ext>
          </a:extLst>
        </xdr:cNvPr>
        <xdr:cNvSpPr txBox="1">
          <a:spLocks noChangeArrowheads="1"/>
        </xdr:cNvSpPr>
      </xdr:nvSpPr>
      <xdr:spPr bwMode="auto">
        <a:xfrm>
          <a:off x="9525000" y="422529000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90" name="Text Box 2">
          <a:extLst>
            <a:ext uri="{FF2B5EF4-FFF2-40B4-BE49-F238E27FC236}">
              <a16:creationId xmlns:a16="http://schemas.microsoft.com/office/drawing/2014/main" id="{BE1883D3-DF41-4236-8317-CC337A925682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91" name="Text Box 2">
          <a:extLst>
            <a:ext uri="{FF2B5EF4-FFF2-40B4-BE49-F238E27FC236}">
              <a16:creationId xmlns:a16="http://schemas.microsoft.com/office/drawing/2014/main" id="{180BC0D9-079F-4AAF-8262-85E474B26292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92" name="Text Box 2">
          <a:extLst>
            <a:ext uri="{FF2B5EF4-FFF2-40B4-BE49-F238E27FC236}">
              <a16:creationId xmlns:a16="http://schemas.microsoft.com/office/drawing/2014/main" id="{E8ECE390-3477-46A0-BC85-1D74A570D6BE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393" name="Text Box 2">
          <a:extLst>
            <a:ext uri="{FF2B5EF4-FFF2-40B4-BE49-F238E27FC236}">
              <a16:creationId xmlns:a16="http://schemas.microsoft.com/office/drawing/2014/main" id="{FD538324-F737-4472-AEDD-140F2624549F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94" name="Text Box 2">
          <a:extLst>
            <a:ext uri="{FF2B5EF4-FFF2-40B4-BE49-F238E27FC236}">
              <a16:creationId xmlns:a16="http://schemas.microsoft.com/office/drawing/2014/main" id="{C415EFE4-74F5-4C3E-865D-81E6147C254A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95" name="Text Box 2">
          <a:extLst>
            <a:ext uri="{FF2B5EF4-FFF2-40B4-BE49-F238E27FC236}">
              <a16:creationId xmlns:a16="http://schemas.microsoft.com/office/drawing/2014/main" id="{67733D62-582E-407A-B30E-16B6E87D7494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96" name="Text Box 2">
          <a:extLst>
            <a:ext uri="{FF2B5EF4-FFF2-40B4-BE49-F238E27FC236}">
              <a16:creationId xmlns:a16="http://schemas.microsoft.com/office/drawing/2014/main" id="{7DE60F86-22DA-4977-9820-0864EE5D34F9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397" name="Text Box 2">
          <a:extLst>
            <a:ext uri="{FF2B5EF4-FFF2-40B4-BE49-F238E27FC236}">
              <a16:creationId xmlns:a16="http://schemas.microsoft.com/office/drawing/2014/main" id="{E8B6AA9B-B768-49CD-B115-E5B7604B116F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398" name="Text Box 2">
          <a:extLst>
            <a:ext uri="{FF2B5EF4-FFF2-40B4-BE49-F238E27FC236}">
              <a16:creationId xmlns:a16="http://schemas.microsoft.com/office/drawing/2014/main" id="{F509387B-42E9-4747-B0C0-1440BA1B2147}"/>
            </a:ext>
          </a:extLst>
        </xdr:cNvPr>
        <xdr:cNvSpPr txBox="1">
          <a:spLocks noChangeArrowheads="1"/>
        </xdr:cNvSpPr>
      </xdr:nvSpPr>
      <xdr:spPr bwMode="auto">
        <a:xfrm>
          <a:off x="2247900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399" name="Text Box 2">
          <a:extLst>
            <a:ext uri="{FF2B5EF4-FFF2-40B4-BE49-F238E27FC236}">
              <a16:creationId xmlns:a16="http://schemas.microsoft.com/office/drawing/2014/main" id="{4B443E8E-40F6-4802-9F0B-4B39747E81E8}"/>
            </a:ext>
          </a:extLst>
        </xdr:cNvPr>
        <xdr:cNvSpPr txBox="1">
          <a:spLocks noChangeArrowheads="1"/>
        </xdr:cNvSpPr>
      </xdr:nvSpPr>
      <xdr:spPr bwMode="auto">
        <a:xfrm>
          <a:off x="2247900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400" name="Text Box 2">
          <a:extLst>
            <a:ext uri="{FF2B5EF4-FFF2-40B4-BE49-F238E27FC236}">
              <a16:creationId xmlns:a16="http://schemas.microsoft.com/office/drawing/2014/main" id="{1000E98D-B2C7-464E-92FA-880543C0CC9F}"/>
            </a:ext>
          </a:extLst>
        </xdr:cNvPr>
        <xdr:cNvSpPr txBox="1">
          <a:spLocks noChangeArrowheads="1"/>
        </xdr:cNvSpPr>
      </xdr:nvSpPr>
      <xdr:spPr bwMode="auto">
        <a:xfrm>
          <a:off x="2247900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302</xdr:row>
      <xdr:rowOff>0</xdr:rowOff>
    </xdr:from>
    <xdr:ext cx="123825" cy="238125"/>
    <xdr:sp macro="" textlink="">
      <xdr:nvSpPr>
        <xdr:cNvPr id="401" name="Text Box 2">
          <a:extLst>
            <a:ext uri="{FF2B5EF4-FFF2-40B4-BE49-F238E27FC236}">
              <a16:creationId xmlns:a16="http://schemas.microsoft.com/office/drawing/2014/main" id="{841C42EA-CD84-420C-BB5C-42F9BB460F27}"/>
            </a:ext>
          </a:extLst>
        </xdr:cNvPr>
        <xdr:cNvSpPr txBox="1">
          <a:spLocks noChangeArrowheads="1"/>
        </xdr:cNvSpPr>
      </xdr:nvSpPr>
      <xdr:spPr bwMode="auto">
        <a:xfrm>
          <a:off x="2247900" y="11506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247</xdr:row>
      <xdr:rowOff>0</xdr:rowOff>
    </xdr:from>
    <xdr:to>
      <xdr:col>2</xdr:col>
      <xdr:colOff>387350</xdr:colOff>
      <xdr:row>252</xdr:row>
      <xdr:rowOff>268348</xdr:rowOff>
    </xdr:to>
    <xdr:sp macro="" textlink="">
      <xdr:nvSpPr>
        <xdr:cNvPr id="402" name="Text Box 2">
          <a:extLst>
            <a:ext uri="{FF2B5EF4-FFF2-40B4-BE49-F238E27FC236}">
              <a16:creationId xmlns:a16="http://schemas.microsoft.com/office/drawing/2014/main" id="{FA897FBB-ABFB-4AD4-8C63-928E74FB3929}"/>
            </a:ext>
          </a:extLst>
        </xdr:cNvPr>
        <xdr:cNvSpPr txBox="1">
          <a:spLocks noChangeArrowheads="1"/>
        </xdr:cNvSpPr>
      </xdr:nvSpPr>
      <xdr:spPr bwMode="auto">
        <a:xfrm>
          <a:off x="2247900" y="94107000"/>
          <a:ext cx="120650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387350</xdr:colOff>
      <xdr:row>252</xdr:row>
      <xdr:rowOff>268348</xdr:rowOff>
    </xdr:to>
    <xdr:sp macro="" textlink="">
      <xdr:nvSpPr>
        <xdr:cNvPr id="403" name="Text Box 2">
          <a:extLst>
            <a:ext uri="{FF2B5EF4-FFF2-40B4-BE49-F238E27FC236}">
              <a16:creationId xmlns:a16="http://schemas.microsoft.com/office/drawing/2014/main" id="{71A6E5EA-0B73-4EB0-B9F3-8B497DDA84CA}"/>
            </a:ext>
          </a:extLst>
        </xdr:cNvPr>
        <xdr:cNvSpPr txBox="1">
          <a:spLocks noChangeArrowheads="1"/>
        </xdr:cNvSpPr>
      </xdr:nvSpPr>
      <xdr:spPr bwMode="auto">
        <a:xfrm>
          <a:off x="2247900" y="94107000"/>
          <a:ext cx="120650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387350</xdr:colOff>
      <xdr:row>252</xdr:row>
      <xdr:rowOff>268348</xdr:rowOff>
    </xdr:to>
    <xdr:sp macro="" textlink="">
      <xdr:nvSpPr>
        <xdr:cNvPr id="404" name="Text Box 2">
          <a:extLst>
            <a:ext uri="{FF2B5EF4-FFF2-40B4-BE49-F238E27FC236}">
              <a16:creationId xmlns:a16="http://schemas.microsoft.com/office/drawing/2014/main" id="{A3B76421-59B2-4F1D-A5CD-72E1EB9BD1D7}"/>
            </a:ext>
          </a:extLst>
        </xdr:cNvPr>
        <xdr:cNvSpPr txBox="1">
          <a:spLocks noChangeArrowheads="1"/>
        </xdr:cNvSpPr>
      </xdr:nvSpPr>
      <xdr:spPr bwMode="auto">
        <a:xfrm>
          <a:off x="2247900" y="94107000"/>
          <a:ext cx="120650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247</xdr:row>
      <xdr:rowOff>0</xdr:rowOff>
    </xdr:from>
    <xdr:to>
      <xdr:col>2</xdr:col>
      <xdr:colOff>387350</xdr:colOff>
      <xdr:row>252</xdr:row>
      <xdr:rowOff>268348</xdr:rowOff>
    </xdr:to>
    <xdr:sp macro="" textlink="">
      <xdr:nvSpPr>
        <xdr:cNvPr id="405" name="Text Box 2">
          <a:extLst>
            <a:ext uri="{FF2B5EF4-FFF2-40B4-BE49-F238E27FC236}">
              <a16:creationId xmlns:a16="http://schemas.microsoft.com/office/drawing/2014/main" id="{75067358-11B2-4393-B5E4-50AB7668F8EC}"/>
            </a:ext>
          </a:extLst>
        </xdr:cNvPr>
        <xdr:cNvSpPr txBox="1">
          <a:spLocks noChangeArrowheads="1"/>
        </xdr:cNvSpPr>
      </xdr:nvSpPr>
      <xdr:spPr bwMode="auto">
        <a:xfrm>
          <a:off x="2247900" y="94107000"/>
          <a:ext cx="120650" cy="2173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387350</xdr:colOff>
      <xdr:row>237</xdr:row>
      <xdr:rowOff>235096</xdr:rowOff>
    </xdr:to>
    <xdr:sp macro="" textlink="">
      <xdr:nvSpPr>
        <xdr:cNvPr id="406" name="Text Box 2">
          <a:extLst>
            <a:ext uri="{FF2B5EF4-FFF2-40B4-BE49-F238E27FC236}">
              <a16:creationId xmlns:a16="http://schemas.microsoft.com/office/drawing/2014/main" id="{DD74D569-D011-43E4-A83C-687DC07EF0CC}"/>
            </a:ext>
          </a:extLst>
        </xdr:cNvPr>
        <xdr:cNvSpPr txBox="1">
          <a:spLocks noChangeArrowheads="1"/>
        </xdr:cNvSpPr>
      </xdr:nvSpPr>
      <xdr:spPr bwMode="auto">
        <a:xfrm>
          <a:off x="2247900" y="86868000"/>
          <a:ext cx="120650" cy="3664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387350</xdr:colOff>
      <xdr:row>237</xdr:row>
      <xdr:rowOff>235096</xdr:rowOff>
    </xdr:to>
    <xdr:sp macro="" textlink="">
      <xdr:nvSpPr>
        <xdr:cNvPr id="407" name="Text Box 2">
          <a:extLst>
            <a:ext uri="{FF2B5EF4-FFF2-40B4-BE49-F238E27FC236}">
              <a16:creationId xmlns:a16="http://schemas.microsoft.com/office/drawing/2014/main" id="{CA0A43FD-427A-4346-8594-F7679BF875A4}"/>
            </a:ext>
          </a:extLst>
        </xdr:cNvPr>
        <xdr:cNvSpPr txBox="1">
          <a:spLocks noChangeArrowheads="1"/>
        </xdr:cNvSpPr>
      </xdr:nvSpPr>
      <xdr:spPr bwMode="auto">
        <a:xfrm>
          <a:off x="2247900" y="86868000"/>
          <a:ext cx="120650" cy="3664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387350</xdr:colOff>
      <xdr:row>237</xdr:row>
      <xdr:rowOff>235096</xdr:rowOff>
    </xdr:to>
    <xdr:sp macro="" textlink="">
      <xdr:nvSpPr>
        <xdr:cNvPr id="408" name="Text Box 2">
          <a:extLst>
            <a:ext uri="{FF2B5EF4-FFF2-40B4-BE49-F238E27FC236}">
              <a16:creationId xmlns:a16="http://schemas.microsoft.com/office/drawing/2014/main" id="{E25C57C9-B20E-446D-B0BC-251BF7A0B362}"/>
            </a:ext>
          </a:extLst>
        </xdr:cNvPr>
        <xdr:cNvSpPr txBox="1">
          <a:spLocks noChangeArrowheads="1"/>
        </xdr:cNvSpPr>
      </xdr:nvSpPr>
      <xdr:spPr bwMode="auto">
        <a:xfrm>
          <a:off x="2247900" y="86868000"/>
          <a:ext cx="120650" cy="3664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228</xdr:row>
      <xdr:rowOff>0</xdr:rowOff>
    </xdr:from>
    <xdr:to>
      <xdr:col>2</xdr:col>
      <xdr:colOff>387350</xdr:colOff>
      <xdr:row>237</xdr:row>
      <xdr:rowOff>235096</xdr:rowOff>
    </xdr:to>
    <xdr:sp macro="" textlink="">
      <xdr:nvSpPr>
        <xdr:cNvPr id="409" name="Text Box 2">
          <a:extLst>
            <a:ext uri="{FF2B5EF4-FFF2-40B4-BE49-F238E27FC236}">
              <a16:creationId xmlns:a16="http://schemas.microsoft.com/office/drawing/2014/main" id="{969A1C7B-E143-42DB-B1F2-E5C6D4CADA9E}"/>
            </a:ext>
          </a:extLst>
        </xdr:cNvPr>
        <xdr:cNvSpPr txBox="1">
          <a:spLocks noChangeArrowheads="1"/>
        </xdr:cNvSpPr>
      </xdr:nvSpPr>
      <xdr:spPr bwMode="auto">
        <a:xfrm>
          <a:off x="2247900" y="86868000"/>
          <a:ext cx="120650" cy="3664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410" name="Text Box 2">
          <a:extLst>
            <a:ext uri="{FF2B5EF4-FFF2-40B4-BE49-F238E27FC236}">
              <a16:creationId xmlns:a16="http://schemas.microsoft.com/office/drawing/2014/main" id="{7708BA05-3AF5-4055-9F8A-5386ED27E303}"/>
            </a:ext>
          </a:extLst>
        </xdr:cNvPr>
        <xdr:cNvSpPr txBox="1">
          <a:spLocks noChangeArrowheads="1"/>
        </xdr:cNvSpPr>
      </xdr:nvSpPr>
      <xdr:spPr bwMode="auto">
        <a:xfrm>
          <a:off x="2247900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411" name="Text Box 2">
          <a:extLst>
            <a:ext uri="{FF2B5EF4-FFF2-40B4-BE49-F238E27FC236}">
              <a16:creationId xmlns:a16="http://schemas.microsoft.com/office/drawing/2014/main" id="{1EF5258B-8CD2-4FBB-9F19-882BE8299EE7}"/>
            </a:ext>
          </a:extLst>
        </xdr:cNvPr>
        <xdr:cNvSpPr txBox="1">
          <a:spLocks noChangeArrowheads="1"/>
        </xdr:cNvSpPr>
      </xdr:nvSpPr>
      <xdr:spPr bwMode="auto">
        <a:xfrm>
          <a:off x="2247900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412" name="Text Box 2">
          <a:extLst>
            <a:ext uri="{FF2B5EF4-FFF2-40B4-BE49-F238E27FC236}">
              <a16:creationId xmlns:a16="http://schemas.microsoft.com/office/drawing/2014/main" id="{322DA62F-00BA-4CCD-A7D2-07C1D6253B81}"/>
            </a:ext>
          </a:extLst>
        </xdr:cNvPr>
        <xdr:cNvSpPr txBox="1">
          <a:spLocks noChangeArrowheads="1"/>
        </xdr:cNvSpPr>
      </xdr:nvSpPr>
      <xdr:spPr bwMode="auto">
        <a:xfrm>
          <a:off x="2247900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293</xdr:row>
      <xdr:rowOff>0</xdr:rowOff>
    </xdr:from>
    <xdr:ext cx="123825" cy="238125"/>
    <xdr:sp macro="" textlink="">
      <xdr:nvSpPr>
        <xdr:cNvPr id="413" name="Text Box 2">
          <a:extLst>
            <a:ext uri="{FF2B5EF4-FFF2-40B4-BE49-F238E27FC236}">
              <a16:creationId xmlns:a16="http://schemas.microsoft.com/office/drawing/2014/main" id="{80DB391E-7225-48EF-8750-152C3D4B5809}"/>
            </a:ext>
          </a:extLst>
        </xdr:cNvPr>
        <xdr:cNvSpPr txBox="1">
          <a:spLocks noChangeArrowheads="1"/>
        </xdr:cNvSpPr>
      </xdr:nvSpPr>
      <xdr:spPr bwMode="auto">
        <a:xfrm>
          <a:off x="2247900" y="11163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414" name="Text Box 2">
          <a:extLst>
            <a:ext uri="{FF2B5EF4-FFF2-40B4-BE49-F238E27FC236}">
              <a16:creationId xmlns:a16="http://schemas.microsoft.com/office/drawing/2014/main" id="{E3164A4B-E659-48D6-8A9B-965EE86E73B0}"/>
            </a:ext>
          </a:extLst>
        </xdr:cNvPr>
        <xdr:cNvSpPr txBox="1">
          <a:spLocks noChangeArrowheads="1"/>
        </xdr:cNvSpPr>
      </xdr:nvSpPr>
      <xdr:spPr bwMode="auto">
        <a:xfrm>
          <a:off x="2247900" y="43891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415" name="Text Box 2">
          <a:extLst>
            <a:ext uri="{FF2B5EF4-FFF2-40B4-BE49-F238E27FC236}">
              <a16:creationId xmlns:a16="http://schemas.microsoft.com/office/drawing/2014/main" id="{B1CE7F6A-E3AC-41F7-BE98-0097EEA39A97}"/>
            </a:ext>
          </a:extLst>
        </xdr:cNvPr>
        <xdr:cNvSpPr txBox="1">
          <a:spLocks noChangeArrowheads="1"/>
        </xdr:cNvSpPr>
      </xdr:nvSpPr>
      <xdr:spPr bwMode="auto">
        <a:xfrm>
          <a:off x="2247900" y="43891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416" name="Text Box 2">
          <a:extLst>
            <a:ext uri="{FF2B5EF4-FFF2-40B4-BE49-F238E27FC236}">
              <a16:creationId xmlns:a16="http://schemas.microsoft.com/office/drawing/2014/main" id="{E74BB4C8-93D5-4356-87D9-D3808047CCE1}"/>
            </a:ext>
          </a:extLst>
        </xdr:cNvPr>
        <xdr:cNvSpPr txBox="1">
          <a:spLocks noChangeArrowheads="1"/>
        </xdr:cNvSpPr>
      </xdr:nvSpPr>
      <xdr:spPr bwMode="auto">
        <a:xfrm>
          <a:off x="2247900" y="43891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1152</xdr:row>
      <xdr:rowOff>0</xdr:rowOff>
    </xdr:from>
    <xdr:ext cx="123825" cy="238125"/>
    <xdr:sp macro="" textlink="">
      <xdr:nvSpPr>
        <xdr:cNvPr id="417" name="Text Box 2">
          <a:extLst>
            <a:ext uri="{FF2B5EF4-FFF2-40B4-BE49-F238E27FC236}">
              <a16:creationId xmlns:a16="http://schemas.microsoft.com/office/drawing/2014/main" id="{2E77C782-5F17-4F95-9A1E-AC8C6969AB2C}"/>
            </a:ext>
          </a:extLst>
        </xdr:cNvPr>
        <xdr:cNvSpPr txBox="1">
          <a:spLocks noChangeArrowheads="1"/>
        </xdr:cNvSpPr>
      </xdr:nvSpPr>
      <xdr:spPr bwMode="auto">
        <a:xfrm>
          <a:off x="2247900" y="43891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1098</xdr:row>
      <xdr:rowOff>0</xdr:rowOff>
    </xdr:from>
    <xdr:to>
      <xdr:col>2</xdr:col>
      <xdr:colOff>387350</xdr:colOff>
      <xdr:row>1099</xdr:row>
      <xdr:rowOff>0</xdr:rowOff>
    </xdr:to>
    <xdr:sp macro="" textlink="">
      <xdr:nvSpPr>
        <xdr:cNvPr id="418" name="Text Box 2">
          <a:extLst>
            <a:ext uri="{FF2B5EF4-FFF2-40B4-BE49-F238E27FC236}">
              <a16:creationId xmlns:a16="http://schemas.microsoft.com/office/drawing/2014/main" id="{FBBE7331-79D3-44A8-927D-B82B9F0A1A7F}"/>
            </a:ext>
          </a:extLst>
        </xdr:cNvPr>
        <xdr:cNvSpPr txBox="1">
          <a:spLocks noChangeArrowheads="1"/>
        </xdr:cNvSpPr>
      </xdr:nvSpPr>
      <xdr:spPr bwMode="auto">
        <a:xfrm>
          <a:off x="2247900" y="418338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387350</xdr:colOff>
      <xdr:row>1099</xdr:row>
      <xdr:rowOff>0</xdr:rowOff>
    </xdr:to>
    <xdr:sp macro="" textlink="">
      <xdr:nvSpPr>
        <xdr:cNvPr id="419" name="Text Box 2">
          <a:extLst>
            <a:ext uri="{FF2B5EF4-FFF2-40B4-BE49-F238E27FC236}">
              <a16:creationId xmlns:a16="http://schemas.microsoft.com/office/drawing/2014/main" id="{57A30FE7-0D0F-4C94-9CD2-80E0C253D32F}"/>
            </a:ext>
          </a:extLst>
        </xdr:cNvPr>
        <xdr:cNvSpPr txBox="1">
          <a:spLocks noChangeArrowheads="1"/>
        </xdr:cNvSpPr>
      </xdr:nvSpPr>
      <xdr:spPr bwMode="auto">
        <a:xfrm>
          <a:off x="2247900" y="418338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387350</xdr:colOff>
      <xdr:row>1099</xdr:row>
      <xdr:rowOff>0</xdr:rowOff>
    </xdr:to>
    <xdr:sp macro="" textlink="">
      <xdr:nvSpPr>
        <xdr:cNvPr id="420" name="Text Box 2">
          <a:extLst>
            <a:ext uri="{FF2B5EF4-FFF2-40B4-BE49-F238E27FC236}">
              <a16:creationId xmlns:a16="http://schemas.microsoft.com/office/drawing/2014/main" id="{F7C44772-279A-4739-9D5D-A2B87E65150D}"/>
            </a:ext>
          </a:extLst>
        </xdr:cNvPr>
        <xdr:cNvSpPr txBox="1">
          <a:spLocks noChangeArrowheads="1"/>
        </xdr:cNvSpPr>
      </xdr:nvSpPr>
      <xdr:spPr bwMode="auto">
        <a:xfrm>
          <a:off x="2247900" y="418338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1098</xdr:row>
      <xdr:rowOff>0</xdr:rowOff>
    </xdr:from>
    <xdr:to>
      <xdr:col>2</xdr:col>
      <xdr:colOff>387350</xdr:colOff>
      <xdr:row>1099</xdr:row>
      <xdr:rowOff>0</xdr:rowOff>
    </xdr:to>
    <xdr:sp macro="" textlink="">
      <xdr:nvSpPr>
        <xdr:cNvPr id="421" name="Text Box 2">
          <a:extLst>
            <a:ext uri="{FF2B5EF4-FFF2-40B4-BE49-F238E27FC236}">
              <a16:creationId xmlns:a16="http://schemas.microsoft.com/office/drawing/2014/main" id="{7CE1D6E8-48EF-4DC9-B793-7E2342E97CDB}"/>
            </a:ext>
          </a:extLst>
        </xdr:cNvPr>
        <xdr:cNvSpPr txBox="1">
          <a:spLocks noChangeArrowheads="1"/>
        </xdr:cNvSpPr>
      </xdr:nvSpPr>
      <xdr:spPr bwMode="auto">
        <a:xfrm>
          <a:off x="2247900" y="418338000"/>
          <a:ext cx="12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387350</xdr:colOff>
      <xdr:row>1085</xdr:row>
      <xdr:rowOff>9670</xdr:rowOff>
    </xdr:to>
    <xdr:sp macro="" textlink="">
      <xdr:nvSpPr>
        <xdr:cNvPr id="422" name="Text Box 2">
          <a:extLst>
            <a:ext uri="{FF2B5EF4-FFF2-40B4-BE49-F238E27FC236}">
              <a16:creationId xmlns:a16="http://schemas.microsoft.com/office/drawing/2014/main" id="{FBFC3791-C3B9-482C-B85C-A0FB363A7F6C}"/>
            </a:ext>
          </a:extLst>
        </xdr:cNvPr>
        <xdr:cNvSpPr txBox="1">
          <a:spLocks noChangeArrowheads="1"/>
        </xdr:cNvSpPr>
      </xdr:nvSpPr>
      <xdr:spPr bwMode="auto">
        <a:xfrm>
          <a:off x="2247900" y="411099000"/>
          <a:ext cx="120650" cy="229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387350</xdr:colOff>
      <xdr:row>1085</xdr:row>
      <xdr:rowOff>9670</xdr:rowOff>
    </xdr:to>
    <xdr:sp macro="" textlink="">
      <xdr:nvSpPr>
        <xdr:cNvPr id="423" name="Text Box 2">
          <a:extLst>
            <a:ext uri="{FF2B5EF4-FFF2-40B4-BE49-F238E27FC236}">
              <a16:creationId xmlns:a16="http://schemas.microsoft.com/office/drawing/2014/main" id="{437BBE29-AD7C-4826-BBEB-6CB93CF99914}"/>
            </a:ext>
          </a:extLst>
        </xdr:cNvPr>
        <xdr:cNvSpPr txBox="1">
          <a:spLocks noChangeArrowheads="1"/>
        </xdr:cNvSpPr>
      </xdr:nvSpPr>
      <xdr:spPr bwMode="auto">
        <a:xfrm>
          <a:off x="2247900" y="411099000"/>
          <a:ext cx="120650" cy="229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387350</xdr:colOff>
      <xdr:row>1085</xdr:row>
      <xdr:rowOff>9670</xdr:rowOff>
    </xdr:to>
    <xdr:sp macro="" textlink="">
      <xdr:nvSpPr>
        <xdr:cNvPr id="424" name="Text Box 2">
          <a:extLst>
            <a:ext uri="{FF2B5EF4-FFF2-40B4-BE49-F238E27FC236}">
              <a16:creationId xmlns:a16="http://schemas.microsoft.com/office/drawing/2014/main" id="{E5A7B026-AF13-4610-A296-F4737F447651}"/>
            </a:ext>
          </a:extLst>
        </xdr:cNvPr>
        <xdr:cNvSpPr txBox="1">
          <a:spLocks noChangeArrowheads="1"/>
        </xdr:cNvSpPr>
      </xdr:nvSpPr>
      <xdr:spPr bwMode="auto">
        <a:xfrm>
          <a:off x="2247900" y="411099000"/>
          <a:ext cx="120650" cy="229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1079</xdr:row>
      <xdr:rowOff>0</xdr:rowOff>
    </xdr:from>
    <xdr:to>
      <xdr:col>2</xdr:col>
      <xdr:colOff>387350</xdr:colOff>
      <xdr:row>1085</xdr:row>
      <xdr:rowOff>9670</xdr:rowOff>
    </xdr:to>
    <xdr:sp macro="" textlink="">
      <xdr:nvSpPr>
        <xdr:cNvPr id="425" name="Text Box 2">
          <a:extLst>
            <a:ext uri="{FF2B5EF4-FFF2-40B4-BE49-F238E27FC236}">
              <a16:creationId xmlns:a16="http://schemas.microsoft.com/office/drawing/2014/main" id="{FDF70174-F8F5-42F0-8BDB-0DBDBCBA0534}"/>
            </a:ext>
          </a:extLst>
        </xdr:cNvPr>
        <xdr:cNvSpPr txBox="1">
          <a:spLocks noChangeArrowheads="1"/>
        </xdr:cNvSpPr>
      </xdr:nvSpPr>
      <xdr:spPr bwMode="auto">
        <a:xfrm>
          <a:off x="2247900" y="411099000"/>
          <a:ext cx="120650" cy="2295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426" name="Text Box 2">
          <a:extLst>
            <a:ext uri="{FF2B5EF4-FFF2-40B4-BE49-F238E27FC236}">
              <a16:creationId xmlns:a16="http://schemas.microsoft.com/office/drawing/2014/main" id="{19EC7969-4451-4D7C-8F56-B7C101F15024}"/>
            </a:ext>
          </a:extLst>
        </xdr:cNvPr>
        <xdr:cNvSpPr txBox="1">
          <a:spLocks noChangeArrowheads="1"/>
        </xdr:cNvSpPr>
      </xdr:nvSpPr>
      <xdr:spPr bwMode="auto">
        <a:xfrm>
          <a:off x="2247900" y="43548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427" name="Text Box 2">
          <a:extLst>
            <a:ext uri="{FF2B5EF4-FFF2-40B4-BE49-F238E27FC236}">
              <a16:creationId xmlns:a16="http://schemas.microsoft.com/office/drawing/2014/main" id="{970C0115-DA26-4009-AA30-50435E3726D9}"/>
            </a:ext>
          </a:extLst>
        </xdr:cNvPr>
        <xdr:cNvSpPr txBox="1">
          <a:spLocks noChangeArrowheads="1"/>
        </xdr:cNvSpPr>
      </xdr:nvSpPr>
      <xdr:spPr bwMode="auto">
        <a:xfrm>
          <a:off x="2247900" y="43548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428" name="Text Box 2">
          <a:extLst>
            <a:ext uri="{FF2B5EF4-FFF2-40B4-BE49-F238E27FC236}">
              <a16:creationId xmlns:a16="http://schemas.microsoft.com/office/drawing/2014/main" id="{D7ABDA7C-5129-41FE-A6CB-E8B94806D68D}"/>
            </a:ext>
          </a:extLst>
        </xdr:cNvPr>
        <xdr:cNvSpPr txBox="1">
          <a:spLocks noChangeArrowheads="1"/>
        </xdr:cNvSpPr>
      </xdr:nvSpPr>
      <xdr:spPr bwMode="auto">
        <a:xfrm>
          <a:off x="2247900" y="43548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1143</xdr:row>
      <xdr:rowOff>0</xdr:rowOff>
    </xdr:from>
    <xdr:ext cx="123825" cy="238125"/>
    <xdr:sp macro="" textlink="">
      <xdr:nvSpPr>
        <xdr:cNvPr id="429" name="Text Box 2">
          <a:extLst>
            <a:ext uri="{FF2B5EF4-FFF2-40B4-BE49-F238E27FC236}">
              <a16:creationId xmlns:a16="http://schemas.microsoft.com/office/drawing/2014/main" id="{C55B68BD-EAE3-4058-9588-6E3D6BF7D31D}"/>
            </a:ext>
          </a:extLst>
        </xdr:cNvPr>
        <xdr:cNvSpPr txBox="1">
          <a:spLocks noChangeArrowheads="1"/>
        </xdr:cNvSpPr>
      </xdr:nvSpPr>
      <xdr:spPr bwMode="auto">
        <a:xfrm>
          <a:off x="2247900" y="435483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430" name="Text Box 2">
          <a:extLst>
            <a:ext uri="{FF2B5EF4-FFF2-40B4-BE49-F238E27FC236}">
              <a16:creationId xmlns:a16="http://schemas.microsoft.com/office/drawing/2014/main" id="{52D375D4-7FB2-4B6C-962E-DFC36B4F3460}"/>
            </a:ext>
          </a:extLst>
        </xdr:cNvPr>
        <xdr:cNvSpPr txBox="1">
          <a:spLocks noChangeArrowheads="1"/>
        </xdr:cNvSpPr>
      </xdr:nvSpPr>
      <xdr:spPr bwMode="auto">
        <a:xfrm>
          <a:off x="2247900" y="44081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431" name="Text Box 2">
          <a:extLst>
            <a:ext uri="{FF2B5EF4-FFF2-40B4-BE49-F238E27FC236}">
              <a16:creationId xmlns:a16="http://schemas.microsoft.com/office/drawing/2014/main" id="{AFAD707B-EFD9-4452-B101-FDEABADB73EC}"/>
            </a:ext>
          </a:extLst>
        </xdr:cNvPr>
        <xdr:cNvSpPr txBox="1">
          <a:spLocks noChangeArrowheads="1"/>
        </xdr:cNvSpPr>
      </xdr:nvSpPr>
      <xdr:spPr bwMode="auto">
        <a:xfrm>
          <a:off x="2247900" y="44081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432" name="Text Box 2">
          <a:extLst>
            <a:ext uri="{FF2B5EF4-FFF2-40B4-BE49-F238E27FC236}">
              <a16:creationId xmlns:a16="http://schemas.microsoft.com/office/drawing/2014/main" id="{B301C0A6-6D29-4CB4-9459-B0C666542A5E}"/>
            </a:ext>
          </a:extLst>
        </xdr:cNvPr>
        <xdr:cNvSpPr txBox="1">
          <a:spLocks noChangeArrowheads="1"/>
        </xdr:cNvSpPr>
      </xdr:nvSpPr>
      <xdr:spPr bwMode="auto">
        <a:xfrm>
          <a:off x="2247900" y="44081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1157</xdr:row>
      <xdr:rowOff>0</xdr:rowOff>
    </xdr:from>
    <xdr:ext cx="123825" cy="238125"/>
    <xdr:sp macro="" textlink="">
      <xdr:nvSpPr>
        <xdr:cNvPr id="433" name="Text Box 2">
          <a:extLst>
            <a:ext uri="{FF2B5EF4-FFF2-40B4-BE49-F238E27FC236}">
              <a16:creationId xmlns:a16="http://schemas.microsoft.com/office/drawing/2014/main" id="{8CAB37D6-7A45-4255-954C-86EC245B1C5F}"/>
            </a:ext>
          </a:extLst>
        </xdr:cNvPr>
        <xdr:cNvSpPr txBox="1">
          <a:spLocks noChangeArrowheads="1"/>
        </xdr:cNvSpPr>
      </xdr:nvSpPr>
      <xdr:spPr bwMode="auto">
        <a:xfrm>
          <a:off x="2247900" y="44081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1102</xdr:row>
      <xdr:rowOff>0</xdr:rowOff>
    </xdr:from>
    <xdr:to>
      <xdr:col>2</xdr:col>
      <xdr:colOff>387350</xdr:colOff>
      <xdr:row>1104</xdr:row>
      <xdr:rowOff>87373</xdr:rowOff>
    </xdr:to>
    <xdr:sp macro="" textlink="">
      <xdr:nvSpPr>
        <xdr:cNvPr id="434" name="Text Box 2">
          <a:extLst>
            <a:ext uri="{FF2B5EF4-FFF2-40B4-BE49-F238E27FC236}">
              <a16:creationId xmlns:a16="http://schemas.microsoft.com/office/drawing/2014/main" id="{5BD67F28-C247-4F99-9B65-D91220E13F36}"/>
            </a:ext>
          </a:extLst>
        </xdr:cNvPr>
        <xdr:cNvSpPr txBox="1">
          <a:spLocks noChangeArrowheads="1"/>
        </xdr:cNvSpPr>
      </xdr:nvSpPr>
      <xdr:spPr bwMode="auto">
        <a:xfrm>
          <a:off x="2247900" y="419862000"/>
          <a:ext cx="120650" cy="849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387350</xdr:colOff>
      <xdr:row>1104</xdr:row>
      <xdr:rowOff>87373</xdr:rowOff>
    </xdr:to>
    <xdr:sp macro="" textlink="">
      <xdr:nvSpPr>
        <xdr:cNvPr id="435" name="Text Box 2">
          <a:extLst>
            <a:ext uri="{FF2B5EF4-FFF2-40B4-BE49-F238E27FC236}">
              <a16:creationId xmlns:a16="http://schemas.microsoft.com/office/drawing/2014/main" id="{D33AC3E6-91E6-4FB8-9A51-018025777343}"/>
            </a:ext>
          </a:extLst>
        </xdr:cNvPr>
        <xdr:cNvSpPr txBox="1">
          <a:spLocks noChangeArrowheads="1"/>
        </xdr:cNvSpPr>
      </xdr:nvSpPr>
      <xdr:spPr bwMode="auto">
        <a:xfrm>
          <a:off x="2247900" y="419862000"/>
          <a:ext cx="120650" cy="849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387350</xdr:colOff>
      <xdr:row>1104</xdr:row>
      <xdr:rowOff>87373</xdr:rowOff>
    </xdr:to>
    <xdr:sp macro="" textlink="">
      <xdr:nvSpPr>
        <xdr:cNvPr id="436" name="Text Box 2">
          <a:extLst>
            <a:ext uri="{FF2B5EF4-FFF2-40B4-BE49-F238E27FC236}">
              <a16:creationId xmlns:a16="http://schemas.microsoft.com/office/drawing/2014/main" id="{A062EE52-0D1F-4EC4-B803-7E0840D190A4}"/>
            </a:ext>
          </a:extLst>
        </xdr:cNvPr>
        <xdr:cNvSpPr txBox="1">
          <a:spLocks noChangeArrowheads="1"/>
        </xdr:cNvSpPr>
      </xdr:nvSpPr>
      <xdr:spPr bwMode="auto">
        <a:xfrm>
          <a:off x="2247900" y="419862000"/>
          <a:ext cx="120650" cy="849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1102</xdr:row>
      <xdr:rowOff>0</xdr:rowOff>
    </xdr:from>
    <xdr:to>
      <xdr:col>2</xdr:col>
      <xdr:colOff>387350</xdr:colOff>
      <xdr:row>1104</xdr:row>
      <xdr:rowOff>87373</xdr:rowOff>
    </xdr:to>
    <xdr:sp macro="" textlink="">
      <xdr:nvSpPr>
        <xdr:cNvPr id="437" name="Text Box 2">
          <a:extLst>
            <a:ext uri="{FF2B5EF4-FFF2-40B4-BE49-F238E27FC236}">
              <a16:creationId xmlns:a16="http://schemas.microsoft.com/office/drawing/2014/main" id="{A713075B-CE70-4F63-A912-8B756929528B}"/>
            </a:ext>
          </a:extLst>
        </xdr:cNvPr>
        <xdr:cNvSpPr txBox="1">
          <a:spLocks noChangeArrowheads="1"/>
        </xdr:cNvSpPr>
      </xdr:nvSpPr>
      <xdr:spPr bwMode="auto">
        <a:xfrm>
          <a:off x="2247900" y="419862000"/>
          <a:ext cx="120650" cy="849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387350</xdr:colOff>
      <xdr:row>1099</xdr:row>
      <xdr:rowOff>120795</xdr:rowOff>
    </xdr:to>
    <xdr:sp macro="" textlink="">
      <xdr:nvSpPr>
        <xdr:cNvPr id="438" name="Text Box 2">
          <a:extLst>
            <a:ext uri="{FF2B5EF4-FFF2-40B4-BE49-F238E27FC236}">
              <a16:creationId xmlns:a16="http://schemas.microsoft.com/office/drawing/2014/main" id="{ADCAFF57-6166-41E1-8AEC-2EF545E9F62B}"/>
            </a:ext>
          </a:extLst>
        </xdr:cNvPr>
        <xdr:cNvSpPr txBox="1">
          <a:spLocks noChangeArrowheads="1"/>
        </xdr:cNvSpPr>
      </xdr:nvSpPr>
      <xdr:spPr bwMode="auto">
        <a:xfrm>
          <a:off x="2247900" y="412242000"/>
          <a:ext cx="120650" cy="6597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387350</xdr:colOff>
      <xdr:row>1099</xdr:row>
      <xdr:rowOff>120795</xdr:rowOff>
    </xdr:to>
    <xdr:sp macro="" textlink="">
      <xdr:nvSpPr>
        <xdr:cNvPr id="439" name="Text Box 2">
          <a:extLst>
            <a:ext uri="{FF2B5EF4-FFF2-40B4-BE49-F238E27FC236}">
              <a16:creationId xmlns:a16="http://schemas.microsoft.com/office/drawing/2014/main" id="{BD474C25-C0ED-4681-9031-21F40BF84979}"/>
            </a:ext>
          </a:extLst>
        </xdr:cNvPr>
        <xdr:cNvSpPr txBox="1">
          <a:spLocks noChangeArrowheads="1"/>
        </xdr:cNvSpPr>
      </xdr:nvSpPr>
      <xdr:spPr bwMode="auto">
        <a:xfrm>
          <a:off x="2247900" y="412242000"/>
          <a:ext cx="120650" cy="6597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387350</xdr:colOff>
      <xdr:row>1099</xdr:row>
      <xdr:rowOff>120795</xdr:rowOff>
    </xdr:to>
    <xdr:sp macro="" textlink="">
      <xdr:nvSpPr>
        <xdr:cNvPr id="440" name="Text Box 2">
          <a:extLst>
            <a:ext uri="{FF2B5EF4-FFF2-40B4-BE49-F238E27FC236}">
              <a16:creationId xmlns:a16="http://schemas.microsoft.com/office/drawing/2014/main" id="{13B720DD-180B-468C-872A-9758F71BA2ED}"/>
            </a:ext>
          </a:extLst>
        </xdr:cNvPr>
        <xdr:cNvSpPr txBox="1">
          <a:spLocks noChangeArrowheads="1"/>
        </xdr:cNvSpPr>
      </xdr:nvSpPr>
      <xdr:spPr bwMode="auto">
        <a:xfrm>
          <a:off x="2247900" y="412242000"/>
          <a:ext cx="120650" cy="6597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1082</xdr:row>
      <xdr:rowOff>0</xdr:rowOff>
    </xdr:from>
    <xdr:to>
      <xdr:col>2</xdr:col>
      <xdr:colOff>387350</xdr:colOff>
      <xdr:row>1099</xdr:row>
      <xdr:rowOff>120795</xdr:rowOff>
    </xdr:to>
    <xdr:sp macro="" textlink="">
      <xdr:nvSpPr>
        <xdr:cNvPr id="441" name="Text Box 2">
          <a:extLst>
            <a:ext uri="{FF2B5EF4-FFF2-40B4-BE49-F238E27FC236}">
              <a16:creationId xmlns:a16="http://schemas.microsoft.com/office/drawing/2014/main" id="{4A124D13-6116-4770-A515-41024D4BCFE9}"/>
            </a:ext>
          </a:extLst>
        </xdr:cNvPr>
        <xdr:cNvSpPr txBox="1">
          <a:spLocks noChangeArrowheads="1"/>
        </xdr:cNvSpPr>
      </xdr:nvSpPr>
      <xdr:spPr bwMode="auto">
        <a:xfrm>
          <a:off x="2247900" y="412242000"/>
          <a:ext cx="120650" cy="6597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442" name="Text Box 2">
          <a:extLst>
            <a:ext uri="{FF2B5EF4-FFF2-40B4-BE49-F238E27FC236}">
              <a16:creationId xmlns:a16="http://schemas.microsoft.com/office/drawing/2014/main" id="{DF1C43AF-AB2A-426A-B302-71040434BC08}"/>
            </a:ext>
          </a:extLst>
        </xdr:cNvPr>
        <xdr:cNvSpPr txBox="1">
          <a:spLocks noChangeArrowheads="1"/>
        </xdr:cNvSpPr>
      </xdr:nvSpPr>
      <xdr:spPr bwMode="auto">
        <a:xfrm>
          <a:off x="2247900" y="43700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443" name="Text Box 2">
          <a:extLst>
            <a:ext uri="{FF2B5EF4-FFF2-40B4-BE49-F238E27FC236}">
              <a16:creationId xmlns:a16="http://schemas.microsoft.com/office/drawing/2014/main" id="{819F70BF-B145-494C-853E-C34C4413AD3C}"/>
            </a:ext>
          </a:extLst>
        </xdr:cNvPr>
        <xdr:cNvSpPr txBox="1">
          <a:spLocks noChangeArrowheads="1"/>
        </xdr:cNvSpPr>
      </xdr:nvSpPr>
      <xdr:spPr bwMode="auto">
        <a:xfrm>
          <a:off x="2247900" y="43700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444" name="Text Box 2">
          <a:extLst>
            <a:ext uri="{FF2B5EF4-FFF2-40B4-BE49-F238E27FC236}">
              <a16:creationId xmlns:a16="http://schemas.microsoft.com/office/drawing/2014/main" id="{626C68A7-7BD6-4516-84B2-0555AD252C1D}"/>
            </a:ext>
          </a:extLst>
        </xdr:cNvPr>
        <xdr:cNvSpPr txBox="1">
          <a:spLocks noChangeArrowheads="1"/>
        </xdr:cNvSpPr>
      </xdr:nvSpPr>
      <xdr:spPr bwMode="auto">
        <a:xfrm>
          <a:off x="2247900" y="43700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1147</xdr:row>
      <xdr:rowOff>0</xdr:rowOff>
    </xdr:from>
    <xdr:ext cx="123825" cy="238125"/>
    <xdr:sp macro="" textlink="">
      <xdr:nvSpPr>
        <xdr:cNvPr id="445" name="Text Box 2">
          <a:extLst>
            <a:ext uri="{FF2B5EF4-FFF2-40B4-BE49-F238E27FC236}">
              <a16:creationId xmlns:a16="http://schemas.microsoft.com/office/drawing/2014/main" id="{20B87B42-F265-4A4E-8EA9-56F9B4B88DE5}"/>
            </a:ext>
          </a:extLst>
        </xdr:cNvPr>
        <xdr:cNvSpPr txBox="1">
          <a:spLocks noChangeArrowheads="1"/>
        </xdr:cNvSpPr>
      </xdr:nvSpPr>
      <xdr:spPr bwMode="auto">
        <a:xfrm>
          <a:off x="2247900" y="437007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446" name="Text Box 2">
          <a:extLst>
            <a:ext uri="{FF2B5EF4-FFF2-40B4-BE49-F238E27FC236}">
              <a16:creationId xmlns:a16="http://schemas.microsoft.com/office/drawing/2014/main" id="{E19A2D28-DA57-4284-A1D2-E2389574E03E}"/>
            </a:ext>
          </a:extLst>
        </xdr:cNvPr>
        <xdr:cNvSpPr txBox="1">
          <a:spLocks noChangeArrowheads="1"/>
        </xdr:cNvSpPr>
      </xdr:nvSpPr>
      <xdr:spPr bwMode="auto">
        <a:xfrm>
          <a:off x="2247900" y="268986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447" name="Text Box 2">
          <a:extLst>
            <a:ext uri="{FF2B5EF4-FFF2-40B4-BE49-F238E27FC236}">
              <a16:creationId xmlns:a16="http://schemas.microsoft.com/office/drawing/2014/main" id="{E0AE116E-DEC6-4872-B475-CE5930B7B3B7}"/>
            </a:ext>
          </a:extLst>
        </xdr:cNvPr>
        <xdr:cNvSpPr txBox="1">
          <a:spLocks noChangeArrowheads="1"/>
        </xdr:cNvSpPr>
      </xdr:nvSpPr>
      <xdr:spPr bwMode="auto">
        <a:xfrm>
          <a:off x="2247900" y="268986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448" name="Text Box 2">
          <a:extLst>
            <a:ext uri="{FF2B5EF4-FFF2-40B4-BE49-F238E27FC236}">
              <a16:creationId xmlns:a16="http://schemas.microsoft.com/office/drawing/2014/main" id="{D05BFAF7-ABF3-4D89-A86A-169F2F30E6E2}"/>
            </a:ext>
          </a:extLst>
        </xdr:cNvPr>
        <xdr:cNvSpPr txBox="1">
          <a:spLocks noChangeArrowheads="1"/>
        </xdr:cNvSpPr>
      </xdr:nvSpPr>
      <xdr:spPr bwMode="auto">
        <a:xfrm>
          <a:off x="2247900" y="268986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706</xdr:row>
      <xdr:rowOff>0</xdr:rowOff>
    </xdr:from>
    <xdr:ext cx="123825" cy="238125"/>
    <xdr:sp macro="" textlink="">
      <xdr:nvSpPr>
        <xdr:cNvPr id="449" name="Text Box 2">
          <a:extLst>
            <a:ext uri="{FF2B5EF4-FFF2-40B4-BE49-F238E27FC236}">
              <a16:creationId xmlns:a16="http://schemas.microsoft.com/office/drawing/2014/main" id="{C69CC427-69CC-4A06-9ACE-E822CB490A99}"/>
            </a:ext>
          </a:extLst>
        </xdr:cNvPr>
        <xdr:cNvSpPr txBox="1">
          <a:spLocks noChangeArrowheads="1"/>
        </xdr:cNvSpPr>
      </xdr:nvSpPr>
      <xdr:spPr bwMode="auto">
        <a:xfrm>
          <a:off x="2247900" y="268986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661</xdr:row>
      <xdr:rowOff>0</xdr:rowOff>
    </xdr:from>
    <xdr:to>
      <xdr:col>2</xdr:col>
      <xdr:colOff>390525</xdr:colOff>
      <xdr:row>666</xdr:row>
      <xdr:rowOff>268614</xdr:rowOff>
    </xdr:to>
    <xdr:sp macro="" textlink="">
      <xdr:nvSpPr>
        <xdr:cNvPr id="450" name="Text Box 2">
          <a:extLst>
            <a:ext uri="{FF2B5EF4-FFF2-40B4-BE49-F238E27FC236}">
              <a16:creationId xmlns:a16="http://schemas.microsoft.com/office/drawing/2014/main" id="{46E2E643-8175-4A12-AA5D-9ADFF15B8D1B}"/>
            </a:ext>
          </a:extLst>
        </xdr:cNvPr>
        <xdr:cNvSpPr txBox="1">
          <a:spLocks noChangeArrowheads="1"/>
        </xdr:cNvSpPr>
      </xdr:nvSpPr>
      <xdr:spPr bwMode="auto">
        <a:xfrm>
          <a:off x="2247900" y="251841000"/>
          <a:ext cx="123825" cy="2173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390525</xdr:colOff>
      <xdr:row>666</xdr:row>
      <xdr:rowOff>268614</xdr:rowOff>
    </xdr:to>
    <xdr:sp macro="" textlink="">
      <xdr:nvSpPr>
        <xdr:cNvPr id="451" name="Text Box 2">
          <a:extLst>
            <a:ext uri="{FF2B5EF4-FFF2-40B4-BE49-F238E27FC236}">
              <a16:creationId xmlns:a16="http://schemas.microsoft.com/office/drawing/2014/main" id="{BA9AFCCC-0B7E-4205-AE55-BF654D7A9F91}"/>
            </a:ext>
          </a:extLst>
        </xdr:cNvPr>
        <xdr:cNvSpPr txBox="1">
          <a:spLocks noChangeArrowheads="1"/>
        </xdr:cNvSpPr>
      </xdr:nvSpPr>
      <xdr:spPr bwMode="auto">
        <a:xfrm>
          <a:off x="2247900" y="251841000"/>
          <a:ext cx="123825" cy="2173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390525</xdr:colOff>
      <xdr:row>666</xdr:row>
      <xdr:rowOff>268614</xdr:rowOff>
    </xdr:to>
    <xdr:sp macro="" textlink="">
      <xdr:nvSpPr>
        <xdr:cNvPr id="452" name="Text Box 2">
          <a:extLst>
            <a:ext uri="{FF2B5EF4-FFF2-40B4-BE49-F238E27FC236}">
              <a16:creationId xmlns:a16="http://schemas.microsoft.com/office/drawing/2014/main" id="{A171693B-E1A0-49E0-BF16-4015754B3B0B}"/>
            </a:ext>
          </a:extLst>
        </xdr:cNvPr>
        <xdr:cNvSpPr txBox="1">
          <a:spLocks noChangeArrowheads="1"/>
        </xdr:cNvSpPr>
      </xdr:nvSpPr>
      <xdr:spPr bwMode="auto">
        <a:xfrm>
          <a:off x="2247900" y="251841000"/>
          <a:ext cx="123825" cy="2173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661</xdr:row>
      <xdr:rowOff>0</xdr:rowOff>
    </xdr:from>
    <xdr:to>
      <xdr:col>2</xdr:col>
      <xdr:colOff>390525</xdr:colOff>
      <xdr:row>666</xdr:row>
      <xdr:rowOff>268614</xdr:rowOff>
    </xdr:to>
    <xdr:sp macro="" textlink="">
      <xdr:nvSpPr>
        <xdr:cNvPr id="453" name="Text Box 2">
          <a:extLst>
            <a:ext uri="{FF2B5EF4-FFF2-40B4-BE49-F238E27FC236}">
              <a16:creationId xmlns:a16="http://schemas.microsoft.com/office/drawing/2014/main" id="{A2472838-8C40-42A5-A4CD-22A4F59F4A5E}"/>
            </a:ext>
          </a:extLst>
        </xdr:cNvPr>
        <xdr:cNvSpPr txBox="1">
          <a:spLocks noChangeArrowheads="1"/>
        </xdr:cNvSpPr>
      </xdr:nvSpPr>
      <xdr:spPr bwMode="auto">
        <a:xfrm>
          <a:off x="2247900" y="251841000"/>
          <a:ext cx="123825" cy="2173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390525</xdr:colOff>
      <xdr:row>657</xdr:row>
      <xdr:rowOff>200436</xdr:rowOff>
    </xdr:to>
    <xdr:sp macro="" textlink="">
      <xdr:nvSpPr>
        <xdr:cNvPr id="454" name="Text Box 2">
          <a:extLst>
            <a:ext uri="{FF2B5EF4-FFF2-40B4-BE49-F238E27FC236}">
              <a16:creationId xmlns:a16="http://schemas.microsoft.com/office/drawing/2014/main" id="{80EEBD84-CF25-4CE2-803C-71232252BEAA}"/>
            </a:ext>
          </a:extLst>
        </xdr:cNvPr>
        <xdr:cNvSpPr txBox="1">
          <a:spLocks noChangeArrowheads="1"/>
        </xdr:cNvSpPr>
      </xdr:nvSpPr>
      <xdr:spPr bwMode="auto">
        <a:xfrm>
          <a:off x="2247900" y="246888000"/>
          <a:ext cx="123825" cy="362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390525</xdr:colOff>
      <xdr:row>657</xdr:row>
      <xdr:rowOff>200436</xdr:rowOff>
    </xdr:to>
    <xdr:sp macro="" textlink="">
      <xdr:nvSpPr>
        <xdr:cNvPr id="455" name="Text Box 2">
          <a:extLst>
            <a:ext uri="{FF2B5EF4-FFF2-40B4-BE49-F238E27FC236}">
              <a16:creationId xmlns:a16="http://schemas.microsoft.com/office/drawing/2014/main" id="{B38026EA-9749-4324-8F67-314D7DA0E11F}"/>
            </a:ext>
          </a:extLst>
        </xdr:cNvPr>
        <xdr:cNvSpPr txBox="1">
          <a:spLocks noChangeArrowheads="1"/>
        </xdr:cNvSpPr>
      </xdr:nvSpPr>
      <xdr:spPr bwMode="auto">
        <a:xfrm>
          <a:off x="2247900" y="246888000"/>
          <a:ext cx="123825" cy="362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390525</xdr:colOff>
      <xdr:row>657</xdr:row>
      <xdr:rowOff>200436</xdr:rowOff>
    </xdr:to>
    <xdr:sp macro="" textlink="">
      <xdr:nvSpPr>
        <xdr:cNvPr id="456" name="Text Box 2">
          <a:extLst>
            <a:ext uri="{FF2B5EF4-FFF2-40B4-BE49-F238E27FC236}">
              <a16:creationId xmlns:a16="http://schemas.microsoft.com/office/drawing/2014/main" id="{2891012A-3313-4E22-88F9-E7C4387EB151}"/>
            </a:ext>
          </a:extLst>
        </xdr:cNvPr>
        <xdr:cNvSpPr txBox="1">
          <a:spLocks noChangeArrowheads="1"/>
        </xdr:cNvSpPr>
      </xdr:nvSpPr>
      <xdr:spPr bwMode="auto">
        <a:xfrm>
          <a:off x="2247900" y="246888000"/>
          <a:ext cx="123825" cy="362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648</xdr:row>
      <xdr:rowOff>0</xdr:rowOff>
    </xdr:from>
    <xdr:to>
      <xdr:col>2</xdr:col>
      <xdr:colOff>390525</xdr:colOff>
      <xdr:row>657</xdr:row>
      <xdr:rowOff>200436</xdr:rowOff>
    </xdr:to>
    <xdr:sp macro="" textlink="">
      <xdr:nvSpPr>
        <xdr:cNvPr id="457" name="Text Box 2">
          <a:extLst>
            <a:ext uri="{FF2B5EF4-FFF2-40B4-BE49-F238E27FC236}">
              <a16:creationId xmlns:a16="http://schemas.microsoft.com/office/drawing/2014/main" id="{F4B9ED80-D64D-4832-8B86-BA1B4E310D16}"/>
            </a:ext>
          </a:extLst>
        </xdr:cNvPr>
        <xdr:cNvSpPr txBox="1">
          <a:spLocks noChangeArrowheads="1"/>
        </xdr:cNvSpPr>
      </xdr:nvSpPr>
      <xdr:spPr bwMode="auto">
        <a:xfrm>
          <a:off x="2247900" y="246888000"/>
          <a:ext cx="123825" cy="36294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458" name="Text Box 2">
          <a:extLst>
            <a:ext uri="{FF2B5EF4-FFF2-40B4-BE49-F238E27FC236}">
              <a16:creationId xmlns:a16="http://schemas.microsoft.com/office/drawing/2014/main" id="{D88B80DE-EFEF-4AF6-96E6-BECE85B5EB24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459" name="Text Box 2">
          <a:extLst>
            <a:ext uri="{FF2B5EF4-FFF2-40B4-BE49-F238E27FC236}">
              <a16:creationId xmlns:a16="http://schemas.microsoft.com/office/drawing/2014/main" id="{8D762CF7-4498-47F7-867C-C470CE26DA6D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460" name="Text Box 2">
          <a:extLst>
            <a:ext uri="{FF2B5EF4-FFF2-40B4-BE49-F238E27FC236}">
              <a16:creationId xmlns:a16="http://schemas.microsoft.com/office/drawing/2014/main" id="{F7F7A91C-B0B1-4AEB-BC41-DAF85C35E752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461" name="Text Box 2">
          <a:extLst>
            <a:ext uri="{FF2B5EF4-FFF2-40B4-BE49-F238E27FC236}">
              <a16:creationId xmlns:a16="http://schemas.microsoft.com/office/drawing/2014/main" id="{AF2DFBCC-DB50-4D15-8055-B82AF3FA8D20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1145</xdr:row>
      <xdr:rowOff>0</xdr:rowOff>
    </xdr:to>
    <xdr:sp macro="" textlink="">
      <xdr:nvSpPr>
        <xdr:cNvPr id="462" name="Text Box 2">
          <a:extLst>
            <a:ext uri="{FF2B5EF4-FFF2-40B4-BE49-F238E27FC236}">
              <a16:creationId xmlns:a16="http://schemas.microsoft.com/office/drawing/2014/main" id="{EA2853C1-201E-47B5-9746-5C0F23F5C639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1145</xdr:row>
      <xdr:rowOff>0</xdr:rowOff>
    </xdr:to>
    <xdr:sp macro="" textlink="">
      <xdr:nvSpPr>
        <xdr:cNvPr id="463" name="Text Box 2">
          <a:extLst>
            <a:ext uri="{FF2B5EF4-FFF2-40B4-BE49-F238E27FC236}">
              <a16:creationId xmlns:a16="http://schemas.microsoft.com/office/drawing/2014/main" id="{3F0D2AAA-9A77-4A88-910A-EB27D0416074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1145</xdr:row>
      <xdr:rowOff>0</xdr:rowOff>
    </xdr:to>
    <xdr:sp macro="" textlink="">
      <xdr:nvSpPr>
        <xdr:cNvPr id="464" name="Text Box 2">
          <a:extLst>
            <a:ext uri="{FF2B5EF4-FFF2-40B4-BE49-F238E27FC236}">
              <a16:creationId xmlns:a16="http://schemas.microsoft.com/office/drawing/2014/main" id="{35FAA6C9-725B-4B29-ACB8-E115B793C420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1145</xdr:row>
      <xdr:rowOff>0</xdr:rowOff>
    </xdr:to>
    <xdr:sp macro="" textlink="">
      <xdr:nvSpPr>
        <xdr:cNvPr id="465" name="Text Box 2">
          <a:extLst>
            <a:ext uri="{FF2B5EF4-FFF2-40B4-BE49-F238E27FC236}">
              <a16:creationId xmlns:a16="http://schemas.microsoft.com/office/drawing/2014/main" id="{AAB7C568-C52A-41FF-95CE-173B7FCF607F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1149</xdr:row>
      <xdr:rowOff>344208</xdr:rowOff>
    </xdr:to>
    <xdr:sp macro="" textlink="">
      <xdr:nvSpPr>
        <xdr:cNvPr id="466" name="Text Box 2">
          <a:extLst>
            <a:ext uri="{FF2B5EF4-FFF2-40B4-BE49-F238E27FC236}">
              <a16:creationId xmlns:a16="http://schemas.microsoft.com/office/drawing/2014/main" id="{3ED53345-C051-4B6C-940B-65A4BF8D00ED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249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1149</xdr:row>
      <xdr:rowOff>344208</xdr:rowOff>
    </xdr:to>
    <xdr:sp macro="" textlink="">
      <xdr:nvSpPr>
        <xdr:cNvPr id="467" name="Text Box 2">
          <a:extLst>
            <a:ext uri="{FF2B5EF4-FFF2-40B4-BE49-F238E27FC236}">
              <a16:creationId xmlns:a16="http://schemas.microsoft.com/office/drawing/2014/main" id="{F0334D4D-846A-4CDB-9551-AF771D908FE8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249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1149</xdr:row>
      <xdr:rowOff>344208</xdr:rowOff>
    </xdr:to>
    <xdr:sp macro="" textlink="">
      <xdr:nvSpPr>
        <xdr:cNvPr id="468" name="Text Box 2">
          <a:extLst>
            <a:ext uri="{FF2B5EF4-FFF2-40B4-BE49-F238E27FC236}">
              <a16:creationId xmlns:a16="http://schemas.microsoft.com/office/drawing/2014/main" id="{1B10337B-7C94-49F0-8204-3A7BD91D01E8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249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1149</xdr:row>
      <xdr:rowOff>344208</xdr:rowOff>
    </xdr:to>
    <xdr:sp macro="" textlink="">
      <xdr:nvSpPr>
        <xdr:cNvPr id="469" name="Text Box 2">
          <a:extLst>
            <a:ext uri="{FF2B5EF4-FFF2-40B4-BE49-F238E27FC236}">
              <a16:creationId xmlns:a16="http://schemas.microsoft.com/office/drawing/2014/main" id="{547E062D-E82E-4C0A-A3AB-12D10C34D5DD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2249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470" name="Text Box 2">
          <a:extLst>
            <a:ext uri="{FF2B5EF4-FFF2-40B4-BE49-F238E27FC236}">
              <a16:creationId xmlns:a16="http://schemas.microsoft.com/office/drawing/2014/main" id="{1D7BFE2E-AAAD-4692-B84F-8746DC43EEE5}"/>
            </a:ext>
          </a:extLst>
        </xdr:cNvPr>
        <xdr:cNvSpPr txBox="1">
          <a:spLocks noChangeArrowheads="1"/>
        </xdr:cNvSpPr>
      </xdr:nvSpPr>
      <xdr:spPr bwMode="auto">
        <a:xfrm>
          <a:off x="2247900" y="45034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471" name="Text Box 2">
          <a:extLst>
            <a:ext uri="{FF2B5EF4-FFF2-40B4-BE49-F238E27FC236}">
              <a16:creationId xmlns:a16="http://schemas.microsoft.com/office/drawing/2014/main" id="{0FB0C458-60BF-44A2-8085-99FE47A14401}"/>
            </a:ext>
          </a:extLst>
        </xdr:cNvPr>
        <xdr:cNvSpPr txBox="1">
          <a:spLocks noChangeArrowheads="1"/>
        </xdr:cNvSpPr>
      </xdr:nvSpPr>
      <xdr:spPr bwMode="auto">
        <a:xfrm>
          <a:off x="2247900" y="45034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472" name="Text Box 2">
          <a:extLst>
            <a:ext uri="{FF2B5EF4-FFF2-40B4-BE49-F238E27FC236}">
              <a16:creationId xmlns:a16="http://schemas.microsoft.com/office/drawing/2014/main" id="{67DE6A80-343D-4CD8-8461-A3B89E6F90B0}"/>
            </a:ext>
          </a:extLst>
        </xdr:cNvPr>
        <xdr:cNvSpPr txBox="1">
          <a:spLocks noChangeArrowheads="1"/>
        </xdr:cNvSpPr>
      </xdr:nvSpPr>
      <xdr:spPr bwMode="auto">
        <a:xfrm>
          <a:off x="2247900" y="45034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1182</xdr:row>
      <xdr:rowOff>0</xdr:rowOff>
    </xdr:from>
    <xdr:ext cx="123825" cy="238125"/>
    <xdr:sp macro="" textlink="">
      <xdr:nvSpPr>
        <xdr:cNvPr id="473" name="Text Box 2">
          <a:extLst>
            <a:ext uri="{FF2B5EF4-FFF2-40B4-BE49-F238E27FC236}">
              <a16:creationId xmlns:a16="http://schemas.microsoft.com/office/drawing/2014/main" id="{402E9518-3AA5-4893-AF62-A83142460C72}"/>
            </a:ext>
          </a:extLst>
        </xdr:cNvPr>
        <xdr:cNvSpPr txBox="1">
          <a:spLocks noChangeArrowheads="1"/>
        </xdr:cNvSpPr>
      </xdr:nvSpPr>
      <xdr:spPr bwMode="auto">
        <a:xfrm>
          <a:off x="2247900" y="450342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0</xdr:colOff>
      <xdr:row>1109</xdr:row>
      <xdr:rowOff>0</xdr:rowOff>
    </xdr:from>
    <xdr:to>
      <xdr:col>4</xdr:col>
      <xdr:colOff>123825</xdr:colOff>
      <xdr:row>1110</xdr:row>
      <xdr:rowOff>0</xdr:rowOff>
    </xdr:to>
    <xdr:sp macro="" textlink="">
      <xdr:nvSpPr>
        <xdr:cNvPr id="474" name="Text Box 2">
          <a:extLst>
            <a:ext uri="{FF2B5EF4-FFF2-40B4-BE49-F238E27FC236}">
              <a16:creationId xmlns:a16="http://schemas.microsoft.com/office/drawing/2014/main" id="{4855E657-126D-4DBB-AC07-56CB8DB3C4FE}"/>
            </a:ext>
          </a:extLst>
        </xdr:cNvPr>
        <xdr:cNvSpPr txBox="1">
          <a:spLocks noChangeArrowheads="1"/>
        </xdr:cNvSpPr>
      </xdr:nvSpPr>
      <xdr:spPr bwMode="auto">
        <a:xfrm>
          <a:off x="9525000" y="422529000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123825</xdr:colOff>
      <xdr:row>1110</xdr:row>
      <xdr:rowOff>0</xdr:rowOff>
    </xdr:to>
    <xdr:sp macro="" textlink="">
      <xdr:nvSpPr>
        <xdr:cNvPr id="475" name="Text Box 2">
          <a:extLst>
            <a:ext uri="{FF2B5EF4-FFF2-40B4-BE49-F238E27FC236}">
              <a16:creationId xmlns:a16="http://schemas.microsoft.com/office/drawing/2014/main" id="{46C3435B-9985-4E4F-8326-A371F74E4DBF}"/>
            </a:ext>
          </a:extLst>
        </xdr:cNvPr>
        <xdr:cNvSpPr txBox="1">
          <a:spLocks noChangeArrowheads="1"/>
        </xdr:cNvSpPr>
      </xdr:nvSpPr>
      <xdr:spPr bwMode="auto">
        <a:xfrm>
          <a:off x="9525000" y="422529000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123825</xdr:colOff>
      <xdr:row>1110</xdr:row>
      <xdr:rowOff>0</xdr:rowOff>
    </xdr:to>
    <xdr:sp macro="" textlink="">
      <xdr:nvSpPr>
        <xdr:cNvPr id="476" name="Text Box 2">
          <a:extLst>
            <a:ext uri="{FF2B5EF4-FFF2-40B4-BE49-F238E27FC236}">
              <a16:creationId xmlns:a16="http://schemas.microsoft.com/office/drawing/2014/main" id="{F357116E-6EF0-4148-A7CD-94544E2C572B}"/>
            </a:ext>
          </a:extLst>
        </xdr:cNvPr>
        <xdr:cNvSpPr txBox="1">
          <a:spLocks noChangeArrowheads="1"/>
        </xdr:cNvSpPr>
      </xdr:nvSpPr>
      <xdr:spPr bwMode="auto">
        <a:xfrm>
          <a:off x="9525000" y="422529000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1109</xdr:row>
      <xdr:rowOff>0</xdr:rowOff>
    </xdr:from>
    <xdr:to>
      <xdr:col>4</xdr:col>
      <xdr:colOff>123825</xdr:colOff>
      <xdr:row>1110</xdr:row>
      <xdr:rowOff>0</xdr:rowOff>
    </xdr:to>
    <xdr:sp macro="" textlink="">
      <xdr:nvSpPr>
        <xdr:cNvPr id="477" name="Text Box 2">
          <a:extLst>
            <a:ext uri="{FF2B5EF4-FFF2-40B4-BE49-F238E27FC236}">
              <a16:creationId xmlns:a16="http://schemas.microsoft.com/office/drawing/2014/main" id="{EAB5845D-7D07-4758-AA6B-F92515284323}"/>
            </a:ext>
          </a:extLst>
        </xdr:cNvPr>
        <xdr:cNvSpPr txBox="1">
          <a:spLocks noChangeArrowheads="1"/>
        </xdr:cNvSpPr>
      </xdr:nvSpPr>
      <xdr:spPr bwMode="auto">
        <a:xfrm>
          <a:off x="9525000" y="422529000"/>
          <a:ext cx="1238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478" name="Text Box 2">
          <a:extLst>
            <a:ext uri="{FF2B5EF4-FFF2-40B4-BE49-F238E27FC236}">
              <a16:creationId xmlns:a16="http://schemas.microsoft.com/office/drawing/2014/main" id="{8021DF54-7A8E-43E1-93D3-AF3F39ECD415}"/>
            </a:ext>
          </a:extLst>
        </xdr:cNvPr>
        <xdr:cNvSpPr txBox="1">
          <a:spLocks noChangeArrowheads="1"/>
        </xdr:cNvSpPr>
      </xdr:nvSpPr>
      <xdr:spPr bwMode="auto">
        <a:xfrm>
          <a:off x="2247900" y="369951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479" name="Text Box 2">
          <a:extLst>
            <a:ext uri="{FF2B5EF4-FFF2-40B4-BE49-F238E27FC236}">
              <a16:creationId xmlns:a16="http://schemas.microsoft.com/office/drawing/2014/main" id="{65898A0D-F446-47BA-883D-AFD6310440F3}"/>
            </a:ext>
          </a:extLst>
        </xdr:cNvPr>
        <xdr:cNvSpPr txBox="1">
          <a:spLocks noChangeArrowheads="1"/>
        </xdr:cNvSpPr>
      </xdr:nvSpPr>
      <xdr:spPr bwMode="auto">
        <a:xfrm>
          <a:off x="2247900" y="369951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480" name="Text Box 2">
          <a:extLst>
            <a:ext uri="{FF2B5EF4-FFF2-40B4-BE49-F238E27FC236}">
              <a16:creationId xmlns:a16="http://schemas.microsoft.com/office/drawing/2014/main" id="{713E1542-CA8F-4871-A7A2-06A0D34EBD7D}"/>
            </a:ext>
          </a:extLst>
        </xdr:cNvPr>
        <xdr:cNvSpPr txBox="1">
          <a:spLocks noChangeArrowheads="1"/>
        </xdr:cNvSpPr>
      </xdr:nvSpPr>
      <xdr:spPr bwMode="auto">
        <a:xfrm>
          <a:off x="2247900" y="369951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971</xdr:row>
      <xdr:rowOff>0</xdr:rowOff>
    </xdr:from>
    <xdr:ext cx="123825" cy="238125"/>
    <xdr:sp macro="" textlink="">
      <xdr:nvSpPr>
        <xdr:cNvPr id="481" name="Text Box 2">
          <a:extLst>
            <a:ext uri="{FF2B5EF4-FFF2-40B4-BE49-F238E27FC236}">
              <a16:creationId xmlns:a16="http://schemas.microsoft.com/office/drawing/2014/main" id="{DA742330-497A-4CF1-B412-4BBBFB818830}"/>
            </a:ext>
          </a:extLst>
        </xdr:cNvPr>
        <xdr:cNvSpPr txBox="1">
          <a:spLocks noChangeArrowheads="1"/>
        </xdr:cNvSpPr>
      </xdr:nvSpPr>
      <xdr:spPr bwMode="auto">
        <a:xfrm>
          <a:off x="2247900" y="369951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1159</xdr:row>
      <xdr:rowOff>303039</xdr:rowOff>
    </xdr:to>
    <xdr:sp macro="" textlink="">
      <xdr:nvSpPr>
        <xdr:cNvPr id="482" name="Text Box 2">
          <a:extLst>
            <a:ext uri="{FF2B5EF4-FFF2-40B4-BE49-F238E27FC236}">
              <a16:creationId xmlns:a16="http://schemas.microsoft.com/office/drawing/2014/main" id="{AC3F8785-9CB7-496D-9292-7BC252E14FCF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6018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1159</xdr:row>
      <xdr:rowOff>303039</xdr:rowOff>
    </xdr:to>
    <xdr:sp macro="" textlink="">
      <xdr:nvSpPr>
        <xdr:cNvPr id="483" name="Text Box 2">
          <a:extLst>
            <a:ext uri="{FF2B5EF4-FFF2-40B4-BE49-F238E27FC236}">
              <a16:creationId xmlns:a16="http://schemas.microsoft.com/office/drawing/2014/main" id="{137194CA-4908-43AC-960B-0F494E71242C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6018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1159</xdr:row>
      <xdr:rowOff>303039</xdr:rowOff>
    </xdr:to>
    <xdr:sp macro="" textlink="">
      <xdr:nvSpPr>
        <xdr:cNvPr id="484" name="Text Box 2">
          <a:extLst>
            <a:ext uri="{FF2B5EF4-FFF2-40B4-BE49-F238E27FC236}">
              <a16:creationId xmlns:a16="http://schemas.microsoft.com/office/drawing/2014/main" id="{150488D6-1ED6-4141-9E2B-6120E0836B51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6018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1144</xdr:row>
      <xdr:rowOff>0</xdr:rowOff>
    </xdr:from>
    <xdr:to>
      <xdr:col>2</xdr:col>
      <xdr:colOff>390525</xdr:colOff>
      <xdr:row>1159</xdr:row>
      <xdr:rowOff>303039</xdr:rowOff>
    </xdr:to>
    <xdr:sp macro="" textlink="">
      <xdr:nvSpPr>
        <xdr:cNvPr id="485" name="Text Box 2">
          <a:extLst>
            <a:ext uri="{FF2B5EF4-FFF2-40B4-BE49-F238E27FC236}">
              <a16:creationId xmlns:a16="http://schemas.microsoft.com/office/drawing/2014/main" id="{45496237-F2B5-4239-A403-3A9C7021F6CA}"/>
            </a:ext>
          </a:extLst>
        </xdr:cNvPr>
        <xdr:cNvSpPr txBox="1">
          <a:spLocks noChangeArrowheads="1"/>
        </xdr:cNvSpPr>
      </xdr:nvSpPr>
      <xdr:spPr bwMode="auto">
        <a:xfrm>
          <a:off x="2247900" y="435864000"/>
          <a:ext cx="123825" cy="6018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486" name="Text Box 2">
          <a:extLst>
            <a:ext uri="{FF2B5EF4-FFF2-40B4-BE49-F238E27FC236}">
              <a16:creationId xmlns:a16="http://schemas.microsoft.com/office/drawing/2014/main" id="{375B7341-9D6E-4F6D-8952-ABBFDD987190}"/>
            </a:ext>
          </a:extLst>
        </xdr:cNvPr>
        <xdr:cNvSpPr txBox="1">
          <a:spLocks noChangeArrowheads="1"/>
        </xdr:cNvSpPr>
      </xdr:nvSpPr>
      <xdr:spPr bwMode="auto">
        <a:xfrm>
          <a:off x="2247900" y="45262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487" name="Text Box 2">
          <a:extLst>
            <a:ext uri="{FF2B5EF4-FFF2-40B4-BE49-F238E27FC236}">
              <a16:creationId xmlns:a16="http://schemas.microsoft.com/office/drawing/2014/main" id="{6D5F11AD-58BE-44E3-A102-693FA08AC138}"/>
            </a:ext>
          </a:extLst>
        </xdr:cNvPr>
        <xdr:cNvSpPr txBox="1">
          <a:spLocks noChangeArrowheads="1"/>
        </xdr:cNvSpPr>
      </xdr:nvSpPr>
      <xdr:spPr bwMode="auto">
        <a:xfrm>
          <a:off x="2247900" y="45262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488" name="Text Box 2">
          <a:extLst>
            <a:ext uri="{FF2B5EF4-FFF2-40B4-BE49-F238E27FC236}">
              <a16:creationId xmlns:a16="http://schemas.microsoft.com/office/drawing/2014/main" id="{AFFD8A11-DC9F-446F-ADAD-E9A77F37AE43}"/>
            </a:ext>
          </a:extLst>
        </xdr:cNvPr>
        <xdr:cNvSpPr txBox="1">
          <a:spLocks noChangeArrowheads="1"/>
        </xdr:cNvSpPr>
      </xdr:nvSpPr>
      <xdr:spPr bwMode="auto">
        <a:xfrm>
          <a:off x="2247900" y="45262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1188</xdr:row>
      <xdr:rowOff>0</xdr:rowOff>
    </xdr:from>
    <xdr:ext cx="123825" cy="238125"/>
    <xdr:sp macro="" textlink="">
      <xdr:nvSpPr>
        <xdr:cNvPr id="489" name="Text Box 2">
          <a:extLst>
            <a:ext uri="{FF2B5EF4-FFF2-40B4-BE49-F238E27FC236}">
              <a16:creationId xmlns:a16="http://schemas.microsoft.com/office/drawing/2014/main" id="{90FB8490-2BFE-4E87-89CD-1874948D9995}"/>
            </a:ext>
          </a:extLst>
        </xdr:cNvPr>
        <xdr:cNvSpPr txBox="1">
          <a:spLocks noChangeArrowheads="1"/>
        </xdr:cNvSpPr>
      </xdr:nvSpPr>
      <xdr:spPr bwMode="auto">
        <a:xfrm>
          <a:off x="2247900" y="45262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490" name="Text Box 2">
          <a:extLst>
            <a:ext uri="{FF2B5EF4-FFF2-40B4-BE49-F238E27FC236}">
              <a16:creationId xmlns:a16="http://schemas.microsoft.com/office/drawing/2014/main" id="{EF3C1515-086C-49D5-B7E2-2514ECA4D4EB}"/>
            </a:ext>
          </a:extLst>
        </xdr:cNvPr>
        <xdr:cNvSpPr txBox="1">
          <a:spLocks noChangeArrowheads="1"/>
        </xdr:cNvSpPr>
      </xdr:nvSpPr>
      <xdr:spPr bwMode="auto">
        <a:xfrm>
          <a:off x="9525000" y="367665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491" name="Text Box 2">
          <a:extLst>
            <a:ext uri="{FF2B5EF4-FFF2-40B4-BE49-F238E27FC236}">
              <a16:creationId xmlns:a16="http://schemas.microsoft.com/office/drawing/2014/main" id="{85203C72-7950-4948-8E58-A69611BB9982}"/>
            </a:ext>
          </a:extLst>
        </xdr:cNvPr>
        <xdr:cNvSpPr txBox="1">
          <a:spLocks noChangeArrowheads="1"/>
        </xdr:cNvSpPr>
      </xdr:nvSpPr>
      <xdr:spPr bwMode="auto">
        <a:xfrm>
          <a:off x="9525000" y="367665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492" name="Text Box 2">
          <a:extLst>
            <a:ext uri="{FF2B5EF4-FFF2-40B4-BE49-F238E27FC236}">
              <a16:creationId xmlns:a16="http://schemas.microsoft.com/office/drawing/2014/main" id="{468A9F9D-CD24-4077-A727-F963461590DD}"/>
            </a:ext>
          </a:extLst>
        </xdr:cNvPr>
        <xdr:cNvSpPr txBox="1">
          <a:spLocks noChangeArrowheads="1"/>
        </xdr:cNvSpPr>
      </xdr:nvSpPr>
      <xdr:spPr bwMode="auto">
        <a:xfrm>
          <a:off x="9525000" y="367665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965</xdr:row>
      <xdr:rowOff>0</xdr:rowOff>
    </xdr:from>
    <xdr:ext cx="123825" cy="238125"/>
    <xdr:sp macro="" textlink="">
      <xdr:nvSpPr>
        <xdr:cNvPr id="493" name="Text Box 2">
          <a:extLst>
            <a:ext uri="{FF2B5EF4-FFF2-40B4-BE49-F238E27FC236}">
              <a16:creationId xmlns:a16="http://schemas.microsoft.com/office/drawing/2014/main" id="{0E02A69F-3BD9-49C7-8406-F7EBECAE951E}"/>
            </a:ext>
          </a:extLst>
        </xdr:cNvPr>
        <xdr:cNvSpPr txBox="1">
          <a:spLocks noChangeArrowheads="1"/>
        </xdr:cNvSpPr>
      </xdr:nvSpPr>
      <xdr:spPr bwMode="auto">
        <a:xfrm>
          <a:off x="9525000" y="367665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494" name="Text Box 2">
          <a:extLst>
            <a:ext uri="{FF2B5EF4-FFF2-40B4-BE49-F238E27FC236}">
              <a16:creationId xmlns:a16="http://schemas.microsoft.com/office/drawing/2014/main" id="{1B53C740-315A-4A6D-BA98-867512F5A431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495" name="Text Box 2">
          <a:extLst>
            <a:ext uri="{FF2B5EF4-FFF2-40B4-BE49-F238E27FC236}">
              <a16:creationId xmlns:a16="http://schemas.microsoft.com/office/drawing/2014/main" id="{A5983A0E-E9E4-4B4D-808F-99483277CF9E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496" name="Text Box 2">
          <a:extLst>
            <a:ext uri="{FF2B5EF4-FFF2-40B4-BE49-F238E27FC236}">
              <a16:creationId xmlns:a16="http://schemas.microsoft.com/office/drawing/2014/main" id="{16C95B73-A94E-4113-867E-6F1CB3AA8A5A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266700</xdr:colOff>
      <xdr:row>698</xdr:row>
      <xdr:rowOff>0</xdr:rowOff>
    </xdr:from>
    <xdr:ext cx="123825" cy="238125"/>
    <xdr:sp macro="" textlink="">
      <xdr:nvSpPr>
        <xdr:cNvPr id="497" name="Text Box 2">
          <a:extLst>
            <a:ext uri="{FF2B5EF4-FFF2-40B4-BE49-F238E27FC236}">
              <a16:creationId xmlns:a16="http://schemas.microsoft.com/office/drawing/2014/main" id="{5F932337-7DB0-4C36-AFC8-3D3D25003DBF}"/>
            </a:ext>
          </a:extLst>
        </xdr:cNvPr>
        <xdr:cNvSpPr txBox="1">
          <a:spLocks noChangeArrowheads="1"/>
        </xdr:cNvSpPr>
      </xdr:nvSpPr>
      <xdr:spPr bwMode="auto">
        <a:xfrm>
          <a:off x="2247900" y="26593800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498" name="Text Box 2">
          <a:extLst>
            <a:ext uri="{FF2B5EF4-FFF2-40B4-BE49-F238E27FC236}">
              <a16:creationId xmlns:a16="http://schemas.microsoft.com/office/drawing/2014/main" id="{015478A3-072F-4C41-A265-EBACF4B75920}"/>
            </a:ext>
          </a:extLst>
        </xdr:cNvPr>
        <xdr:cNvSpPr txBox="1">
          <a:spLocks noChangeArrowheads="1"/>
        </xdr:cNvSpPr>
      </xdr:nvSpPr>
      <xdr:spPr bwMode="auto">
        <a:xfrm>
          <a:off x="9525000" y="43662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499" name="Text Box 2">
          <a:extLst>
            <a:ext uri="{FF2B5EF4-FFF2-40B4-BE49-F238E27FC236}">
              <a16:creationId xmlns:a16="http://schemas.microsoft.com/office/drawing/2014/main" id="{5D7F1D96-E972-4102-86BE-75D7398C050D}"/>
            </a:ext>
          </a:extLst>
        </xdr:cNvPr>
        <xdr:cNvSpPr txBox="1">
          <a:spLocks noChangeArrowheads="1"/>
        </xdr:cNvSpPr>
      </xdr:nvSpPr>
      <xdr:spPr bwMode="auto">
        <a:xfrm>
          <a:off x="9525000" y="43662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500" name="Text Box 2">
          <a:extLst>
            <a:ext uri="{FF2B5EF4-FFF2-40B4-BE49-F238E27FC236}">
              <a16:creationId xmlns:a16="http://schemas.microsoft.com/office/drawing/2014/main" id="{465C8BA3-FF32-4096-A107-983E979CF216}"/>
            </a:ext>
          </a:extLst>
        </xdr:cNvPr>
        <xdr:cNvSpPr txBox="1">
          <a:spLocks noChangeArrowheads="1"/>
        </xdr:cNvSpPr>
      </xdr:nvSpPr>
      <xdr:spPr bwMode="auto">
        <a:xfrm>
          <a:off x="9525000" y="43662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1146</xdr:row>
      <xdr:rowOff>0</xdr:rowOff>
    </xdr:from>
    <xdr:ext cx="120650" cy="388620"/>
    <xdr:sp macro="" textlink="">
      <xdr:nvSpPr>
        <xdr:cNvPr id="501" name="Text Box 2">
          <a:extLst>
            <a:ext uri="{FF2B5EF4-FFF2-40B4-BE49-F238E27FC236}">
              <a16:creationId xmlns:a16="http://schemas.microsoft.com/office/drawing/2014/main" id="{8A5E84DB-1537-4D9A-A438-0A65B93E71F4}"/>
            </a:ext>
          </a:extLst>
        </xdr:cNvPr>
        <xdr:cNvSpPr txBox="1">
          <a:spLocks noChangeArrowheads="1"/>
        </xdr:cNvSpPr>
      </xdr:nvSpPr>
      <xdr:spPr bwMode="auto">
        <a:xfrm>
          <a:off x="9525000" y="43662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502" name="Text Box 2">
          <a:extLst>
            <a:ext uri="{FF2B5EF4-FFF2-40B4-BE49-F238E27FC236}">
              <a16:creationId xmlns:a16="http://schemas.microsoft.com/office/drawing/2014/main" id="{AD03E73F-69B7-4CB7-859E-203CC75CF57C}"/>
            </a:ext>
          </a:extLst>
        </xdr:cNvPr>
        <xdr:cNvSpPr txBox="1">
          <a:spLocks noChangeArrowheads="1"/>
        </xdr:cNvSpPr>
      </xdr:nvSpPr>
      <xdr:spPr bwMode="auto">
        <a:xfrm>
          <a:off x="9525000" y="44043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503" name="Text Box 2">
          <a:extLst>
            <a:ext uri="{FF2B5EF4-FFF2-40B4-BE49-F238E27FC236}">
              <a16:creationId xmlns:a16="http://schemas.microsoft.com/office/drawing/2014/main" id="{76502DA6-039C-402E-A1BB-A16A8F916139}"/>
            </a:ext>
          </a:extLst>
        </xdr:cNvPr>
        <xdr:cNvSpPr txBox="1">
          <a:spLocks noChangeArrowheads="1"/>
        </xdr:cNvSpPr>
      </xdr:nvSpPr>
      <xdr:spPr bwMode="auto">
        <a:xfrm>
          <a:off x="9525000" y="44043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504" name="Text Box 2">
          <a:extLst>
            <a:ext uri="{FF2B5EF4-FFF2-40B4-BE49-F238E27FC236}">
              <a16:creationId xmlns:a16="http://schemas.microsoft.com/office/drawing/2014/main" id="{732F6FCD-F9B8-4801-B1C6-09F7D24E3DF9}"/>
            </a:ext>
          </a:extLst>
        </xdr:cNvPr>
        <xdr:cNvSpPr txBox="1">
          <a:spLocks noChangeArrowheads="1"/>
        </xdr:cNvSpPr>
      </xdr:nvSpPr>
      <xdr:spPr bwMode="auto">
        <a:xfrm>
          <a:off x="9525000" y="44043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1156</xdr:row>
      <xdr:rowOff>0</xdr:rowOff>
    </xdr:from>
    <xdr:ext cx="120650" cy="388620"/>
    <xdr:sp macro="" textlink="">
      <xdr:nvSpPr>
        <xdr:cNvPr id="505" name="Text Box 2">
          <a:extLst>
            <a:ext uri="{FF2B5EF4-FFF2-40B4-BE49-F238E27FC236}">
              <a16:creationId xmlns:a16="http://schemas.microsoft.com/office/drawing/2014/main" id="{EF9A9ED0-E577-4BA0-8694-DB82E8426467}"/>
            </a:ext>
          </a:extLst>
        </xdr:cNvPr>
        <xdr:cNvSpPr txBox="1">
          <a:spLocks noChangeArrowheads="1"/>
        </xdr:cNvSpPr>
      </xdr:nvSpPr>
      <xdr:spPr bwMode="auto">
        <a:xfrm>
          <a:off x="9525000" y="440436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506" name="Text Box 2">
          <a:extLst>
            <a:ext uri="{FF2B5EF4-FFF2-40B4-BE49-F238E27FC236}">
              <a16:creationId xmlns:a16="http://schemas.microsoft.com/office/drawing/2014/main" id="{FE0E00A7-0F7E-466B-AAA7-03E0B11F0FC5}"/>
            </a:ext>
          </a:extLst>
        </xdr:cNvPr>
        <xdr:cNvSpPr txBox="1">
          <a:spLocks noChangeArrowheads="1"/>
        </xdr:cNvSpPr>
      </xdr:nvSpPr>
      <xdr:spPr bwMode="auto">
        <a:xfrm>
          <a:off x="9525000" y="443865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507" name="Text Box 2">
          <a:extLst>
            <a:ext uri="{FF2B5EF4-FFF2-40B4-BE49-F238E27FC236}">
              <a16:creationId xmlns:a16="http://schemas.microsoft.com/office/drawing/2014/main" id="{886B1212-EC28-4A23-952D-611331FB9F14}"/>
            </a:ext>
          </a:extLst>
        </xdr:cNvPr>
        <xdr:cNvSpPr txBox="1">
          <a:spLocks noChangeArrowheads="1"/>
        </xdr:cNvSpPr>
      </xdr:nvSpPr>
      <xdr:spPr bwMode="auto">
        <a:xfrm>
          <a:off x="9525000" y="443865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508" name="Text Box 2">
          <a:extLst>
            <a:ext uri="{FF2B5EF4-FFF2-40B4-BE49-F238E27FC236}">
              <a16:creationId xmlns:a16="http://schemas.microsoft.com/office/drawing/2014/main" id="{B8CB421A-734E-47EE-9C2F-FC757765D82A}"/>
            </a:ext>
          </a:extLst>
        </xdr:cNvPr>
        <xdr:cNvSpPr txBox="1">
          <a:spLocks noChangeArrowheads="1"/>
        </xdr:cNvSpPr>
      </xdr:nvSpPr>
      <xdr:spPr bwMode="auto">
        <a:xfrm>
          <a:off x="9525000" y="443865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1165</xdr:row>
      <xdr:rowOff>0</xdr:rowOff>
    </xdr:from>
    <xdr:ext cx="120650" cy="388620"/>
    <xdr:sp macro="" textlink="">
      <xdr:nvSpPr>
        <xdr:cNvPr id="509" name="Text Box 2">
          <a:extLst>
            <a:ext uri="{FF2B5EF4-FFF2-40B4-BE49-F238E27FC236}">
              <a16:creationId xmlns:a16="http://schemas.microsoft.com/office/drawing/2014/main" id="{9519D3DA-E56C-46EA-859D-FAEF558DC1B4}"/>
            </a:ext>
          </a:extLst>
        </xdr:cNvPr>
        <xdr:cNvSpPr txBox="1">
          <a:spLocks noChangeArrowheads="1"/>
        </xdr:cNvSpPr>
      </xdr:nvSpPr>
      <xdr:spPr bwMode="auto">
        <a:xfrm>
          <a:off x="9525000" y="443865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510" name="Text Box 2">
          <a:extLst>
            <a:ext uri="{FF2B5EF4-FFF2-40B4-BE49-F238E27FC236}">
              <a16:creationId xmlns:a16="http://schemas.microsoft.com/office/drawing/2014/main" id="{CA181042-7760-4B76-B672-B062DA3CEDA5}"/>
            </a:ext>
          </a:extLst>
        </xdr:cNvPr>
        <xdr:cNvSpPr txBox="1">
          <a:spLocks noChangeArrowheads="1"/>
        </xdr:cNvSpPr>
      </xdr:nvSpPr>
      <xdr:spPr bwMode="auto">
        <a:xfrm>
          <a:off x="9525000" y="445008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511" name="Text Box 2">
          <a:extLst>
            <a:ext uri="{FF2B5EF4-FFF2-40B4-BE49-F238E27FC236}">
              <a16:creationId xmlns:a16="http://schemas.microsoft.com/office/drawing/2014/main" id="{CCA4EA06-F56E-4E69-B4B8-5C0DB76F1B6F}"/>
            </a:ext>
          </a:extLst>
        </xdr:cNvPr>
        <xdr:cNvSpPr txBox="1">
          <a:spLocks noChangeArrowheads="1"/>
        </xdr:cNvSpPr>
      </xdr:nvSpPr>
      <xdr:spPr bwMode="auto">
        <a:xfrm>
          <a:off x="9525000" y="445008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512" name="Text Box 2">
          <a:extLst>
            <a:ext uri="{FF2B5EF4-FFF2-40B4-BE49-F238E27FC236}">
              <a16:creationId xmlns:a16="http://schemas.microsoft.com/office/drawing/2014/main" id="{DDBB17B6-AEE9-4D86-95C3-2D89BE7892B7}"/>
            </a:ext>
          </a:extLst>
        </xdr:cNvPr>
        <xdr:cNvSpPr txBox="1">
          <a:spLocks noChangeArrowheads="1"/>
        </xdr:cNvSpPr>
      </xdr:nvSpPr>
      <xdr:spPr bwMode="auto">
        <a:xfrm>
          <a:off x="9525000" y="445008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1168</xdr:row>
      <xdr:rowOff>0</xdr:rowOff>
    </xdr:from>
    <xdr:ext cx="120650" cy="388620"/>
    <xdr:sp macro="" textlink="">
      <xdr:nvSpPr>
        <xdr:cNvPr id="513" name="Text Box 2">
          <a:extLst>
            <a:ext uri="{FF2B5EF4-FFF2-40B4-BE49-F238E27FC236}">
              <a16:creationId xmlns:a16="http://schemas.microsoft.com/office/drawing/2014/main" id="{8A2345CE-A157-4981-8F60-A5AD532260EA}"/>
            </a:ext>
          </a:extLst>
        </xdr:cNvPr>
        <xdr:cNvSpPr txBox="1">
          <a:spLocks noChangeArrowheads="1"/>
        </xdr:cNvSpPr>
      </xdr:nvSpPr>
      <xdr:spPr bwMode="auto">
        <a:xfrm>
          <a:off x="9525000" y="445008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514" name="Text Box 2">
          <a:extLst>
            <a:ext uri="{FF2B5EF4-FFF2-40B4-BE49-F238E27FC236}">
              <a16:creationId xmlns:a16="http://schemas.microsoft.com/office/drawing/2014/main" id="{E5FAA4EB-C539-4B6D-903E-270A137FB8E1}"/>
            </a:ext>
          </a:extLst>
        </xdr:cNvPr>
        <xdr:cNvSpPr txBox="1">
          <a:spLocks noChangeArrowheads="1"/>
        </xdr:cNvSpPr>
      </xdr:nvSpPr>
      <xdr:spPr bwMode="auto">
        <a:xfrm>
          <a:off x="9525000" y="44653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515" name="Text Box 2">
          <a:extLst>
            <a:ext uri="{FF2B5EF4-FFF2-40B4-BE49-F238E27FC236}">
              <a16:creationId xmlns:a16="http://schemas.microsoft.com/office/drawing/2014/main" id="{9272D862-8C8D-475D-88C6-84FE839E7D34}"/>
            </a:ext>
          </a:extLst>
        </xdr:cNvPr>
        <xdr:cNvSpPr txBox="1">
          <a:spLocks noChangeArrowheads="1"/>
        </xdr:cNvSpPr>
      </xdr:nvSpPr>
      <xdr:spPr bwMode="auto">
        <a:xfrm>
          <a:off x="9525000" y="44653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516" name="Text Box 2">
          <a:extLst>
            <a:ext uri="{FF2B5EF4-FFF2-40B4-BE49-F238E27FC236}">
              <a16:creationId xmlns:a16="http://schemas.microsoft.com/office/drawing/2014/main" id="{723096D2-7604-40AF-8D1B-8F10B6857BDE}"/>
            </a:ext>
          </a:extLst>
        </xdr:cNvPr>
        <xdr:cNvSpPr txBox="1">
          <a:spLocks noChangeArrowheads="1"/>
        </xdr:cNvSpPr>
      </xdr:nvSpPr>
      <xdr:spPr bwMode="auto">
        <a:xfrm>
          <a:off x="9525000" y="44653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1172</xdr:row>
      <xdr:rowOff>0</xdr:rowOff>
    </xdr:from>
    <xdr:ext cx="120650" cy="388620"/>
    <xdr:sp macro="" textlink="">
      <xdr:nvSpPr>
        <xdr:cNvPr id="517" name="Text Box 2">
          <a:extLst>
            <a:ext uri="{FF2B5EF4-FFF2-40B4-BE49-F238E27FC236}">
              <a16:creationId xmlns:a16="http://schemas.microsoft.com/office/drawing/2014/main" id="{09FFB59B-6626-4973-B690-039531DFE0DE}"/>
            </a:ext>
          </a:extLst>
        </xdr:cNvPr>
        <xdr:cNvSpPr txBox="1">
          <a:spLocks noChangeArrowheads="1"/>
        </xdr:cNvSpPr>
      </xdr:nvSpPr>
      <xdr:spPr bwMode="auto">
        <a:xfrm>
          <a:off x="9525000" y="44653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518" name="Text Box 2">
          <a:extLst>
            <a:ext uri="{FF2B5EF4-FFF2-40B4-BE49-F238E27FC236}">
              <a16:creationId xmlns:a16="http://schemas.microsoft.com/office/drawing/2014/main" id="{9B2B51FB-2E20-4B2C-B762-084F6CAC52C2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519" name="Text Box 2">
          <a:extLst>
            <a:ext uri="{FF2B5EF4-FFF2-40B4-BE49-F238E27FC236}">
              <a16:creationId xmlns:a16="http://schemas.microsoft.com/office/drawing/2014/main" id="{411C8D8E-DBBB-44CF-AFDF-00BF2AE61413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520" name="Text Box 2">
          <a:extLst>
            <a:ext uri="{FF2B5EF4-FFF2-40B4-BE49-F238E27FC236}">
              <a16:creationId xmlns:a16="http://schemas.microsoft.com/office/drawing/2014/main" id="{6C7F17E3-4173-41FB-8D34-662655EB1F6F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521" name="Text Box 2">
          <a:extLst>
            <a:ext uri="{FF2B5EF4-FFF2-40B4-BE49-F238E27FC236}">
              <a16:creationId xmlns:a16="http://schemas.microsoft.com/office/drawing/2014/main" id="{33639FD6-B98B-4495-A0C0-1C2CE414CD17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522" name="Text Box 2">
          <a:extLst>
            <a:ext uri="{FF2B5EF4-FFF2-40B4-BE49-F238E27FC236}">
              <a16:creationId xmlns:a16="http://schemas.microsoft.com/office/drawing/2014/main" id="{1FE92AD2-E435-4AC9-8C55-998DDA1B11AD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523" name="Text Box 2">
          <a:extLst>
            <a:ext uri="{FF2B5EF4-FFF2-40B4-BE49-F238E27FC236}">
              <a16:creationId xmlns:a16="http://schemas.microsoft.com/office/drawing/2014/main" id="{BB17BF5E-B503-403E-AD05-FBE14E75F53B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524" name="Text Box 2">
          <a:extLst>
            <a:ext uri="{FF2B5EF4-FFF2-40B4-BE49-F238E27FC236}">
              <a16:creationId xmlns:a16="http://schemas.microsoft.com/office/drawing/2014/main" id="{FDB89C7B-5F3A-4384-8045-179FB502D2C8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525" name="Text Box 2">
          <a:extLst>
            <a:ext uri="{FF2B5EF4-FFF2-40B4-BE49-F238E27FC236}">
              <a16:creationId xmlns:a16="http://schemas.microsoft.com/office/drawing/2014/main" id="{28B82821-3818-448E-9E25-E7364C2BEFB1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526" name="Text Box 2">
          <a:extLst>
            <a:ext uri="{FF2B5EF4-FFF2-40B4-BE49-F238E27FC236}">
              <a16:creationId xmlns:a16="http://schemas.microsoft.com/office/drawing/2014/main" id="{8D9E4D22-79FC-4525-943E-6FCF145D7C2D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527" name="Text Box 2">
          <a:extLst>
            <a:ext uri="{FF2B5EF4-FFF2-40B4-BE49-F238E27FC236}">
              <a16:creationId xmlns:a16="http://schemas.microsoft.com/office/drawing/2014/main" id="{32810C3C-9CCB-429E-A3A8-6434AF4A45D8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528" name="Text Box 2">
          <a:extLst>
            <a:ext uri="{FF2B5EF4-FFF2-40B4-BE49-F238E27FC236}">
              <a16:creationId xmlns:a16="http://schemas.microsoft.com/office/drawing/2014/main" id="{1DACB08E-BF3D-4043-8BDE-F9801D447FC3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529" name="Text Box 2">
          <a:extLst>
            <a:ext uri="{FF2B5EF4-FFF2-40B4-BE49-F238E27FC236}">
              <a16:creationId xmlns:a16="http://schemas.microsoft.com/office/drawing/2014/main" id="{3F80DE43-D1E5-4002-93A1-A81993FB9E92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530" name="Text Box 2">
          <a:extLst>
            <a:ext uri="{FF2B5EF4-FFF2-40B4-BE49-F238E27FC236}">
              <a16:creationId xmlns:a16="http://schemas.microsoft.com/office/drawing/2014/main" id="{5F301F5F-77A9-4ED2-80B2-DED785B2B485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531" name="Text Box 2">
          <a:extLst>
            <a:ext uri="{FF2B5EF4-FFF2-40B4-BE49-F238E27FC236}">
              <a16:creationId xmlns:a16="http://schemas.microsoft.com/office/drawing/2014/main" id="{BD6A5FF9-B325-46B1-86E8-F95FF914D95B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532" name="Text Box 2">
          <a:extLst>
            <a:ext uri="{FF2B5EF4-FFF2-40B4-BE49-F238E27FC236}">
              <a16:creationId xmlns:a16="http://schemas.microsoft.com/office/drawing/2014/main" id="{36E29B2F-D184-4B59-A279-BBE5C645B7DC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533" name="Text Box 2">
          <a:extLst>
            <a:ext uri="{FF2B5EF4-FFF2-40B4-BE49-F238E27FC236}">
              <a16:creationId xmlns:a16="http://schemas.microsoft.com/office/drawing/2014/main" id="{31D7CB26-EBF1-4883-A207-8A2750BB522D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534" name="Text Box 2">
          <a:extLst>
            <a:ext uri="{FF2B5EF4-FFF2-40B4-BE49-F238E27FC236}">
              <a16:creationId xmlns:a16="http://schemas.microsoft.com/office/drawing/2014/main" id="{9F247474-865A-47A9-AA97-DC003A5BDAF7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535" name="Text Box 2">
          <a:extLst>
            <a:ext uri="{FF2B5EF4-FFF2-40B4-BE49-F238E27FC236}">
              <a16:creationId xmlns:a16="http://schemas.microsoft.com/office/drawing/2014/main" id="{268B72BF-FD83-46CB-9EC6-86CD8BD87F41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536" name="Text Box 2">
          <a:extLst>
            <a:ext uri="{FF2B5EF4-FFF2-40B4-BE49-F238E27FC236}">
              <a16:creationId xmlns:a16="http://schemas.microsoft.com/office/drawing/2014/main" id="{8F885AB5-9CA7-430D-BD72-5750E4FE0D7F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537" name="Text Box 2">
          <a:extLst>
            <a:ext uri="{FF2B5EF4-FFF2-40B4-BE49-F238E27FC236}">
              <a16:creationId xmlns:a16="http://schemas.microsoft.com/office/drawing/2014/main" id="{0D94C1C1-25A1-427D-A7A7-F6B4F2879AA0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538" name="Text Box 2">
          <a:extLst>
            <a:ext uri="{FF2B5EF4-FFF2-40B4-BE49-F238E27FC236}">
              <a16:creationId xmlns:a16="http://schemas.microsoft.com/office/drawing/2014/main" id="{C4C1B415-51ED-41D5-95D1-EFA4C7375291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539" name="Text Box 2">
          <a:extLst>
            <a:ext uri="{FF2B5EF4-FFF2-40B4-BE49-F238E27FC236}">
              <a16:creationId xmlns:a16="http://schemas.microsoft.com/office/drawing/2014/main" id="{F057255C-34AA-4A15-94D0-5E5B62BC9334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540" name="Text Box 2">
          <a:extLst>
            <a:ext uri="{FF2B5EF4-FFF2-40B4-BE49-F238E27FC236}">
              <a16:creationId xmlns:a16="http://schemas.microsoft.com/office/drawing/2014/main" id="{78436C12-D684-4611-BF77-2B0D734CDAED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541" name="Text Box 2">
          <a:extLst>
            <a:ext uri="{FF2B5EF4-FFF2-40B4-BE49-F238E27FC236}">
              <a16:creationId xmlns:a16="http://schemas.microsoft.com/office/drawing/2014/main" id="{C2DAA159-5204-4EDC-93B1-58202AAA94AF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542" name="Text Box 2">
          <a:extLst>
            <a:ext uri="{FF2B5EF4-FFF2-40B4-BE49-F238E27FC236}">
              <a16:creationId xmlns:a16="http://schemas.microsoft.com/office/drawing/2014/main" id="{6D7980CA-524B-4778-8A15-7C5CE1F1920F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543" name="Text Box 2">
          <a:extLst>
            <a:ext uri="{FF2B5EF4-FFF2-40B4-BE49-F238E27FC236}">
              <a16:creationId xmlns:a16="http://schemas.microsoft.com/office/drawing/2014/main" id="{D5B61584-A1E4-474C-97C0-0499B4395110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544" name="Text Box 2">
          <a:extLst>
            <a:ext uri="{FF2B5EF4-FFF2-40B4-BE49-F238E27FC236}">
              <a16:creationId xmlns:a16="http://schemas.microsoft.com/office/drawing/2014/main" id="{F02B377D-6B75-48A2-9CDC-2ED7792DAB3B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545" name="Text Box 2">
          <a:extLst>
            <a:ext uri="{FF2B5EF4-FFF2-40B4-BE49-F238E27FC236}">
              <a16:creationId xmlns:a16="http://schemas.microsoft.com/office/drawing/2014/main" id="{E65612F2-E8FF-441F-9A5A-8AF53D7B9E09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546" name="Text Box 2">
          <a:extLst>
            <a:ext uri="{FF2B5EF4-FFF2-40B4-BE49-F238E27FC236}">
              <a16:creationId xmlns:a16="http://schemas.microsoft.com/office/drawing/2014/main" id="{6D271211-F6E6-4497-B324-060F6A18D17A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547" name="Text Box 2">
          <a:extLst>
            <a:ext uri="{FF2B5EF4-FFF2-40B4-BE49-F238E27FC236}">
              <a16:creationId xmlns:a16="http://schemas.microsoft.com/office/drawing/2014/main" id="{45142C0B-447E-4531-A69B-9B7BAF7B2E0E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548" name="Text Box 2">
          <a:extLst>
            <a:ext uri="{FF2B5EF4-FFF2-40B4-BE49-F238E27FC236}">
              <a16:creationId xmlns:a16="http://schemas.microsoft.com/office/drawing/2014/main" id="{9C834244-6C04-43C7-A966-046B0E2C0C06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549" name="Text Box 2">
          <a:extLst>
            <a:ext uri="{FF2B5EF4-FFF2-40B4-BE49-F238E27FC236}">
              <a16:creationId xmlns:a16="http://schemas.microsoft.com/office/drawing/2014/main" id="{D302DFD2-B9D8-4C51-9438-31A26D9A47CE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550" name="Text Box 2">
          <a:extLst>
            <a:ext uri="{FF2B5EF4-FFF2-40B4-BE49-F238E27FC236}">
              <a16:creationId xmlns:a16="http://schemas.microsoft.com/office/drawing/2014/main" id="{22CF812A-D3B6-4867-B4C1-ECFC9D76878F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551" name="Text Box 2">
          <a:extLst>
            <a:ext uri="{FF2B5EF4-FFF2-40B4-BE49-F238E27FC236}">
              <a16:creationId xmlns:a16="http://schemas.microsoft.com/office/drawing/2014/main" id="{FB3ADED4-2BA8-4AA2-AE0D-ED4ABE03F820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552" name="Text Box 2">
          <a:extLst>
            <a:ext uri="{FF2B5EF4-FFF2-40B4-BE49-F238E27FC236}">
              <a16:creationId xmlns:a16="http://schemas.microsoft.com/office/drawing/2014/main" id="{F29F57E1-A917-4993-87B5-8523735E3DD0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1283</xdr:row>
      <xdr:rowOff>0</xdr:rowOff>
    </xdr:from>
    <xdr:ext cx="120650" cy="388620"/>
    <xdr:sp macro="" textlink="">
      <xdr:nvSpPr>
        <xdr:cNvPr id="553" name="Text Box 2">
          <a:extLst>
            <a:ext uri="{FF2B5EF4-FFF2-40B4-BE49-F238E27FC236}">
              <a16:creationId xmlns:a16="http://schemas.microsoft.com/office/drawing/2014/main" id="{5EBBB0F4-9739-4298-8384-C9C4194FB9A8}"/>
            </a:ext>
          </a:extLst>
        </xdr:cNvPr>
        <xdr:cNvSpPr txBox="1">
          <a:spLocks noChangeArrowheads="1"/>
        </xdr:cNvSpPr>
      </xdr:nvSpPr>
      <xdr:spPr bwMode="auto">
        <a:xfrm>
          <a:off x="9525000" y="488823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1284</xdr:row>
      <xdr:rowOff>0</xdr:rowOff>
    </xdr:from>
    <xdr:ext cx="120650" cy="388620"/>
    <xdr:sp macro="" textlink="">
      <xdr:nvSpPr>
        <xdr:cNvPr id="554" name="Text Box 2">
          <a:extLst>
            <a:ext uri="{FF2B5EF4-FFF2-40B4-BE49-F238E27FC236}">
              <a16:creationId xmlns:a16="http://schemas.microsoft.com/office/drawing/2014/main" id="{97008C5D-EDE3-4C29-BFA2-4D000C750716}"/>
            </a:ext>
          </a:extLst>
        </xdr:cNvPr>
        <xdr:cNvSpPr txBox="1">
          <a:spLocks noChangeArrowheads="1"/>
        </xdr:cNvSpPr>
      </xdr:nvSpPr>
      <xdr:spPr bwMode="auto">
        <a:xfrm>
          <a:off x="9525000" y="489204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1284</xdr:row>
      <xdr:rowOff>0</xdr:rowOff>
    </xdr:from>
    <xdr:ext cx="120650" cy="388620"/>
    <xdr:sp macro="" textlink="">
      <xdr:nvSpPr>
        <xdr:cNvPr id="555" name="Text Box 2">
          <a:extLst>
            <a:ext uri="{FF2B5EF4-FFF2-40B4-BE49-F238E27FC236}">
              <a16:creationId xmlns:a16="http://schemas.microsoft.com/office/drawing/2014/main" id="{EE59CAB3-8B7D-43D9-8516-C3D624A4E5D8}"/>
            </a:ext>
          </a:extLst>
        </xdr:cNvPr>
        <xdr:cNvSpPr txBox="1">
          <a:spLocks noChangeArrowheads="1"/>
        </xdr:cNvSpPr>
      </xdr:nvSpPr>
      <xdr:spPr bwMode="auto">
        <a:xfrm>
          <a:off x="9525000" y="489204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1284</xdr:row>
      <xdr:rowOff>0</xdr:rowOff>
    </xdr:from>
    <xdr:ext cx="120650" cy="388620"/>
    <xdr:sp macro="" textlink="">
      <xdr:nvSpPr>
        <xdr:cNvPr id="556" name="Text Box 2">
          <a:extLst>
            <a:ext uri="{FF2B5EF4-FFF2-40B4-BE49-F238E27FC236}">
              <a16:creationId xmlns:a16="http://schemas.microsoft.com/office/drawing/2014/main" id="{90A8BB5C-8C53-4BBF-8C7B-E6B1A6B4A601}"/>
            </a:ext>
          </a:extLst>
        </xdr:cNvPr>
        <xdr:cNvSpPr txBox="1">
          <a:spLocks noChangeArrowheads="1"/>
        </xdr:cNvSpPr>
      </xdr:nvSpPr>
      <xdr:spPr bwMode="auto">
        <a:xfrm>
          <a:off x="9525000" y="489204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1284</xdr:row>
      <xdr:rowOff>0</xdr:rowOff>
    </xdr:from>
    <xdr:ext cx="120650" cy="388620"/>
    <xdr:sp macro="" textlink="">
      <xdr:nvSpPr>
        <xdr:cNvPr id="557" name="Text Box 2">
          <a:extLst>
            <a:ext uri="{FF2B5EF4-FFF2-40B4-BE49-F238E27FC236}">
              <a16:creationId xmlns:a16="http://schemas.microsoft.com/office/drawing/2014/main" id="{9E449380-1526-452E-9CCA-A8AEBED58BA0}"/>
            </a:ext>
          </a:extLst>
        </xdr:cNvPr>
        <xdr:cNvSpPr txBox="1">
          <a:spLocks noChangeArrowheads="1"/>
        </xdr:cNvSpPr>
      </xdr:nvSpPr>
      <xdr:spPr bwMode="auto">
        <a:xfrm>
          <a:off x="9525000" y="489204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1109</xdr:row>
      <xdr:rowOff>0</xdr:rowOff>
    </xdr:from>
    <xdr:ext cx="120650" cy="379056"/>
    <xdr:sp macro="" textlink="">
      <xdr:nvSpPr>
        <xdr:cNvPr id="558" name="Text Box 2">
          <a:extLst>
            <a:ext uri="{FF2B5EF4-FFF2-40B4-BE49-F238E27FC236}">
              <a16:creationId xmlns:a16="http://schemas.microsoft.com/office/drawing/2014/main" id="{814CF7E8-9486-4B03-A3B7-50104967CD6D}"/>
            </a:ext>
          </a:extLst>
        </xdr:cNvPr>
        <xdr:cNvSpPr txBox="1">
          <a:spLocks noChangeArrowheads="1"/>
        </xdr:cNvSpPr>
      </xdr:nvSpPr>
      <xdr:spPr bwMode="auto">
        <a:xfrm>
          <a:off x="9525000" y="422529000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1109</xdr:row>
      <xdr:rowOff>0</xdr:rowOff>
    </xdr:from>
    <xdr:ext cx="120650" cy="379056"/>
    <xdr:sp macro="" textlink="">
      <xdr:nvSpPr>
        <xdr:cNvPr id="559" name="Text Box 2">
          <a:extLst>
            <a:ext uri="{FF2B5EF4-FFF2-40B4-BE49-F238E27FC236}">
              <a16:creationId xmlns:a16="http://schemas.microsoft.com/office/drawing/2014/main" id="{3810DB05-1AAE-444B-882B-1578478E3C6B}"/>
            </a:ext>
          </a:extLst>
        </xdr:cNvPr>
        <xdr:cNvSpPr txBox="1">
          <a:spLocks noChangeArrowheads="1"/>
        </xdr:cNvSpPr>
      </xdr:nvSpPr>
      <xdr:spPr bwMode="auto">
        <a:xfrm>
          <a:off x="9525000" y="422529000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1109</xdr:row>
      <xdr:rowOff>0</xdr:rowOff>
    </xdr:from>
    <xdr:ext cx="120650" cy="379056"/>
    <xdr:sp macro="" textlink="">
      <xdr:nvSpPr>
        <xdr:cNvPr id="560" name="Text Box 2">
          <a:extLst>
            <a:ext uri="{FF2B5EF4-FFF2-40B4-BE49-F238E27FC236}">
              <a16:creationId xmlns:a16="http://schemas.microsoft.com/office/drawing/2014/main" id="{790ED939-9804-4104-BCCD-82889237BB3A}"/>
            </a:ext>
          </a:extLst>
        </xdr:cNvPr>
        <xdr:cNvSpPr txBox="1">
          <a:spLocks noChangeArrowheads="1"/>
        </xdr:cNvSpPr>
      </xdr:nvSpPr>
      <xdr:spPr bwMode="auto">
        <a:xfrm>
          <a:off x="9525000" y="422529000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1109</xdr:row>
      <xdr:rowOff>0</xdr:rowOff>
    </xdr:from>
    <xdr:ext cx="120650" cy="379056"/>
    <xdr:sp macro="" textlink="">
      <xdr:nvSpPr>
        <xdr:cNvPr id="561" name="Text Box 2">
          <a:extLst>
            <a:ext uri="{FF2B5EF4-FFF2-40B4-BE49-F238E27FC236}">
              <a16:creationId xmlns:a16="http://schemas.microsoft.com/office/drawing/2014/main" id="{FF82037D-DEF6-4388-ABD4-274CCE40933C}"/>
            </a:ext>
          </a:extLst>
        </xdr:cNvPr>
        <xdr:cNvSpPr txBox="1">
          <a:spLocks noChangeArrowheads="1"/>
        </xdr:cNvSpPr>
      </xdr:nvSpPr>
      <xdr:spPr bwMode="auto">
        <a:xfrm>
          <a:off x="9525000" y="422529000"/>
          <a:ext cx="120650" cy="379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562" name="Text Box 2">
          <a:extLst>
            <a:ext uri="{FF2B5EF4-FFF2-40B4-BE49-F238E27FC236}">
              <a16:creationId xmlns:a16="http://schemas.microsoft.com/office/drawing/2014/main" id="{ECF00DD1-F34B-442C-A5A3-845DB31D674A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563" name="Text Box 2">
          <a:extLst>
            <a:ext uri="{FF2B5EF4-FFF2-40B4-BE49-F238E27FC236}">
              <a16:creationId xmlns:a16="http://schemas.microsoft.com/office/drawing/2014/main" id="{199373EF-1CA8-43C4-8BFD-2DC978D4B2DC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564" name="Text Box 2">
          <a:extLst>
            <a:ext uri="{FF2B5EF4-FFF2-40B4-BE49-F238E27FC236}">
              <a16:creationId xmlns:a16="http://schemas.microsoft.com/office/drawing/2014/main" id="{46360845-9E09-4AB2-B5B4-23AF9CF98D08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1281</xdr:row>
      <xdr:rowOff>0</xdr:rowOff>
    </xdr:from>
    <xdr:ext cx="120650" cy="388620"/>
    <xdr:sp macro="" textlink="">
      <xdr:nvSpPr>
        <xdr:cNvPr id="565" name="Text Box 2">
          <a:extLst>
            <a:ext uri="{FF2B5EF4-FFF2-40B4-BE49-F238E27FC236}">
              <a16:creationId xmlns:a16="http://schemas.microsoft.com/office/drawing/2014/main" id="{034DAA84-1F1E-460F-BF5D-7C541541CEC2}"/>
            </a:ext>
          </a:extLst>
        </xdr:cNvPr>
        <xdr:cNvSpPr txBox="1">
          <a:spLocks noChangeArrowheads="1"/>
        </xdr:cNvSpPr>
      </xdr:nvSpPr>
      <xdr:spPr bwMode="auto">
        <a:xfrm>
          <a:off x="9525000" y="488061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566" name="Text Box 2">
          <a:extLst>
            <a:ext uri="{FF2B5EF4-FFF2-40B4-BE49-F238E27FC236}">
              <a16:creationId xmlns:a16="http://schemas.microsoft.com/office/drawing/2014/main" id="{60CB950F-A5F4-4937-8478-9F4757B9F28B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567" name="Text Box 2">
          <a:extLst>
            <a:ext uri="{FF2B5EF4-FFF2-40B4-BE49-F238E27FC236}">
              <a16:creationId xmlns:a16="http://schemas.microsoft.com/office/drawing/2014/main" id="{1A57D128-5BB9-4F2D-BCB6-F7994F2047CF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568" name="Text Box 2">
          <a:extLst>
            <a:ext uri="{FF2B5EF4-FFF2-40B4-BE49-F238E27FC236}">
              <a16:creationId xmlns:a16="http://schemas.microsoft.com/office/drawing/2014/main" id="{FF7C6E63-6E75-4A38-AE89-5C0B498B2EB9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1282</xdr:row>
      <xdr:rowOff>0</xdr:rowOff>
    </xdr:from>
    <xdr:ext cx="120650" cy="388620"/>
    <xdr:sp macro="" textlink="">
      <xdr:nvSpPr>
        <xdr:cNvPr id="569" name="Text Box 2">
          <a:extLst>
            <a:ext uri="{FF2B5EF4-FFF2-40B4-BE49-F238E27FC236}">
              <a16:creationId xmlns:a16="http://schemas.microsoft.com/office/drawing/2014/main" id="{BAD27707-ED6C-44D2-8173-E03908D18E69}"/>
            </a:ext>
          </a:extLst>
        </xdr:cNvPr>
        <xdr:cNvSpPr txBox="1">
          <a:spLocks noChangeArrowheads="1"/>
        </xdr:cNvSpPr>
      </xdr:nvSpPr>
      <xdr:spPr bwMode="auto">
        <a:xfrm>
          <a:off x="9525000" y="488442000"/>
          <a:ext cx="12065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220371</xdr:colOff>
      <xdr:row>0</xdr:row>
      <xdr:rowOff>123177</xdr:rowOff>
    </xdr:from>
    <xdr:to>
      <xdr:col>2</xdr:col>
      <xdr:colOff>19244</xdr:colOff>
      <xdr:row>2</xdr:row>
      <xdr:rowOff>330460</xdr:rowOff>
    </xdr:to>
    <xdr:pic>
      <xdr:nvPicPr>
        <xdr:cNvPr id="570" name="Imagen 569" descr="HOME - Dynadrill Ecuador C. A.">
          <a:extLst>
            <a:ext uri="{FF2B5EF4-FFF2-40B4-BE49-F238E27FC236}">
              <a16:creationId xmlns:a16="http://schemas.microsoft.com/office/drawing/2014/main" id="{57257BA3-7616-4FD9-80B9-148CE7D49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71" y="123177"/>
          <a:ext cx="1183173" cy="969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lb001-my.sharepoint.com/-%20SMITH%20SERVICES%20-%20(Mobile)/-%20OPERATIONS%20-/-%20JOB%20REPORT%20-/(2009)%20-%20OPERATION/LKLM1-11/Smith%20Congo/Feuilles%20de%20Calcul%20Excel/New%20SBE%20job%20ticket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15\publico\DPTO%20FACTURACION-COMPRAS-CONTRATOS\CONTRATOS%20CLIENTES\PAM%20-%20PETROECUADOR\C2025201\OTQs%202025201\353-OPR-TPTA-035-UIO-2025.xlsx" TargetMode="External"/><Relationship Id="rId1" Type="http://schemas.openxmlformats.org/officeDocument/2006/relationships/externalLinkPath" Target="/DPTO%20FACTURACION-COMPRAS-CONTRATOS/CONTRATOS%20CLIENTES/PAM%20-%20PETROECUADOR/C2025201/OTQs%202025201/353-OPR-TPTA-035-UIO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Job log"/>
      <sheetName val="Parameter log"/>
      <sheetName val="Tool #1"/>
      <sheetName val="Tool #2"/>
      <sheetName val="BHA's"/>
      <sheetName val="Dull grade"/>
      <sheetName val="Summary"/>
      <sheetName val="Survey"/>
      <sheetName val="Service ticket"/>
      <sheetName val="PWA"/>
      <sheetName val="EOW cover page"/>
      <sheetName val="Database"/>
      <sheetName val="Search"/>
      <sheetName val="Clie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TQ"/>
      <sheetName val="Hoja1"/>
      <sheetName val="LISTA DE PRECIO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744E6-A2A6-4C37-A8CD-83690B971CAB}">
  <sheetPr>
    <pageSetUpPr fitToPage="1"/>
  </sheetPr>
  <dimension ref="A1:E2351"/>
  <sheetViews>
    <sheetView showGridLines="0" tabSelected="1" topLeftCell="A1322" zoomScale="98" zoomScaleNormal="98" zoomScalePageLayoutView="75" workbookViewId="0">
      <selection activeCell="C1326" sqref="C1326"/>
    </sheetView>
  </sheetViews>
  <sheetFormatPr baseColWidth="10" defaultColWidth="11.453125" defaultRowHeight="30" customHeight="1" x14ac:dyDescent="0.35"/>
  <cols>
    <col min="1" max="1" width="8.54296875" style="2" customWidth="1"/>
    <col min="2" max="2" width="19.81640625" style="2" bestFit="1" customWidth="1"/>
    <col min="3" max="3" width="98.81640625" style="2" customWidth="1"/>
    <col min="4" max="4" width="9.1796875" style="2" bestFit="1" customWidth="1"/>
    <col min="5" max="5" width="16.81640625" style="1" bestFit="1" customWidth="1"/>
    <col min="6" max="16384" width="11.453125" style="2"/>
  </cols>
  <sheetData>
    <row r="1" spans="1:5" ht="30" customHeight="1" x14ac:dyDescent="0.35">
      <c r="A1"/>
      <c r="B1"/>
      <c r="C1"/>
      <c r="D1"/>
    </row>
    <row r="2" spans="1:5" ht="30" customHeight="1" x14ac:dyDescent="0.35">
      <c r="A2"/>
      <c r="B2" s="3" t="s">
        <v>0</v>
      </c>
      <c r="C2" s="3"/>
      <c r="D2" s="3"/>
    </row>
    <row r="3" spans="1:5" ht="30" customHeight="1" x14ac:dyDescent="0.35">
      <c r="A3"/>
      <c r="B3" s="4"/>
      <c r="C3" s="4"/>
      <c r="D3" s="4"/>
      <c r="E3" s="5"/>
    </row>
    <row r="4" spans="1:5" ht="30" customHeight="1" x14ac:dyDescent="0.3">
      <c r="A4" s="6"/>
      <c r="B4" s="7" t="s">
        <v>1</v>
      </c>
      <c r="C4" s="8" t="s">
        <v>2</v>
      </c>
      <c r="D4" s="8" t="s">
        <v>3</v>
      </c>
      <c r="E4" s="9" t="s">
        <v>4</v>
      </c>
    </row>
    <row r="5" spans="1:5" ht="30" customHeight="1" x14ac:dyDescent="0.3">
      <c r="A5" s="6"/>
      <c r="B5" s="10" t="s">
        <v>5</v>
      </c>
      <c r="C5" s="10"/>
      <c r="D5" s="11"/>
      <c r="E5" s="9"/>
    </row>
    <row r="6" spans="1:5" s="17" customFormat="1" ht="30" customHeight="1" x14ac:dyDescent="0.35">
      <c r="A6" s="12">
        <v>1</v>
      </c>
      <c r="B6" s="13" t="s">
        <v>6</v>
      </c>
      <c r="C6" s="14" t="s">
        <v>7</v>
      </c>
      <c r="D6" s="15" t="s">
        <v>8</v>
      </c>
      <c r="E6" s="16">
        <v>3.15</v>
      </c>
    </row>
    <row r="7" spans="1:5" ht="30" customHeight="1" x14ac:dyDescent="0.35">
      <c r="A7">
        <f>A6+1</f>
        <v>2</v>
      </c>
      <c r="B7" s="18" t="s">
        <v>9</v>
      </c>
      <c r="C7" s="19" t="s">
        <v>10</v>
      </c>
      <c r="D7" s="20" t="s">
        <v>11</v>
      </c>
      <c r="E7" s="21">
        <v>26.78</v>
      </c>
    </row>
    <row r="8" spans="1:5" ht="30" customHeight="1" x14ac:dyDescent="0.35">
      <c r="A8">
        <f t="shared" ref="A8:A71" si="0">A7+1</f>
        <v>3</v>
      </c>
      <c r="B8" s="18" t="s">
        <v>12</v>
      </c>
      <c r="C8" s="22" t="s">
        <v>13</v>
      </c>
      <c r="D8" s="23" t="s">
        <v>14</v>
      </c>
      <c r="E8" s="21">
        <v>9.0000000000000011E-2</v>
      </c>
    </row>
    <row r="9" spans="1:5" ht="30" customHeight="1" x14ac:dyDescent="0.35">
      <c r="A9">
        <f t="shared" si="0"/>
        <v>4</v>
      </c>
      <c r="B9" s="18" t="s">
        <v>15</v>
      </c>
      <c r="C9" s="24" t="s">
        <v>16</v>
      </c>
      <c r="D9" s="20" t="s">
        <v>14</v>
      </c>
      <c r="E9" s="21">
        <v>0.25</v>
      </c>
    </row>
    <row r="10" spans="1:5" ht="30" customHeight="1" x14ac:dyDescent="0.35">
      <c r="A10">
        <f t="shared" si="0"/>
        <v>5</v>
      </c>
      <c r="B10" s="18" t="s">
        <v>17</v>
      </c>
      <c r="C10" s="22" t="s">
        <v>18</v>
      </c>
      <c r="D10" s="23" t="s">
        <v>14</v>
      </c>
      <c r="E10" s="21">
        <v>0.33</v>
      </c>
    </row>
    <row r="11" spans="1:5" ht="30" customHeight="1" x14ac:dyDescent="0.35">
      <c r="A11">
        <f t="shared" si="0"/>
        <v>6</v>
      </c>
      <c r="B11" s="18" t="s">
        <v>19</v>
      </c>
      <c r="C11" s="24" t="s">
        <v>20</v>
      </c>
      <c r="D11" s="20" t="s">
        <v>14</v>
      </c>
      <c r="E11" s="21">
        <v>0.33</v>
      </c>
    </row>
    <row r="12" spans="1:5" ht="30" customHeight="1" x14ac:dyDescent="0.35">
      <c r="A12">
        <f t="shared" si="0"/>
        <v>7</v>
      </c>
      <c r="B12" s="18" t="s">
        <v>21</v>
      </c>
      <c r="C12" s="22" t="s">
        <v>22</v>
      </c>
      <c r="D12" s="23" t="s">
        <v>14</v>
      </c>
      <c r="E12" s="21">
        <v>0.33</v>
      </c>
    </row>
    <row r="13" spans="1:5" ht="30" customHeight="1" x14ac:dyDescent="0.35">
      <c r="A13">
        <f t="shared" si="0"/>
        <v>8</v>
      </c>
      <c r="B13" s="18" t="s">
        <v>23</v>
      </c>
      <c r="C13" s="24" t="s">
        <v>24</v>
      </c>
      <c r="D13" s="20" t="s">
        <v>14</v>
      </c>
      <c r="E13" s="21">
        <v>0.25</v>
      </c>
    </row>
    <row r="14" spans="1:5" ht="30" customHeight="1" x14ac:dyDescent="0.35">
      <c r="A14">
        <f t="shared" si="0"/>
        <v>9</v>
      </c>
      <c r="B14" s="18" t="s">
        <v>25</v>
      </c>
      <c r="C14" s="22" t="s">
        <v>26</v>
      </c>
      <c r="D14" s="23" t="s">
        <v>14</v>
      </c>
      <c r="E14" s="21">
        <v>0.25</v>
      </c>
    </row>
    <row r="15" spans="1:5" ht="30" customHeight="1" x14ac:dyDescent="0.35">
      <c r="A15">
        <f t="shared" si="0"/>
        <v>10</v>
      </c>
      <c r="B15" s="18" t="s">
        <v>27</v>
      </c>
      <c r="C15" s="24" t="s">
        <v>28</v>
      </c>
      <c r="D15" s="20" t="s">
        <v>14</v>
      </c>
      <c r="E15" s="21">
        <v>0.25</v>
      </c>
    </row>
    <row r="16" spans="1:5" ht="30" customHeight="1" x14ac:dyDescent="0.35">
      <c r="A16">
        <f t="shared" si="0"/>
        <v>11</v>
      </c>
      <c r="B16" s="18" t="s">
        <v>29</v>
      </c>
      <c r="C16" s="22" t="s">
        <v>30</v>
      </c>
      <c r="D16" s="23" t="s">
        <v>31</v>
      </c>
      <c r="E16" s="21">
        <v>257.09999999999997</v>
      </c>
    </row>
    <row r="17" spans="1:5" ht="30" customHeight="1" x14ac:dyDescent="0.35">
      <c r="A17">
        <f t="shared" si="0"/>
        <v>12</v>
      </c>
      <c r="B17" s="18" t="s">
        <v>32</v>
      </c>
      <c r="C17" s="24" t="s">
        <v>33</v>
      </c>
      <c r="D17" s="20" t="s">
        <v>31</v>
      </c>
      <c r="E17" s="21">
        <v>398.49</v>
      </c>
    </row>
    <row r="18" spans="1:5" ht="30" customHeight="1" x14ac:dyDescent="0.35">
      <c r="A18">
        <f t="shared" si="0"/>
        <v>13</v>
      </c>
      <c r="B18" s="18" t="s">
        <v>34</v>
      </c>
      <c r="C18" s="22" t="s">
        <v>35</v>
      </c>
      <c r="D18" s="23" t="s">
        <v>31</v>
      </c>
      <c r="E18" s="21">
        <v>373.8</v>
      </c>
    </row>
    <row r="19" spans="1:5" ht="30" customHeight="1" x14ac:dyDescent="0.35">
      <c r="A19">
        <f t="shared" si="0"/>
        <v>14</v>
      </c>
      <c r="B19" s="18" t="s">
        <v>36</v>
      </c>
      <c r="C19" s="24" t="s">
        <v>37</v>
      </c>
      <c r="D19" s="20" t="s">
        <v>31</v>
      </c>
      <c r="E19" s="21">
        <v>45.93</v>
      </c>
    </row>
    <row r="20" spans="1:5" ht="30" customHeight="1" x14ac:dyDescent="0.35">
      <c r="A20">
        <f t="shared" si="0"/>
        <v>15</v>
      </c>
      <c r="B20" s="18" t="s">
        <v>38</v>
      </c>
      <c r="C20" s="22" t="s">
        <v>39</v>
      </c>
      <c r="D20" s="23" t="s">
        <v>31</v>
      </c>
      <c r="E20" s="21">
        <v>111.41000000000001</v>
      </c>
    </row>
    <row r="21" spans="1:5" ht="30" customHeight="1" x14ac:dyDescent="0.35">
      <c r="A21">
        <f t="shared" si="0"/>
        <v>16</v>
      </c>
      <c r="B21" s="18" t="s">
        <v>40</v>
      </c>
      <c r="C21" s="24" t="s">
        <v>41</v>
      </c>
      <c r="D21" s="20" t="s">
        <v>31</v>
      </c>
      <c r="E21" s="21">
        <v>91.67</v>
      </c>
    </row>
    <row r="22" spans="1:5" ht="30" customHeight="1" x14ac:dyDescent="0.35">
      <c r="A22" s="12">
        <f t="shared" si="0"/>
        <v>17</v>
      </c>
      <c r="B22" s="13" t="s">
        <v>42</v>
      </c>
      <c r="C22" s="25" t="s">
        <v>43</v>
      </c>
      <c r="D22" s="15" t="s">
        <v>8</v>
      </c>
      <c r="E22" s="16">
        <v>3.15</v>
      </c>
    </row>
    <row r="23" spans="1:5" ht="30" customHeight="1" x14ac:dyDescent="0.35">
      <c r="A23" s="12">
        <f t="shared" si="0"/>
        <v>18</v>
      </c>
      <c r="B23" s="13" t="s">
        <v>44</v>
      </c>
      <c r="C23" s="14" t="s">
        <v>45</v>
      </c>
      <c r="D23" s="15" t="s">
        <v>8</v>
      </c>
      <c r="E23" s="16">
        <v>3.15</v>
      </c>
    </row>
    <row r="24" spans="1:5" ht="30" customHeight="1" x14ac:dyDescent="0.35">
      <c r="A24" s="12">
        <f t="shared" si="0"/>
        <v>19</v>
      </c>
      <c r="B24" s="13" t="s">
        <v>46</v>
      </c>
      <c r="C24" s="25" t="s">
        <v>47</v>
      </c>
      <c r="D24" s="26" t="s">
        <v>48</v>
      </c>
      <c r="E24" s="16">
        <v>437.23</v>
      </c>
    </row>
    <row r="25" spans="1:5" ht="30" customHeight="1" x14ac:dyDescent="0.35">
      <c r="A25" s="12">
        <f t="shared" si="0"/>
        <v>20</v>
      </c>
      <c r="B25" s="13" t="s">
        <v>49</v>
      </c>
      <c r="C25" s="25" t="s">
        <v>50</v>
      </c>
      <c r="D25" s="26" t="s">
        <v>48</v>
      </c>
      <c r="E25" s="16">
        <v>349.78</v>
      </c>
    </row>
    <row r="26" spans="1:5" ht="30" customHeight="1" x14ac:dyDescent="0.35">
      <c r="A26" s="12">
        <f t="shared" si="0"/>
        <v>21</v>
      </c>
      <c r="B26" s="13" t="s">
        <v>51</v>
      </c>
      <c r="C26" s="25" t="s">
        <v>52</v>
      </c>
      <c r="D26" s="26" t="s">
        <v>48</v>
      </c>
      <c r="E26" s="16">
        <v>109.31</v>
      </c>
    </row>
    <row r="27" spans="1:5" ht="30" customHeight="1" x14ac:dyDescent="0.35">
      <c r="A27">
        <f t="shared" si="0"/>
        <v>22</v>
      </c>
      <c r="B27" s="18" t="s">
        <v>53</v>
      </c>
      <c r="C27" s="22" t="s">
        <v>54</v>
      </c>
      <c r="D27" s="22" t="s">
        <v>31</v>
      </c>
      <c r="E27" s="21">
        <v>678.36</v>
      </c>
    </row>
    <row r="28" spans="1:5" ht="30" customHeight="1" x14ac:dyDescent="0.35">
      <c r="A28">
        <f t="shared" si="0"/>
        <v>23</v>
      </c>
      <c r="B28" s="18" t="s">
        <v>55</v>
      </c>
      <c r="C28" s="22" t="s">
        <v>56</v>
      </c>
      <c r="D28" s="23" t="s">
        <v>48</v>
      </c>
      <c r="E28" s="21">
        <v>1539.2099999999998</v>
      </c>
    </row>
    <row r="29" spans="1:5" ht="30" customHeight="1" x14ac:dyDescent="0.35">
      <c r="A29">
        <f t="shared" si="0"/>
        <v>24</v>
      </c>
      <c r="B29" s="18" t="s">
        <v>57</v>
      </c>
      <c r="C29" s="22" t="s">
        <v>58</v>
      </c>
      <c r="D29" s="23" t="s">
        <v>59</v>
      </c>
      <c r="E29" s="21">
        <v>1710.4399999999998</v>
      </c>
    </row>
    <row r="30" spans="1:5" ht="30" customHeight="1" x14ac:dyDescent="0.35">
      <c r="A30">
        <f t="shared" si="0"/>
        <v>25</v>
      </c>
      <c r="B30" s="18" t="s">
        <v>60</v>
      </c>
      <c r="C30" s="22" t="s">
        <v>61</v>
      </c>
      <c r="D30" s="23" t="s">
        <v>31</v>
      </c>
      <c r="E30" s="21">
        <v>2121.62</v>
      </c>
    </row>
    <row r="31" spans="1:5" ht="30" customHeight="1" x14ac:dyDescent="0.35">
      <c r="A31" s="12">
        <f t="shared" si="0"/>
        <v>26</v>
      </c>
      <c r="B31" s="13" t="s">
        <v>62</v>
      </c>
      <c r="C31" s="25" t="s">
        <v>63</v>
      </c>
      <c r="D31" s="15" t="s">
        <v>8</v>
      </c>
      <c r="E31" s="16">
        <v>2.66</v>
      </c>
    </row>
    <row r="32" spans="1:5" ht="30" customHeight="1" x14ac:dyDescent="0.35">
      <c r="A32" s="12">
        <f t="shared" si="0"/>
        <v>27</v>
      </c>
      <c r="B32" s="13" t="s">
        <v>64</v>
      </c>
      <c r="C32" s="25" t="s">
        <v>65</v>
      </c>
      <c r="D32" s="15" t="s">
        <v>8</v>
      </c>
      <c r="E32" s="16">
        <v>3.15</v>
      </c>
    </row>
    <row r="33" spans="1:5" ht="30" customHeight="1" x14ac:dyDescent="0.35">
      <c r="A33">
        <f t="shared" si="0"/>
        <v>28</v>
      </c>
      <c r="B33" s="18" t="s">
        <v>66</v>
      </c>
      <c r="C33" s="22" t="s">
        <v>67</v>
      </c>
      <c r="D33" s="22" t="s">
        <v>31</v>
      </c>
      <c r="E33" s="21">
        <v>350.32</v>
      </c>
    </row>
    <row r="34" spans="1:5" ht="30" customHeight="1" x14ac:dyDescent="0.35">
      <c r="A34">
        <f t="shared" si="0"/>
        <v>29</v>
      </c>
      <c r="B34" s="18" t="s">
        <v>68</v>
      </c>
      <c r="C34" s="22" t="s">
        <v>69</v>
      </c>
      <c r="D34" s="23" t="s">
        <v>11</v>
      </c>
      <c r="E34" s="21">
        <v>54.08</v>
      </c>
    </row>
    <row r="35" spans="1:5" ht="30" customHeight="1" x14ac:dyDescent="0.35">
      <c r="A35">
        <f t="shared" si="0"/>
        <v>30</v>
      </c>
      <c r="B35" s="18" t="s">
        <v>70</v>
      </c>
      <c r="C35" s="22" t="s">
        <v>71</v>
      </c>
      <c r="D35" s="23" t="s">
        <v>31</v>
      </c>
      <c r="E35" s="21">
        <v>350.32</v>
      </c>
    </row>
    <row r="36" spans="1:5" ht="30" customHeight="1" x14ac:dyDescent="0.35">
      <c r="A36">
        <f t="shared" si="0"/>
        <v>31</v>
      </c>
      <c r="B36" s="18" t="s">
        <v>72</v>
      </c>
      <c r="C36" s="22" t="s">
        <v>73</v>
      </c>
      <c r="D36" s="23" t="s">
        <v>11</v>
      </c>
      <c r="E36" s="21">
        <v>67.39</v>
      </c>
    </row>
    <row r="37" spans="1:5" ht="30" customHeight="1" x14ac:dyDescent="0.35">
      <c r="A37" s="12">
        <f t="shared" si="0"/>
        <v>32</v>
      </c>
      <c r="B37" s="13" t="s">
        <v>74</v>
      </c>
      <c r="C37" s="25" t="s">
        <v>75</v>
      </c>
      <c r="D37" s="26" t="s">
        <v>48</v>
      </c>
      <c r="E37" s="16">
        <v>721.64</v>
      </c>
    </row>
    <row r="38" spans="1:5" ht="30" customHeight="1" x14ac:dyDescent="0.35">
      <c r="A38">
        <f t="shared" si="0"/>
        <v>33</v>
      </c>
      <c r="B38" s="18" t="s">
        <v>76</v>
      </c>
      <c r="C38" s="22" t="s">
        <v>77</v>
      </c>
      <c r="D38" s="23" t="s">
        <v>31</v>
      </c>
      <c r="E38" s="21">
        <v>3180.54</v>
      </c>
    </row>
    <row r="39" spans="1:5" ht="30" customHeight="1" x14ac:dyDescent="0.35">
      <c r="A39">
        <f t="shared" si="0"/>
        <v>34</v>
      </c>
      <c r="B39" s="18" t="s">
        <v>78</v>
      </c>
      <c r="C39" s="24" t="s">
        <v>79</v>
      </c>
      <c r="D39" s="23" t="s">
        <v>11</v>
      </c>
      <c r="E39" s="21">
        <v>166.18</v>
      </c>
    </row>
    <row r="40" spans="1:5" ht="30" customHeight="1" x14ac:dyDescent="0.35">
      <c r="A40" s="12">
        <f t="shared" si="0"/>
        <v>35</v>
      </c>
      <c r="B40" s="13" t="s">
        <v>80</v>
      </c>
      <c r="C40" s="27" t="s">
        <v>81</v>
      </c>
      <c r="D40" s="26" t="s">
        <v>48</v>
      </c>
      <c r="E40" s="16">
        <v>749.46</v>
      </c>
    </row>
    <row r="41" spans="1:5" ht="30" customHeight="1" x14ac:dyDescent="0.35">
      <c r="A41" s="12">
        <f t="shared" si="0"/>
        <v>36</v>
      </c>
      <c r="B41" s="13" t="s">
        <v>82</v>
      </c>
      <c r="C41" s="25" t="s">
        <v>83</v>
      </c>
      <c r="D41" s="26" t="s">
        <v>48</v>
      </c>
      <c r="E41" s="16">
        <v>940.71</v>
      </c>
    </row>
    <row r="42" spans="1:5" ht="30" customHeight="1" x14ac:dyDescent="0.35">
      <c r="A42" s="12">
        <f t="shared" si="0"/>
        <v>37</v>
      </c>
      <c r="B42" s="28" t="s">
        <v>84</v>
      </c>
      <c r="C42" s="14" t="s">
        <v>85</v>
      </c>
      <c r="D42" s="15" t="s">
        <v>8</v>
      </c>
      <c r="E42" s="16">
        <v>3.15</v>
      </c>
    </row>
    <row r="43" spans="1:5" ht="30" customHeight="1" x14ac:dyDescent="0.35">
      <c r="A43">
        <f t="shared" si="0"/>
        <v>38</v>
      </c>
      <c r="B43" s="18" t="s">
        <v>86</v>
      </c>
      <c r="C43" s="29" t="s">
        <v>87</v>
      </c>
      <c r="D43" s="29" t="s">
        <v>31</v>
      </c>
      <c r="E43" s="21">
        <v>96.45</v>
      </c>
    </row>
    <row r="44" spans="1:5" ht="30" customHeight="1" x14ac:dyDescent="0.35">
      <c r="A44">
        <f t="shared" si="0"/>
        <v>39</v>
      </c>
      <c r="B44" s="18" t="s">
        <v>88</v>
      </c>
      <c r="C44" s="29" t="s">
        <v>89</v>
      </c>
      <c r="D44" s="30" t="s">
        <v>31</v>
      </c>
      <c r="E44" s="21">
        <v>176.1</v>
      </c>
    </row>
    <row r="45" spans="1:5" ht="30" customHeight="1" x14ac:dyDescent="0.35">
      <c r="A45">
        <f t="shared" si="0"/>
        <v>40</v>
      </c>
      <c r="B45" s="18" t="s">
        <v>90</v>
      </c>
      <c r="C45" s="29" t="s">
        <v>91</v>
      </c>
      <c r="D45" s="29" t="s">
        <v>31</v>
      </c>
      <c r="E45" s="21">
        <v>245.49</v>
      </c>
    </row>
    <row r="46" spans="1:5" ht="30" customHeight="1" x14ac:dyDescent="0.35">
      <c r="A46">
        <f t="shared" si="0"/>
        <v>41</v>
      </c>
      <c r="B46" s="18" t="s">
        <v>92</v>
      </c>
      <c r="C46" s="29" t="s">
        <v>93</v>
      </c>
      <c r="D46" s="30" t="s">
        <v>31</v>
      </c>
      <c r="E46" s="21">
        <v>343.81</v>
      </c>
    </row>
    <row r="47" spans="1:5" ht="30" customHeight="1" x14ac:dyDescent="0.35">
      <c r="A47">
        <f t="shared" si="0"/>
        <v>42</v>
      </c>
      <c r="B47" s="18" t="s">
        <v>94</v>
      </c>
      <c r="C47" s="29" t="s">
        <v>95</v>
      </c>
      <c r="D47" s="29" t="s">
        <v>31</v>
      </c>
      <c r="E47" s="21">
        <v>183.19</v>
      </c>
    </row>
    <row r="48" spans="1:5" ht="30" customHeight="1" x14ac:dyDescent="0.35">
      <c r="A48">
        <f t="shared" si="0"/>
        <v>43</v>
      </c>
      <c r="B48" s="18" t="s">
        <v>96</v>
      </c>
      <c r="C48" s="29" t="s">
        <v>97</v>
      </c>
      <c r="D48" s="29" t="s">
        <v>31</v>
      </c>
      <c r="E48" s="21">
        <v>97.7</v>
      </c>
    </row>
    <row r="49" spans="1:5" ht="30" customHeight="1" x14ac:dyDescent="0.35">
      <c r="A49">
        <f t="shared" si="0"/>
        <v>44</v>
      </c>
      <c r="B49" s="18" t="s">
        <v>98</v>
      </c>
      <c r="C49" s="29" t="s">
        <v>99</v>
      </c>
      <c r="D49" s="29" t="s">
        <v>31</v>
      </c>
      <c r="E49" s="21">
        <v>61.059999999999995</v>
      </c>
    </row>
    <row r="50" spans="1:5" ht="30" customHeight="1" x14ac:dyDescent="0.35">
      <c r="A50">
        <f t="shared" si="0"/>
        <v>45</v>
      </c>
      <c r="B50" s="18" t="s">
        <v>100</v>
      </c>
      <c r="C50" s="29" t="s">
        <v>101</v>
      </c>
      <c r="D50" s="31" t="s">
        <v>31</v>
      </c>
      <c r="E50" s="21">
        <v>61.059999999999995</v>
      </c>
    </row>
    <row r="51" spans="1:5" ht="30" customHeight="1" x14ac:dyDescent="0.35">
      <c r="A51">
        <f t="shared" si="0"/>
        <v>46</v>
      </c>
      <c r="B51" s="18" t="s">
        <v>102</v>
      </c>
      <c r="C51" s="29" t="s">
        <v>103</v>
      </c>
      <c r="D51" s="32" t="s">
        <v>31</v>
      </c>
      <c r="E51" s="21">
        <v>73.27000000000001</v>
      </c>
    </row>
    <row r="52" spans="1:5" ht="30" customHeight="1" x14ac:dyDescent="0.35">
      <c r="A52">
        <f t="shared" si="0"/>
        <v>47</v>
      </c>
      <c r="B52" s="18" t="s">
        <v>104</v>
      </c>
      <c r="C52" s="29" t="s">
        <v>105</v>
      </c>
      <c r="D52" s="31" t="s">
        <v>31</v>
      </c>
      <c r="E52" s="21">
        <v>183.19</v>
      </c>
    </row>
    <row r="53" spans="1:5" ht="30" customHeight="1" x14ac:dyDescent="0.35">
      <c r="A53">
        <f t="shared" si="0"/>
        <v>48</v>
      </c>
      <c r="B53" s="18" t="s">
        <v>106</v>
      </c>
      <c r="C53" s="29" t="s">
        <v>107</v>
      </c>
      <c r="D53" s="29" t="s">
        <v>31</v>
      </c>
      <c r="E53" s="21">
        <v>97.7</v>
      </c>
    </row>
    <row r="54" spans="1:5" ht="30" customHeight="1" x14ac:dyDescent="0.35">
      <c r="A54">
        <f t="shared" si="0"/>
        <v>49</v>
      </c>
      <c r="B54" s="18" t="s">
        <v>108</v>
      </c>
      <c r="C54" s="29" t="s">
        <v>109</v>
      </c>
      <c r="D54" s="30" t="s">
        <v>31</v>
      </c>
      <c r="E54" s="21">
        <v>244.25</v>
      </c>
    </row>
    <row r="55" spans="1:5" ht="30" customHeight="1" x14ac:dyDescent="0.35">
      <c r="A55">
        <f t="shared" si="0"/>
        <v>50</v>
      </c>
      <c r="B55" s="18" t="s">
        <v>110</v>
      </c>
      <c r="C55" s="29" t="s">
        <v>111</v>
      </c>
      <c r="D55" s="29" t="s">
        <v>31</v>
      </c>
      <c r="E55" s="21">
        <v>122.12</v>
      </c>
    </row>
    <row r="56" spans="1:5" ht="30" customHeight="1" x14ac:dyDescent="0.35">
      <c r="A56">
        <f t="shared" si="0"/>
        <v>51</v>
      </c>
      <c r="B56" s="18" t="s">
        <v>112</v>
      </c>
      <c r="C56" s="29" t="s">
        <v>113</v>
      </c>
      <c r="D56" s="30" t="s">
        <v>31</v>
      </c>
      <c r="E56" s="21">
        <v>305.29999999999995</v>
      </c>
    </row>
    <row r="57" spans="1:5" ht="30" customHeight="1" x14ac:dyDescent="0.35">
      <c r="A57">
        <f t="shared" si="0"/>
        <v>52</v>
      </c>
      <c r="B57" s="18" t="s">
        <v>114</v>
      </c>
      <c r="C57" s="29" t="s">
        <v>115</v>
      </c>
      <c r="D57" s="29" t="s">
        <v>31</v>
      </c>
      <c r="E57" s="21">
        <v>427.41999999999996</v>
      </c>
    </row>
    <row r="58" spans="1:5" ht="30" customHeight="1" x14ac:dyDescent="0.35">
      <c r="A58">
        <f t="shared" si="0"/>
        <v>53</v>
      </c>
      <c r="B58" s="18" t="s">
        <v>116</v>
      </c>
      <c r="C58" s="29" t="s">
        <v>117</v>
      </c>
      <c r="D58" s="30" t="s">
        <v>31</v>
      </c>
      <c r="E58" s="21">
        <v>146.54999999999998</v>
      </c>
    </row>
    <row r="59" spans="1:5" ht="30" customHeight="1" x14ac:dyDescent="0.35">
      <c r="A59">
        <f t="shared" si="0"/>
        <v>54</v>
      </c>
      <c r="B59" s="18" t="s">
        <v>118</v>
      </c>
      <c r="C59" s="29" t="s">
        <v>119</v>
      </c>
      <c r="D59" s="29" t="s">
        <v>31</v>
      </c>
      <c r="E59" s="21">
        <v>2849.45</v>
      </c>
    </row>
    <row r="60" spans="1:5" ht="30" customHeight="1" x14ac:dyDescent="0.35">
      <c r="A60">
        <f t="shared" si="0"/>
        <v>55</v>
      </c>
      <c r="B60" s="18" t="s">
        <v>120</v>
      </c>
      <c r="C60" s="29" t="s">
        <v>121</v>
      </c>
      <c r="D60" s="30" t="s">
        <v>31</v>
      </c>
      <c r="E60" s="21">
        <v>3093.68</v>
      </c>
    </row>
    <row r="61" spans="1:5" ht="30" customHeight="1" x14ac:dyDescent="0.35">
      <c r="A61">
        <f t="shared" si="0"/>
        <v>56</v>
      </c>
      <c r="B61" s="18" t="s">
        <v>122</v>
      </c>
      <c r="C61" s="29" t="s">
        <v>123</v>
      </c>
      <c r="D61" s="29" t="s">
        <v>31</v>
      </c>
      <c r="E61" s="21">
        <v>97.7</v>
      </c>
    </row>
    <row r="62" spans="1:5" ht="30" customHeight="1" x14ac:dyDescent="0.35">
      <c r="A62">
        <f t="shared" si="0"/>
        <v>57</v>
      </c>
      <c r="B62" s="18" t="s">
        <v>124</v>
      </c>
      <c r="C62" s="33" t="s">
        <v>125</v>
      </c>
      <c r="D62" s="30" t="s">
        <v>31</v>
      </c>
      <c r="E62" s="21">
        <v>48.86</v>
      </c>
    </row>
    <row r="63" spans="1:5" ht="30" customHeight="1" x14ac:dyDescent="0.35">
      <c r="A63">
        <f t="shared" si="0"/>
        <v>58</v>
      </c>
      <c r="B63" s="18" t="s">
        <v>126</v>
      </c>
      <c r="C63" s="34" t="s">
        <v>127</v>
      </c>
      <c r="D63" s="29" t="s">
        <v>31</v>
      </c>
      <c r="E63" s="21">
        <v>48.86</v>
      </c>
    </row>
    <row r="64" spans="1:5" ht="30" customHeight="1" x14ac:dyDescent="0.35">
      <c r="A64">
        <f t="shared" si="0"/>
        <v>59</v>
      </c>
      <c r="B64" s="18" t="s">
        <v>128</v>
      </c>
      <c r="C64" s="33" t="s">
        <v>129</v>
      </c>
      <c r="D64" s="30" t="s">
        <v>31</v>
      </c>
      <c r="E64" s="21">
        <v>48.86</v>
      </c>
    </row>
    <row r="65" spans="1:5" ht="30" customHeight="1" x14ac:dyDescent="0.35">
      <c r="A65">
        <f t="shared" si="0"/>
        <v>60</v>
      </c>
      <c r="B65" s="18" t="s">
        <v>130</v>
      </c>
      <c r="C65" s="34" t="s">
        <v>131</v>
      </c>
      <c r="D65" s="29" t="s">
        <v>31</v>
      </c>
      <c r="E65" s="21">
        <v>40.71</v>
      </c>
    </row>
    <row r="66" spans="1:5" ht="30" customHeight="1" x14ac:dyDescent="0.35">
      <c r="A66">
        <f t="shared" si="0"/>
        <v>61</v>
      </c>
      <c r="B66" s="18" t="s">
        <v>132</v>
      </c>
      <c r="C66" s="33" t="s">
        <v>133</v>
      </c>
      <c r="D66" s="30" t="s">
        <v>31</v>
      </c>
      <c r="E66" s="21">
        <v>24.430000000000003</v>
      </c>
    </row>
    <row r="67" spans="1:5" ht="30" customHeight="1" x14ac:dyDescent="0.35">
      <c r="A67">
        <f t="shared" si="0"/>
        <v>62</v>
      </c>
      <c r="B67" s="18" t="s">
        <v>134</v>
      </c>
      <c r="C67" s="34" t="s">
        <v>135</v>
      </c>
      <c r="D67" s="29" t="s">
        <v>31</v>
      </c>
      <c r="E67" s="21">
        <v>24.430000000000003</v>
      </c>
    </row>
    <row r="68" spans="1:5" ht="30" customHeight="1" x14ac:dyDescent="0.35">
      <c r="A68">
        <f t="shared" si="0"/>
        <v>63</v>
      </c>
      <c r="B68" s="18" t="s">
        <v>136</v>
      </c>
      <c r="C68" s="33" t="s">
        <v>137</v>
      </c>
      <c r="D68" s="30" t="s">
        <v>31</v>
      </c>
      <c r="E68" s="21">
        <v>24.430000000000003</v>
      </c>
    </row>
    <row r="69" spans="1:5" ht="30" customHeight="1" x14ac:dyDescent="0.35">
      <c r="A69">
        <f t="shared" si="0"/>
        <v>64</v>
      </c>
      <c r="B69" s="18" t="s">
        <v>138</v>
      </c>
      <c r="C69" s="34" t="s">
        <v>139</v>
      </c>
      <c r="D69" s="29" t="s">
        <v>31</v>
      </c>
      <c r="E69" s="21">
        <v>24.430000000000003</v>
      </c>
    </row>
    <row r="70" spans="1:5" ht="30" customHeight="1" x14ac:dyDescent="0.35">
      <c r="A70">
        <f t="shared" si="0"/>
        <v>65</v>
      </c>
      <c r="B70" s="18" t="s">
        <v>140</v>
      </c>
      <c r="C70" s="33" t="s">
        <v>141</v>
      </c>
      <c r="D70" s="30" t="s">
        <v>31</v>
      </c>
      <c r="E70" s="21">
        <v>24.430000000000003</v>
      </c>
    </row>
    <row r="71" spans="1:5" ht="30" customHeight="1" x14ac:dyDescent="0.35">
      <c r="A71">
        <f t="shared" si="0"/>
        <v>66</v>
      </c>
      <c r="B71" s="18" t="s">
        <v>142</v>
      </c>
      <c r="C71" s="34" t="s">
        <v>143</v>
      </c>
      <c r="D71" s="29" t="s">
        <v>31</v>
      </c>
      <c r="E71" s="21">
        <v>40.71</v>
      </c>
    </row>
    <row r="72" spans="1:5" ht="30" customHeight="1" x14ac:dyDescent="0.35">
      <c r="A72">
        <f t="shared" ref="A72:A135" si="1">A71+1</f>
        <v>67</v>
      </c>
      <c r="B72" s="18" t="s">
        <v>144</v>
      </c>
      <c r="C72" s="33" t="s">
        <v>145</v>
      </c>
      <c r="D72" s="30" t="s">
        <v>31</v>
      </c>
      <c r="E72" s="21">
        <v>32.57</v>
      </c>
    </row>
    <row r="73" spans="1:5" ht="30" customHeight="1" x14ac:dyDescent="0.35">
      <c r="A73">
        <f t="shared" si="1"/>
        <v>68</v>
      </c>
      <c r="B73" s="18" t="s">
        <v>146</v>
      </c>
      <c r="C73" s="34" t="s">
        <v>147</v>
      </c>
      <c r="D73" s="29" t="s">
        <v>31</v>
      </c>
      <c r="E73" s="21">
        <v>24.430000000000003</v>
      </c>
    </row>
    <row r="74" spans="1:5" ht="30" customHeight="1" x14ac:dyDescent="0.35">
      <c r="A74">
        <f t="shared" si="1"/>
        <v>69</v>
      </c>
      <c r="B74" s="18" t="s">
        <v>148</v>
      </c>
      <c r="C74" s="33" t="s">
        <v>149</v>
      </c>
      <c r="D74" s="30" t="s">
        <v>31</v>
      </c>
      <c r="E74" s="21">
        <v>24.430000000000003</v>
      </c>
    </row>
    <row r="75" spans="1:5" ht="30" customHeight="1" x14ac:dyDescent="0.35">
      <c r="A75">
        <f t="shared" si="1"/>
        <v>70</v>
      </c>
      <c r="B75" s="18" t="s">
        <v>150</v>
      </c>
      <c r="C75" s="34" t="s">
        <v>151</v>
      </c>
      <c r="D75" s="29" t="s">
        <v>31</v>
      </c>
      <c r="E75" s="21">
        <v>13.03</v>
      </c>
    </row>
    <row r="76" spans="1:5" ht="30" customHeight="1" x14ac:dyDescent="0.35">
      <c r="A76">
        <f t="shared" si="1"/>
        <v>71</v>
      </c>
      <c r="B76" s="35" t="s">
        <v>152</v>
      </c>
      <c r="C76" s="36" t="s">
        <v>153</v>
      </c>
      <c r="D76" s="35" t="s">
        <v>14</v>
      </c>
      <c r="E76" s="21">
        <v>423.39</v>
      </c>
    </row>
    <row r="77" spans="1:5" ht="30" customHeight="1" x14ac:dyDescent="0.35">
      <c r="A77">
        <f t="shared" si="1"/>
        <v>72</v>
      </c>
      <c r="B77" s="32" t="s">
        <v>154</v>
      </c>
      <c r="C77" s="29" t="s">
        <v>155</v>
      </c>
      <c r="D77" s="32" t="s">
        <v>14</v>
      </c>
      <c r="E77" s="21">
        <v>41.04</v>
      </c>
    </row>
    <row r="78" spans="1:5" ht="30" customHeight="1" x14ac:dyDescent="0.35">
      <c r="A78">
        <f t="shared" si="1"/>
        <v>73</v>
      </c>
      <c r="B78" s="35" t="s">
        <v>156</v>
      </c>
      <c r="C78" s="36" t="s">
        <v>157</v>
      </c>
      <c r="D78" s="35" t="s">
        <v>14</v>
      </c>
      <c r="E78" s="21">
        <v>49.52</v>
      </c>
    </row>
    <row r="79" spans="1:5" ht="30" customHeight="1" x14ac:dyDescent="0.35">
      <c r="A79">
        <f t="shared" si="1"/>
        <v>74</v>
      </c>
      <c r="B79" s="32" t="s">
        <v>158</v>
      </c>
      <c r="C79" s="29" t="s">
        <v>159</v>
      </c>
      <c r="D79" s="32" t="s">
        <v>14</v>
      </c>
      <c r="E79" s="21">
        <v>23.99</v>
      </c>
    </row>
    <row r="80" spans="1:5" ht="30" customHeight="1" x14ac:dyDescent="0.35">
      <c r="A80">
        <f t="shared" si="1"/>
        <v>75</v>
      </c>
      <c r="B80" s="35" t="s">
        <v>160</v>
      </c>
      <c r="C80" s="36" t="s">
        <v>161</v>
      </c>
      <c r="D80" s="35" t="s">
        <v>14</v>
      </c>
      <c r="E80" s="21">
        <v>39.869999999999997</v>
      </c>
    </row>
    <row r="81" spans="1:5" ht="30" customHeight="1" x14ac:dyDescent="0.35">
      <c r="A81">
        <f t="shared" si="1"/>
        <v>76</v>
      </c>
      <c r="B81" s="32" t="s">
        <v>162</v>
      </c>
      <c r="C81" s="29" t="s">
        <v>163</v>
      </c>
      <c r="D81" s="32" t="s">
        <v>14</v>
      </c>
      <c r="E81" s="21">
        <v>39.17</v>
      </c>
    </row>
    <row r="82" spans="1:5" ht="30" customHeight="1" x14ac:dyDescent="0.35">
      <c r="A82">
        <f t="shared" si="1"/>
        <v>77</v>
      </c>
      <c r="B82" s="35" t="s">
        <v>164</v>
      </c>
      <c r="C82" s="36" t="s">
        <v>165</v>
      </c>
      <c r="D82" s="35" t="s">
        <v>14</v>
      </c>
      <c r="E82" s="21">
        <v>44.4</v>
      </c>
    </row>
    <row r="83" spans="1:5" ht="30" customHeight="1" x14ac:dyDescent="0.35">
      <c r="A83">
        <f t="shared" si="1"/>
        <v>78</v>
      </c>
      <c r="B83" s="32" t="s">
        <v>166</v>
      </c>
      <c r="C83" s="29" t="s">
        <v>167</v>
      </c>
      <c r="D83" s="32" t="s">
        <v>14</v>
      </c>
      <c r="E83" s="21">
        <v>144.04</v>
      </c>
    </row>
    <row r="84" spans="1:5" ht="30" customHeight="1" x14ac:dyDescent="0.35">
      <c r="A84">
        <f t="shared" si="1"/>
        <v>79</v>
      </c>
      <c r="B84" s="35" t="s">
        <v>168</v>
      </c>
      <c r="C84" s="36" t="s">
        <v>169</v>
      </c>
      <c r="D84" s="35" t="s">
        <v>14</v>
      </c>
      <c r="E84" s="21">
        <v>20.5</v>
      </c>
    </row>
    <row r="85" spans="1:5" ht="30" customHeight="1" x14ac:dyDescent="0.35">
      <c r="A85">
        <f t="shared" si="1"/>
        <v>80</v>
      </c>
      <c r="B85" s="32" t="s">
        <v>170</v>
      </c>
      <c r="C85" s="29" t="s">
        <v>171</v>
      </c>
      <c r="D85" s="32" t="s">
        <v>14</v>
      </c>
      <c r="E85" s="21">
        <v>58.56</v>
      </c>
    </row>
    <row r="86" spans="1:5" ht="30" customHeight="1" x14ac:dyDescent="0.35">
      <c r="A86">
        <f t="shared" si="1"/>
        <v>81</v>
      </c>
      <c r="B86" s="35" t="s">
        <v>172</v>
      </c>
      <c r="C86" s="36" t="s">
        <v>173</v>
      </c>
      <c r="D86" s="35" t="s">
        <v>14</v>
      </c>
      <c r="E86" s="21">
        <v>33.68</v>
      </c>
    </row>
    <row r="87" spans="1:5" ht="30" customHeight="1" x14ac:dyDescent="0.35">
      <c r="A87">
        <f t="shared" si="1"/>
        <v>82</v>
      </c>
      <c r="B87" s="32" t="s">
        <v>174</v>
      </c>
      <c r="C87" s="29" t="s">
        <v>175</v>
      </c>
      <c r="D87" s="32" t="s">
        <v>14</v>
      </c>
      <c r="E87" s="21">
        <v>24.009999999999998</v>
      </c>
    </row>
    <row r="88" spans="1:5" ht="30" customHeight="1" x14ac:dyDescent="0.35">
      <c r="A88">
        <f t="shared" si="1"/>
        <v>83</v>
      </c>
      <c r="B88" s="35" t="s">
        <v>176</v>
      </c>
      <c r="C88" s="36" t="s">
        <v>177</v>
      </c>
      <c r="D88" s="35" t="s">
        <v>14</v>
      </c>
      <c r="E88" s="21">
        <v>52.68</v>
      </c>
    </row>
    <row r="89" spans="1:5" ht="30" customHeight="1" x14ac:dyDescent="0.35">
      <c r="A89">
        <f t="shared" si="1"/>
        <v>84</v>
      </c>
      <c r="B89" s="32" t="s">
        <v>178</v>
      </c>
      <c r="C89" s="29" t="s">
        <v>179</v>
      </c>
      <c r="D89" s="32" t="s">
        <v>14</v>
      </c>
      <c r="E89" s="21">
        <v>22.26</v>
      </c>
    </row>
    <row r="90" spans="1:5" ht="30" customHeight="1" x14ac:dyDescent="0.35">
      <c r="A90">
        <f t="shared" si="1"/>
        <v>85</v>
      </c>
      <c r="B90" s="35" t="s">
        <v>180</v>
      </c>
      <c r="C90" s="36" t="s">
        <v>181</v>
      </c>
      <c r="D90" s="35" t="s">
        <v>14</v>
      </c>
      <c r="E90" s="21">
        <v>35.28</v>
      </c>
    </row>
    <row r="91" spans="1:5" ht="30" customHeight="1" x14ac:dyDescent="0.35">
      <c r="A91">
        <f t="shared" si="1"/>
        <v>86</v>
      </c>
      <c r="B91" s="32" t="s">
        <v>182</v>
      </c>
      <c r="C91" s="29" t="s">
        <v>183</v>
      </c>
      <c r="D91" s="32" t="s">
        <v>14</v>
      </c>
      <c r="E91" s="21">
        <v>27.46</v>
      </c>
    </row>
    <row r="92" spans="1:5" ht="30" customHeight="1" x14ac:dyDescent="0.35">
      <c r="A92">
        <f t="shared" si="1"/>
        <v>87</v>
      </c>
      <c r="B92" s="35" t="s">
        <v>184</v>
      </c>
      <c r="C92" s="36" t="s">
        <v>185</v>
      </c>
      <c r="D92" s="35" t="s">
        <v>14</v>
      </c>
      <c r="E92" s="21">
        <v>32.680000000000007</v>
      </c>
    </row>
    <row r="93" spans="1:5" ht="30" customHeight="1" x14ac:dyDescent="0.35">
      <c r="A93">
        <f t="shared" si="1"/>
        <v>88</v>
      </c>
      <c r="B93" s="32" t="s">
        <v>186</v>
      </c>
      <c r="C93" s="29" t="s">
        <v>187</v>
      </c>
      <c r="D93" s="32" t="s">
        <v>14</v>
      </c>
      <c r="E93" s="21">
        <v>32.49</v>
      </c>
    </row>
    <row r="94" spans="1:5" ht="30" customHeight="1" x14ac:dyDescent="0.35">
      <c r="A94">
        <f t="shared" si="1"/>
        <v>89</v>
      </c>
      <c r="B94" s="35" t="s">
        <v>188</v>
      </c>
      <c r="C94" s="36" t="s">
        <v>189</v>
      </c>
      <c r="D94" s="35" t="s">
        <v>14</v>
      </c>
      <c r="E94" s="21">
        <v>34.22</v>
      </c>
    </row>
    <row r="95" spans="1:5" ht="30" customHeight="1" x14ac:dyDescent="0.35">
      <c r="A95">
        <f t="shared" si="1"/>
        <v>90</v>
      </c>
      <c r="B95" s="32" t="s">
        <v>190</v>
      </c>
      <c r="C95" s="29" t="s">
        <v>191</v>
      </c>
      <c r="D95" s="32" t="s">
        <v>14</v>
      </c>
      <c r="E95" s="21">
        <v>101.5</v>
      </c>
    </row>
    <row r="96" spans="1:5" ht="30" customHeight="1" x14ac:dyDescent="0.35">
      <c r="A96">
        <f t="shared" si="1"/>
        <v>91</v>
      </c>
      <c r="B96" s="35" t="s">
        <v>192</v>
      </c>
      <c r="C96" s="36" t="s">
        <v>193</v>
      </c>
      <c r="D96" s="35" t="s">
        <v>14</v>
      </c>
      <c r="E96" s="21">
        <v>36.619999999999997</v>
      </c>
    </row>
    <row r="97" spans="1:5" ht="30" customHeight="1" x14ac:dyDescent="0.35">
      <c r="A97">
        <f t="shared" si="1"/>
        <v>92</v>
      </c>
      <c r="B97" s="32" t="s">
        <v>194</v>
      </c>
      <c r="C97" s="29" t="s">
        <v>195</v>
      </c>
      <c r="D97" s="32" t="s">
        <v>14</v>
      </c>
      <c r="E97" s="21">
        <v>15.33</v>
      </c>
    </row>
    <row r="98" spans="1:5" ht="30" customHeight="1" x14ac:dyDescent="0.35">
      <c r="A98">
        <f t="shared" si="1"/>
        <v>93</v>
      </c>
      <c r="B98" s="35" t="s">
        <v>196</v>
      </c>
      <c r="C98" s="36" t="s">
        <v>197</v>
      </c>
      <c r="D98" s="35" t="s">
        <v>198</v>
      </c>
      <c r="E98" s="21">
        <v>19.91</v>
      </c>
    </row>
    <row r="99" spans="1:5" ht="30" customHeight="1" x14ac:dyDescent="0.35">
      <c r="A99">
        <f t="shared" si="1"/>
        <v>94</v>
      </c>
      <c r="B99" s="32" t="s">
        <v>199</v>
      </c>
      <c r="C99" s="29" t="s">
        <v>200</v>
      </c>
      <c r="D99" s="32" t="s">
        <v>198</v>
      </c>
      <c r="E99" s="21">
        <v>2.4900000000000002</v>
      </c>
    </row>
    <row r="100" spans="1:5" ht="30" customHeight="1" x14ac:dyDescent="0.35">
      <c r="A100">
        <f t="shared" si="1"/>
        <v>95</v>
      </c>
      <c r="B100" s="35" t="s">
        <v>201</v>
      </c>
      <c r="C100" s="36" t="s">
        <v>202</v>
      </c>
      <c r="D100" s="35" t="s">
        <v>14</v>
      </c>
      <c r="E100" s="21">
        <v>21.47</v>
      </c>
    </row>
    <row r="101" spans="1:5" ht="30" customHeight="1" x14ac:dyDescent="0.35">
      <c r="A101">
        <f t="shared" si="1"/>
        <v>96</v>
      </c>
      <c r="B101" s="32" t="s">
        <v>203</v>
      </c>
      <c r="C101" s="29" t="s">
        <v>204</v>
      </c>
      <c r="D101" s="32" t="s">
        <v>14</v>
      </c>
      <c r="E101" s="21">
        <v>94.57</v>
      </c>
    </row>
    <row r="102" spans="1:5" ht="30" customHeight="1" x14ac:dyDescent="0.35">
      <c r="A102">
        <f t="shared" si="1"/>
        <v>97</v>
      </c>
      <c r="B102" s="35" t="s">
        <v>205</v>
      </c>
      <c r="C102" s="36" t="s">
        <v>206</v>
      </c>
      <c r="D102" s="35" t="s">
        <v>14</v>
      </c>
      <c r="E102" s="21">
        <v>39.580000000000005</v>
      </c>
    </row>
    <row r="103" spans="1:5" ht="30" customHeight="1" x14ac:dyDescent="0.35">
      <c r="A103">
        <f t="shared" si="1"/>
        <v>98</v>
      </c>
      <c r="B103" s="32" t="s">
        <v>207</v>
      </c>
      <c r="C103" s="29" t="s">
        <v>208</v>
      </c>
      <c r="D103" s="32" t="s">
        <v>14</v>
      </c>
      <c r="E103" s="21">
        <v>49.760000000000005</v>
      </c>
    </row>
    <row r="104" spans="1:5" ht="30" customHeight="1" x14ac:dyDescent="0.35">
      <c r="A104">
        <f t="shared" si="1"/>
        <v>99</v>
      </c>
      <c r="B104" s="35" t="s">
        <v>209</v>
      </c>
      <c r="C104" s="36" t="s">
        <v>210</v>
      </c>
      <c r="D104" s="35" t="s">
        <v>14</v>
      </c>
      <c r="E104" s="21">
        <v>62.29</v>
      </c>
    </row>
    <row r="105" spans="1:5" ht="30" customHeight="1" x14ac:dyDescent="0.35">
      <c r="A105">
        <f t="shared" si="1"/>
        <v>100</v>
      </c>
      <c r="B105" s="32" t="s">
        <v>211</v>
      </c>
      <c r="C105" s="29" t="s">
        <v>212</v>
      </c>
      <c r="D105" s="32" t="s">
        <v>14</v>
      </c>
      <c r="E105" s="21">
        <v>32.82</v>
      </c>
    </row>
    <row r="106" spans="1:5" ht="30" customHeight="1" x14ac:dyDescent="0.35">
      <c r="A106">
        <f t="shared" si="1"/>
        <v>101</v>
      </c>
      <c r="B106" s="35" t="s">
        <v>213</v>
      </c>
      <c r="C106" s="36" t="s">
        <v>214</v>
      </c>
      <c r="D106" s="35" t="s">
        <v>14</v>
      </c>
      <c r="E106" s="21">
        <v>17.830000000000002</v>
      </c>
    </row>
    <row r="107" spans="1:5" ht="30" customHeight="1" x14ac:dyDescent="0.35">
      <c r="A107">
        <f t="shared" si="1"/>
        <v>102</v>
      </c>
      <c r="B107" s="32" t="s">
        <v>215</v>
      </c>
      <c r="C107" s="29" t="s">
        <v>216</v>
      </c>
      <c r="D107" s="32" t="s">
        <v>14</v>
      </c>
      <c r="E107" s="21">
        <v>20.86</v>
      </c>
    </row>
    <row r="108" spans="1:5" ht="30" customHeight="1" x14ac:dyDescent="0.35">
      <c r="A108">
        <f t="shared" si="1"/>
        <v>103</v>
      </c>
      <c r="B108" s="35" t="s">
        <v>217</v>
      </c>
      <c r="C108" s="36" t="s">
        <v>218</v>
      </c>
      <c r="D108" s="35" t="s">
        <v>14</v>
      </c>
      <c r="E108" s="21">
        <v>18.309999999999999</v>
      </c>
    </row>
    <row r="109" spans="1:5" ht="30" customHeight="1" x14ac:dyDescent="0.35">
      <c r="A109">
        <f t="shared" si="1"/>
        <v>104</v>
      </c>
      <c r="B109" s="32" t="s">
        <v>219</v>
      </c>
      <c r="C109" s="29" t="s">
        <v>220</v>
      </c>
      <c r="D109" s="32" t="s">
        <v>14</v>
      </c>
      <c r="E109" s="21">
        <v>9.99</v>
      </c>
    </row>
    <row r="110" spans="1:5" ht="30" customHeight="1" x14ac:dyDescent="0.35">
      <c r="A110">
        <f t="shared" si="1"/>
        <v>105</v>
      </c>
      <c r="B110" s="32" t="s">
        <v>221</v>
      </c>
      <c r="C110" s="29" t="s">
        <v>222</v>
      </c>
      <c r="D110" s="32" t="s">
        <v>14</v>
      </c>
      <c r="E110" s="21">
        <v>14.989999999999998</v>
      </c>
    </row>
    <row r="111" spans="1:5" ht="30" customHeight="1" x14ac:dyDescent="0.35">
      <c r="A111">
        <f t="shared" si="1"/>
        <v>106</v>
      </c>
      <c r="B111" s="35" t="s">
        <v>223</v>
      </c>
      <c r="C111" s="36" t="s">
        <v>224</v>
      </c>
      <c r="D111" s="35" t="s">
        <v>14</v>
      </c>
      <c r="E111" s="21">
        <v>12</v>
      </c>
    </row>
    <row r="112" spans="1:5" ht="30" customHeight="1" x14ac:dyDescent="0.35">
      <c r="A112">
        <f t="shared" si="1"/>
        <v>107</v>
      </c>
      <c r="B112" s="32" t="s">
        <v>225</v>
      </c>
      <c r="C112" s="29" t="s">
        <v>226</v>
      </c>
      <c r="D112" s="32" t="s">
        <v>14</v>
      </c>
      <c r="E112" s="21">
        <v>35.15</v>
      </c>
    </row>
    <row r="113" spans="1:5" ht="30" customHeight="1" x14ac:dyDescent="0.35">
      <c r="A113">
        <f t="shared" si="1"/>
        <v>108</v>
      </c>
      <c r="B113" s="35" t="s">
        <v>227</v>
      </c>
      <c r="C113" s="36" t="s">
        <v>228</v>
      </c>
      <c r="D113" s="35" t="s">
        <v>14</v>
      </c>
      <c r="E113" s="21">
        <v>35.730000000000004</v>
      </c>
    </row>
    <row r="114" spans="1:5" ht="30" customHeight="1" x14ac:dyDescent="0.35">
      <c r="A114">
        <f t="shared" si="1"/>
        <v>109</v>
      </c>
      <c r="B114" s="35" t="s">
        <v>229</v>
      </c>
      <c r="C114" s="36" t="s">
        <v>230</v>
      </c>
      <c r="D114" s="35" t="s">
        <v>14</v>
      </c>
      <c r="E114" s="21">
        <v>15.77</v>
      </c>
    </row>
    <row r="115" spans="1:5" ht="30" customHeight="1" x14ac:dyDescent="0.35">
      <c r="A115">
        <f t="shared" si="1"/>
        <v>110</v>
      </c>
      <c r="B115" s="35" t="s">
        <v>231</v>
      </c>
      <c r="C115" s="36" t="s">
        <v>232</v>
      </c>
      <c r="D115" s="35" t="s">
        <v>14</v>
      </c>
      <c r="E115" s="21">
        <v>15.77</v>
      </c>
    </row>
    <row r="116" spans="1:5" ht="30" customHeight="1" x14ac:dyDescent="0.35">
      <c r="A116">
        <f t="shared" si="1"/>
        <v>111</v>
      </c>
      <c r="B116" s="32" t="s">
        <v>233</v>
      </c>
      <c r="C116" s="29" t="s">
        <v>234</v>
      </c>
      <c r="D116" s="32" t="s">
        <v>14</v>
      </c>
      <c r="E116" s="21">
        <v>64.900000000000006</v>
      </c>
    </row>
    <row r="117" spans="1:5" ht="30" customHeight="1" x14ac:dyDescent="0.35">
      <c r="A117">
        <f t="shared" si="1"/>
        <v>112</v>
      </c>
      <c r="B117" s="35" t="s">
        <v>235</v>
      </c>
      <c r="C117" s="36" t="s">
        <v>236</v>
      </c>
      <c r="D117" s="35" t="s">
        <v>14</v>
      </c>
      <c r="E117" s="21">
        <v>5.58</v>
      </c>
    </row>
    <row r="118" spans="1:5" ht="30" customHeight="1" x14ac:dyDescent="0.35">
      <c r="A118">
        <f t="shared" si="1"/>
        <v>113</v>
      </c>
      <c r="B118" s="32" t="s">
        <v>237</v>
      </c>
      <c r="C118" s="29" t="s">
        <v>238</v>
      </c>
      <c r="D118" s="32" t="s">
        <v>198</v>
      </c>
      <c r="E118" s="21">
        <v>0.51</v>
      </c>
    </row>
    <row r="119" spans="1:5" ht="30" customHeight="1" x14ac:dyDescent="0.35">
      <c r="A119">
        <f t="shared" si="1"/>
        <v>114</v>
      </c>
      <c r="B119" s="35" t="s">
        <v>239</v>
      </c>
      <c r="C119" s="36" t="s">
        <v>240</v>
      </c>
      <c r="D119" s="35" t="s">
        <v>198</v>
      </c>
      <c r="E119" s="21">
        <v>4.41</v>
      </c>
    </row>
    <row r="120" spans="1:5" ht="30" customHeight="1" x14ac:dyDescent="0.35">
      <c r="A120">
        <f t="shared" si="1"/>
        <v>115</v>
      </c>
      <c r="B120" s="35" t="s">
        <v>241</v>
      </c>
      <c r="C120" s="36" t="s">
        <v>242</v>
      </c>
      <c r="D120" s="35" t="s">
        <v>14</v>
      </c>
      <c r="E120" s="21">
        <v>40.700000000000003</v>
      </c>
    </row>
    <row r="121" spans="1:5" ht="30" customHeight="1" x14ac:dyDescent="0.35">
      <c r="A121">
        <f t="shared" si="1"/>
        <v>116</v>
      </c>
      <c r="B121" s="32" t="s">
        <v>243</v>
      </c>
      <c r="C121" s="29" t="s">
        <v>244</v>
      </c>
      <c r="D121" s="32" t="s">
        <v>14</v>
      </c>
      <c r="E121" s="21">
        <v>2.21</v>
      </c>
    </row>
    <row r="122" spans="1:5" ht="30" customHeight="1" x14ac:dyDescent="0.35">
      <c r="A122">
        <f t="shared" si="1"/>
        <v>117</v>
      </c>
      <c r="B122" s="35" t="s">
        <v>245</v>
      </c>
      <c r="C122" s="36" t="s">
        <v>246</v>
      </c>
      <c r="D122" s="35" t="s">
        <v>198</v>
      </c>
      <c r="E122" s="21">
        <v>8.09</v>
      </c>
    </row>
    <row r="123" spans="1:5" ht="30" customHeight="1" x14ac:dyDescent="0.35">
      <c r="A123">
        <f t="shared" si="1"/>
        <v>118</v>
      </c>
      <c r="B123" s="35" t="s">
        <v>247</v>
      </c>
      <c r="C123" s="36" t="s">
        <v>248</v>
      </c>
      <c r="D123" s="35" t="s">
        <v>14</v>
      </c>
      <c r="E123" s="21">
        <v>6.86</v>
      </c>
    </row>
    <row r="124" spans="1:5" ht="30" customHeight="1" x14ac:dyDescent="0.35">
      <c r="A124">
        <f t="shared" si="1"/>
        <v>119</v>
      </c>
      <c r="B124" s="35" t="s">
        <v>249</v>
      </c>
      <c r="C124" s="36" t="s">
        <v>250</v>
      </c>
      <c r="D124" s="35" t="s">
        <v>14</v>
      </c>
      <c r="E124" s="21">
        <v>6.29</v>
      </c>
    </row>
    <row r="125" spans="1:5" ht="30" customHeight="1" x14ac:dyDescent="0.35">
      <c r="A125">
        <f t="shared" si="1"/>
        <v>120</v>
      </c>
      <c r="B125" s="32" t="s">
        <v>251</v>
      </c>
      <c r="C125" s="29" t="s">
        <v>252</v>
      </c>
      <c r="D125" s="32" t="s">
        <v>14</v>
      </c>
      <c r="E125" s="21">
        <v>73.27000000000001</v>
      </c>
    </row>
    <row r="126" spans="1:5" ht="30" customHeight="1" x14ac:dyDescent="0.35">
      <c r="A126">
        <f t="shared" si="1"/>
        <v>121</v>
      </c>
      <c r="B126" s="35" t="s">
        <v>253</v>
      </c>
      <c r="C126" s="36" t="s">
        <v>254</v>
      </c>
      <c r="D126" s="35" t="s">
        <v>14</v>
      </c>
      <c r="E126" s="21">
        <v>1.52</v>
      </c>
    </row>
    <row r="127" spans="1:5" ht="30" customHeight="1" x14ac:dyDescent="0.35">
      <c r="A127">
        <f t="shared" si="1"/>
        <v>122</v>
      </c>
      <c r="B127" s="32" t="s">
        <v>255</v>
      </c>
      <c r="C127" s="29" t="s">
        <v>256</v>
      </c>
      <c r="D127" s="32" t="s">
        <v>14</v>
      </c>
      <c r="E127" s="21">
        <v>12.09</v>
      </c>
    </row>
    <row r="128" spans="1:5" ht="30" customHeight="1" x14ac:dyDescent="0.35">
      <c r="A128">
        <f t="shared" si="1"/>
        <v>123</v>
      </c>
      <c r="B128" s="35" t="s">
        <v>257</v>
      </c>
      <c r="C128" s="36" t="s">
        <v>258</v>
      </c>
      <c r="D128" s="35" t="s">
        <v>14</v>
      </c>
      <c r="E128" s="21">
        <v>5</v>
      </c>
    </row>
    <row r="129" spans="1:5" ht="30" customHeight="1" x14ac:dyDescent="0.35">
      <c r="A129">
        <f t="shared" si="1"/>
        <v>124</v>
      </c>
      <c r="B129" s="35" t="s">
        <v>259</v>
      </c>
      <c r="C129" s="36" t="s">
        <v>260</v>
      </c>
      <c r="D129" s="35" t="s">
        <v>14</v>
      </c>
      <c r="E129" s="21">
        <v>7.0600000000000005</v>
      </c>
    </row>
    <row r="130" spans="1:5" ht="30" customHeight="1" x14ac:dyDescent="0.35">
      <c r="A130">
        <f t="shared" si="1"/>
        <v>125</v>
      </c>
      <c r="B130" s="32" t="s">
        <v>261</v>
      </c>
      <c r="C130" s="29" t="s">
        <v>262</v>
      </c>
      <c r="D130" s="32" t="s">
        <v>14</v>
      </c>
      <c r="E130" s="21">
        <v>13.48</v>
      </c>
    </row>
    <row r="131" spans="1:5" ht="30" customHeight="1" x14ac:dyDescent="0.35">
      <c r="A131">
        <f t="shared" si="1"/>
        <v>126</v>
      </c>
      <c r="B131" s="35" t="s">
        <v>263</v>
      </c>
      <c r="C131" s="36" t="s">
        <v>264</v>
      </c>
      <c r="D131" s="35" t="s">
        <v>14</v>
      </c>
      <c r="E131" s="21">
        <v>15.61</v>
      </c>
    </row>
    <row r="132" spans="1:5" ht="30" customHeight="1" x14ac:dyDescent="0.35">
      <c r="A132">
        <f t="shared" si="1"/>
        <v>127</v>
      </c>
      <c r="B132" s="32" t="s">
        <v>265</v>
      </c>
      <c r="C132" s="29" t="s">
        <v>266</v>
      </c>
      <c r="D132" s="32" t="s">
        <v>14</v>
      </c>
      <c r="E132" s="21">
        <v>14.5</v>
      </c>
    </row>
    <row r="133" spans="1:5" ht="30" customHeight="1" x14ac:dyDescent="0.35">
      <c r="A133">
        <f t="shared" si="1"/>
        <v>128</v>
      </c>
      <c r="B133" s="35" t="s">
        <v>267</v>
      </c>
      <c r="C133" s="36" t="s">
        <v>268</v>
      </c>
      <c r="D133" s="35" t="s">
        <v>14</v>
      </c>
      <c r="E133" s="21">
        <v>13.46</v>
      </c>
    </row>
    <row r="134" spans="1:5" ht="30" customHeight="1" x14ac:dyDescent="0.35">
      <c r="A134">
        <f t="shared" si="1"/>
        <v>129</v>
      </c>
      <c r="B134" s="32" t="s">
        <v>269</v>
      </c>
      <c r="C134" s="29" t="s">
        <v>270</v>
      </c>
      <c r="D134" s="32" t="s">
        <v>14</v>
      </c>
      <c r="E134" s="21">
        <v>12.77</v>
      </c>
    </row>
    <row r="135" spans="1:5" ht="30" customHeight="1" x14ac:dyDescent="0.35">
      <c r="A135">
        <f t="shared" si="1"/>
        <v>130</v>
      </c>
      <c r="B135" s="35" t="s">
        <v>271</v>
      </c>
      <c r="C135" s="36" t="s">
        <v>272</v>
      </c>
      <c r="D135" s="35" t="s">
        <v>14</v>
      </c>
      <c r="E135" s="21">
        <v>15.11</v>
      </c>
    </row>
    <row r="136" spans="1:5" ht="30" customHeight="1" x14ac:dyDescent="0.35">
      <c r="A136">
        <f t="shared" ref="A136:A178" si="2">A135+1</f>
        <v>131</v>
      </c>
      <c r="B136" s="32" t="s">
        <v>273</v>
      </c>
      <c r="C136" s="29" t="s">
        <v>274</v>
      </c>
      <c r="D136" s="32" t="s">
        <v>14</v>
      </c>
      <c r="E136" s="21">
        <v>8.89</v>
      </c>
    </row>
    <row r="137" spans="1:5" ht="30" customHeight="1" x14ac:dyDescent="0.35">
      <c r="A137">
        <f t="shared" si="2"/>
        <v>132</v>
      </c>
      <c r="B137" s="35" t="s">
        <v>275</v>
      </c>
      <c r="C137" s="36" t="s">
        <v>276</v>
      </c>
      <c r="D137" s="35" t="s">
        <v>198</v>
      </c>
      <c r="E137" s="21">
        <v>5.2600000000000007</v>
      </c>
    </row>
    <row r="138" spans="1:5" ht="30" customHeight="1" x14ac:dyDescent="0.35">
      <c r="A138">
        <f t="shared" si="2"/>
        <v>133</v>
      </c>
      <c r="B138" s="32" t="s">
        <v>277</v>
      </c>
      <c r="C138" s="29" t="s">
        <v>278</v>
      </c>
      <c r="D138" s="32" t="s">
        <v>198</v>
      </c>
      <c r="E138" s="21">
        <v>22.21</v>
      </c>
    </row>
    <row r="139" spans="1:5" ht="30" customHeight="1" x14ac:dyDescent="0.35">
      <c r="A139">
        <f t="shared" si="2"/>
        <v>134</v>
      </c>
      <c r="B139" s="35" t="s">
        <v>279</v>
      </c>
      <c r="C139" s="36" t="s">
        <v>280</v>
      </c>
      <c r="D139" s="35" t="s">
        <v>198</v>
      </c>
      <c r="E139" s="21">
        <v>10.77</v>
      </c>
    </row>
    <row r="140" spans="1:5" ht="30" customHeight="1" x14ac:dyDescent="0.35">
      <c r="A140">
        <f t="shared" si="2"/>
        <v>135</v>
      </c>
      <c r="B140" s="32" t="s">
        <v>281</v>
      </c>
      <c r="C140" s="29" t="s">
        <v>282</v>
      </c>
      <c r="D140" s="32" t="s">
        <v>198</v>
      </c>
      <c r="E140" s="21">
        <v>5.6899999999999995</v>
      </c>
    </row>
    <row r="141" spans="1:5" ht="30" customHeight="1" x14ac:dyDescent="0.35">
      <c r="A141">
        <f t="shared" si="2"/>
        <v>136</v>
      </c>
      <c r="B141" s="35" t="s">
        <v>283</v>
      </c>
      <c r="C141" s="36" t="s">
        <v>284</v>
      </c>
      <c r="D141" s="35" t="s">
        <v>198</v>
      </c>
      <c r="E141" s="21">
        <v>15.17</v>
      </c>
    </row>
    <row r="142" spans="1:5" ht="30" customHeight="1" x14ac:dyDescent="0.35">
      <c r="A142">
        <f t="shared" si="2"/>
        <v>137</v>
      </c>
      <c r="B142" s="32" t="s">
        <v>285</v>
      </c>
      <c r="C142" s="29" t="s">
        <v>286</v>
      </c>
      <c r="D142" s="32" t="s">
        <v>14</v>
      </c>
      <c r="E142" s="21">
        <v>81.78</v>
      </c>
    </row>
    <row r="143" spans="1:5" ht="30" customHeight="1" x14ac:dyDescent="0.35">
      <c r="A143">
        <f t="shared" si="2"/>
        <v>138</v>
      </c>
      <c r="B143" s="35" t="s">
        <v>287</v>
      </c>
      <c r="C143" s="36" t="s">
        <v>288</v>
      </c>
      <c r="D143" s="35" t="s">
        <v>14</v>
      </c>
      <c r="E143" s="21">
        <v>76.64</v>
      </c>
    </row>
    <row r="144" spans="1:5" ht="30" customHeight="1" x14ac:dyDescent="0.35">
      <c r="A144">
        <f t="shared" si="2"/>
        <v>139</v>
      </c>
      <c r="B144" s="32" t="s">
        <v>289</v>
      </c>
      <c r="C144" s="29" t="s">
        <v>290</v>
      </c>
      <c r="D144" s="32" t="s">
        <v>14</v>
      </c>
      <c r="E144" s="21">
        <v>54.67</v>
      </c>
    </row>
    <row r="145" spans="1:5" ht="30" customHeight="1" x14ac:dyDescent="0.35">
      <c r="A145">
        <f t="shared" si="2"/>
        <v>140</v>
      </c>
      <c r="B145" s="35" t="s">
        <v>291</v>
      </c>
      <c r="C145" s="36" t="s">
        <v>292</v>
      </c>
      <c r="D145" s="35" t="s">
        <v>198</v>
      </c>
      <c r="E145" s="21">
        <v>13.9</v>
      </c>
    </row>
    <row r="146" spans="1:5" ht="30" customHeight="1" x14ac:dyDescent="0.35">
      <c r="A146">
        <f t="shared" si="2"/>
        <v>141</v>
      </c>
      <c r="B146" s="32" t="s">
        <v>293</v>
      </c>
      <c r="C146" s="29" t="s">
        <v>294</v>
      </c>
      <c r="D146" s="32" t="s">
        <v>198</v>
      </c>
      <c r="E146" s="21">
        <v>3.7800000000000002</v>
      </c>
    </row>
    <row r="147" spans="1:5" ht="30" customHeight="1" x14ac:dyDescent="0.35">
      <c r="A147">
        <f t="shared" si="2"/>
        <v>142</v>
      </c>
      <c r="B147" s="32" t="s">
        <v>295</v>
      </c>
      <c r="C147" s="29" t="s">
        <v>296</v>
      </c>
      <c r="D147" s="32" t="s">
        <v>14</v>
      </c>
      <c r="E147" s="21">
        <v>46.47</v>
      </c>
    </row>
    <row r="148" spans="1:5" ht="30" customHeight="1" x14ac:dyDescent="0.35">
      <c r="A148">
        <f t="shared" si="2"/>
        <v>143</v>
      </c>
      <c r="B148" s="35" t="s">
        <v>297</v>
      </c>
      <c r="C148" s="36" t="s">
        <v>298</v>
      </c>
      <c r="D148" s="35" t="s">
        <v>14</v>
      </c>
      <c r="E148" s="21">
        <v>89.52000000000001</v>
      </c>
    </row>
    <row r="149" spans="1:5" ht="30" customHeight="1" x14ac:dyDescent="0.35">
      <c r="A149">
        <f t="shared" si="2"/>
        <v>144</v>
      </c>
      <c r="B149" s="32" t="s">
        <v>299</v>
      </c>
      <c r="C149" s="29" t="s">
        <v>300</v>
      </c>
      <c r="D149" s="32" t="s">
        <v>198</v>
      </c>
      <c r="E149" s="21">
        <v>3.87</v>
      </c>
    </row>
    <row r="150" spans="1:5" ht="30" customHeight="1" x14ac:dyDescent="0.35">
      <c r="A150">
        <f t="shared" si="2"/>
        <v>145</v>
      </c>
      <c r="B150" s="35" t="s">
        <v>301</v>
      </c>
      <c r="C150" s="36" t="s">
        <v>302</v>
      </c>
      <c r="D150" s="35" t="s">
        <v>14</v>
      </c>
      <c r="E150" s="21">
        <v>160.87</v>
      </c>
    </row>
    <row r="151" spans="1:5" ht="30" customHeight="1" x14ac:dyDescent="0.35">
      <c r="A151">
        <f t="shared" si="2"/>
        <v>146</v>
      </c>
      <c r="B151" s="32" t="s">
        <v>303</v>
      </c>
      <c r="C151" s="29" t="s">
        <v>304</v>
      </c>
      <c r="D151" s="32" t="s">
        <v>14</v>
      </c>
      <c r="E151" s="21">
        <v>215.19000000000003</v>
      </c>
    </row>
    <row r="152" spans="1:5" ht="30" customHeight="1" x14ac:dyDescent="0.35">
      <c r="A152">
        <f t="shared" si="2"/>
        <v>147</v>
      </c>
      <c r="B152" s="35" t="s">
        <v>305</v>
      </c>
      <c r="C152" s="36" t="s">
        <v>306</v>
      </c>
      <c r="D152" s="35" t="s">
        <v>14</v>
      </c>
      <c r="E152" s="21">
        <v>160.87</v>
      </c>
    </row>
    <row r="153" spans="1:5" ht="30" customHeight="1" x14ac:dyDescent="0.35">
      <c r="A153">
        <f t="shared" si="2"/>
        <v>148</v>
      </c>
      <c r="B153" s="32" t="s">
        <v>307</v>
      </c>
      <c r="C153" s="29" t="s">
        <v>308</v>
      </c>
      <c r="D153" s="32" t="s">
        <v>14</v>
      </c>
      <c r="E153" s="21">
        <v>188.07999999999998</v>
      </c>
    </row>
    <row r="154" spans="1:5" ht="30" customHeight="1" x14ac:dyDescent="0.35">
      <c r="A154">
        <f t="shared" si="2"/>
        <v>149</v>
      </c>
      <c r="B154" s="35" t="s">
        <v>309</v>
      </c>
      <c r="C154" s="36" t="s">
        <v>310</v>
      </c>
      <c r="D154" s="35" t="s">
        <v>14</v>
      </c>
      <c r="E154" s="21">
        <v>13.19</v>
      </c>
    </row>
    <row r="155" spans="1:5" ht="30" customHeight="1" x14ac:dyDescent="0.35">
      <c r="A155">
        <f t="shared" si="2"/>
        <v>150</v>
      </c>
      <c r="B155" s="32" t="s">
        <v>311</v>
      </c>
      <c r="C155" s="29" t="s">
        <v>312</v>
      </c>
      <c r="D155" s="32" t="s">
        <v>14</v>
      </c>
      <c r="E155" s="21">
        <v>52.16</v>
      </c>
    </row>
    <row r="156" spans="1:5" ht="30" customHeight="1" x14ac:dyDescent="0.35">
      <c r="A156">
        <f t="shared" si="2"/>
        <v>151</v>
      </c>
      <c r="B156" s="35" t="s">
        <v>313</v>
      </c>
      <c r="C156" s="36" t="s">
        <v>314</v>
      </c>
      <c r="D156" s="35" t="s">
        <v>14</v>
      </c>
      <c r="E156" s="21">
        <v>69.3</v>
      </c>
    </row>
    <row r="157" spans="1:5" ht="30" customHeight="1" x14ac:dyDescent="0.35">
      <c r="A157">
        <f t="shared" si="2"/>
        <v>152</v>
      </c>
      <c r="B157" s="32" t="s">
        <v>315</v>
      </c>
      <c r="C157" s="29" t="s">
        <v>316</v>
      </c>
      <c r="D157" s="32" t="s">
        <v>14</v>
      </c>
      <c r="E157" s="21">
        <v>87.160000000000011</v>
      </c>
    </row>
    <row r="158" spans="1:5" ht="30" customHeight="1" x14ac:dyDescent="0.35">
      <c r="A158">
        <f t="shared" si="2"/>
        <v>153</v>
      </c>
      <c r="B158" s="35" t="s">
        <v>317</v>
      </c>
      <c r="C158" s="36" t="s">
        <v>318</v>
      </c>
      <c r="D158" s="35" t="s">
        <v>14</v>
      </c>
      <c r="E158" s="21">
        <v>40.770000000000003</v>
      </c>
    </row>
    <row r="159" spans="1:5" ht="30" customHeight="1" x14ac:dyDescent="0.35">
      <c r="A159">
        <f t="shared" si="2"/>
        <v>154</v>
      </c>
      <c r="B159" s="32" t="s">
        <v>319</v>
      </c>
      <c r="C159" s="29" t="s">
        <v>320</v>
      </c>
      <c r="D159" s="32" t="s">
        <v>14</v>
      </c>
      <c r="E159" s="21">
        <v>40.9</v>
      </c>
    </row>
    <row r="160" spans="1:5" ht="30" customHeight="1" x14ac:dyDescent="0.35">
      <c r="A160">
        <f t="shared" si="2"/>
        <v>155</v>
      </c>
      <c r="B160" s="35" t="s">
        <v>321</v>
      </c>
      <c r="C160" s="36" t="s">
        <v>322</v>
      </c>
      <c r="D160" s="35" t="s">
        <v>14</v>
      </c>
      <c r="E160" s="21">
        <v>40.46</v>
      </c>
    </row>
    <row r="161" spans="1:5" ht="30" customHeight="1" x14ac:dyDescent="0.35">
      <c r="A161">
        <f t="shared" si="2"/>
        <v>156</v>
      </c>
      <c r="B161" s="32" t="s">
        <v>323</v>
      </c>
      <c r="C161" s="29" t="s">
        <v>324</v>
      </c>
      <c r="D161" s="32" t="s">
        <v>14</v>
      </c>
      <c r="E161" s="21">
        <v>17.740000000000002</v>
      </c>
    </row>
    <row r="162" spans="1:5" ht="30" customHeight="1" x14ac:dyDescent="0.35">
      <c r="A162">
        <f t="shared" si="2"/>
        <v>157</v>
      </c>
      <c r="B162" s="35" t="s">
        <v>325</v>
      </c>
      <c r="C162" s="36" t="s">
        <v>326</v>
      </c>
      <c r="D162" s="35" t="s">
        <v>14</v>
      </c>
      <c r="E162" s="21">
        <v>69.33</v>
      </c>
    </row>
    <row r="163" spans="1:5" ht="30" customHeight="1" x14ac:dyDescent="0.35">
      <c r="A163">
        <f t="shared" si="2"/>
        <v>158</v>
      </c>
      <c r="B163" s="32" t="s">
        <v>327</v>
      </c>
      <c r="C163" s="29" t="s">
        <v>328</v>
      </c>
      <c r="D163" s="32" t="s">
        <v>14</v>
      </c>
      <c r="E163" s="21">
        <v>44.88</v>
      </c>
    </row>
    <row r="164" spans="1:5" ht="30" customHeight="1" x14ac:dyDescent="0.35">
      <c r="A164">
        <f t="shared" si="2"/>
        <v>159</v>
      </c>
      <c r="B164" s="35" t="s">
        <v>329</v>
      </c>
      <c r="C164" s="36" t="s">
        <v>330</v>
      </c>
      <c r="D164" s="35" t="s">
        <v>14</v>
      </c>
      <c r="E164" s="21">
        <v>40.4</v>
      </c>
    </row>
    <row r="165" spans="1:5" ht="30" customHeight="1" x14ac:dyDescent="0.35">
      <c r="A165">
        <f t="shared" si="2"/>
        <v>160</v>
      </c>
      <c r="B165" s="32" t="s">
        <v>331</v>
      </c>
      <c r="C165" s="29" t="s">
        <v>332</v>
      </c>
      <c r="D165" s="32" t="s">
        <v>14</v>
      </c>
      <c r="E165" s="21">
        <v>50.769999999999996</v>
      </c>
    </row>
    <row r="166" spans="1:5" ht="30" customHeight="1" x14ac:dyDescent="0.35">
      <c r="A166">
        <f t="shared" si="2"/>
        <v>161</v>
      </c>
      <c r="B166" s="35" t="s">
        <v>333</v>
      </c>
      <c r="C166" s="36" t="s">
        <v>334</v>
      </c>
      <c r="D166" s="35" t="s">
        <v>14</v>
      </c>
      <c r="E166" s="21">
        <v>10.579999999999998</v>
      </c>
    </row>
    <row r="167" spans="1:5" ht="30" customHeight="1" x14ac:dyDescent="0.35">
      <c r="A167">
        <f t="shared" si="2"/>
        <v>162</v>
      </c>
      <c r="B167" s="32" t="s">
        <v>335</v>
      </c>
      <c r="C167" s="29" t="s">
        <v>336</v>
      </c>
      <c r="D167" s="32" t="s">
        <v>14</v>
      </c>
      <c r="E167" s="21">
        <v>2.83</v>
      </c>
    </row>
    <row r="168" spans="1:5" ht="30" customHeight="1" x14ac:dyDescent="0.35">
      <c r="A168">
        <f t="shared" si="2"/>
        <v>163</v>
      </c>
      <c r="B168" s="35" t="s">
        <v>337</v>
      </c>
      <c r="C168" s="36" t="s">
        <v>338</v>
      </c>
      <c r="D168" s="35" t="s">
        <v>14</v>
      </c>
      <c r="E168" s="21">
        <v>3.5900000000000003</v>
      </c>
    </row>
    <row r="169" spans="1:5" ht="30" customHeight="1" x14ac:dyDescent="0.35">
      <c r="A169">
        <f t="shared" si="2"/>
        <v>164</v>
      </c>
      <c r="B169" s="32" t="s">
        <v>339</v>
      </c>
      <c r="C169" s="29" t="s">
        <v>340</v>
      </c>
      <c r="D169" s="32" t="s">
        <v>198</v>
      </c>
      <c r="E169" s="21">
        <v>0.33</v>
      </c>
    </row>
    <row r="170" spans="1:5" ht="30" customHeight="1" x14ac:dyDescent="0.35">
      <c r="A170">
        <f t="shared" si="2"/>
        <v>165</v>
      </c>
      <c r="B170" s="35" t="s">
        <v>341</v>
      </c>
      <c r="C170" s="36" t="s">
        <v>342</v>
      </c>
      <c r="D170" s="35" t="s">
        <v>198</v>
      </c>
      <c r="E170" s="21">
        <v>33.85</v>
      </c>
    </row>
    <row r="171" spans="1:5" ht="30" customHeight="1" x14ac:dyDescent="0.35">
      <c r="A171">
        <f t="shared" si="2"/>
        <v>166</v>
      </c>
      <c r="B171" s="32" t="s">
        <v>343</v>
      </c>
      <c r="C171" s="29" t="s">
        <v>344</v>
      </c>
      <c r="D171" s="32" t="s">
        <v>14</v>
      </c>
      <c r="E171" s="21">
        <v>26.13</v>
      </c>
    </row>
    <row r="172" spans="1:5" ht="30" customHeight="1" x14ac:dyDescent="0.35">
      <c r="A172">
        <f t="shared" si="2"/>
        <v>167</v>
      </c>
      <c r="B172" s="35" t="s">
        <v>345</v>
      </c>
      <c r="C172" s="36" t="s">
        <v>346</v>
      </c>
      <c r="D172" s="35" t="s">
        <v>14</v>
      </c>
      <c r="E172" s="21">
        <v>23.220000000000002</v>
      </c>
    </row>
    <row r="173" spans="1:5" ht="30" customHeight="1" x14ac:dyDescent="0.35">
      <c r="A173">
        <f t="shared" si="2"/>
        <v>168</v>
      </c>
      <c r="B173" s="32" t="s">
        <v>347</v>
      </c>
      <c r="C173" s="29" t="s">
        <v>348</v>
      </c>
      <c r="D173" s="32" t="s">
        <v>14</v>
      </c>
      <c r="E173" s="21">
        <v>147.97</v>
      </c>
    </row>
    <row r="174" spans="1:5" ht="30" customHeight="1" x14ac:dyDescent="0.35">
      <c r="A174">
        <f t="shared" si="2"/>
        <v>169</v>
      </c>
      <c r="B174" s="35" t="s">
        <v>349</v>
      </c>
      <c r="C174" s="36" t="s">
        <v>350</v>
      </c>
      <c r="D174" s="35" t="s">
        <v>198</v>
      </c>
      <c r="E174" s="21">
        <v>1.21</v>
      </c>
    </row>
    <row r="175" spans="1:5" ht="30" customHeight="1" x14ac:dyDescent="0.35">
      <c r="A175">
        <f t="shared" si="2"/>
        <v>170</v>
      </c>
      <c r="B175" s="32" t="s">
        <v>351</v>
      </c>
      <c r="C175" s="29" t="s">
        <v>352</v>
      </c>
      <c r="D175" s="32" t="s">
        <v>198</v>
      </c>
      <c r="E175" s="21">
        <v>1.03</v>
      </c>
    </row>
    <row r="176" spans="1:5" ht="30" customHeight="1" x14ac:dyDescent="0.35">
      <c r="A176">
        <f t="shared" si="2"/>
        <v>171</v>
      </c>
      <c r="B176" s="35" t="s">
        <v>353</v>
      </c>
      <c r="C176" s="36" t="s">
        <v>354</v>
      </c>
      <c r="D176" s="35" t="s">
        <v>198</v>
      </c>
      <c r="E176" s="21">
        <v>1.03</v>
      </c>
    </row>
    <row r="177" spans="1:5" ht="30" customHeight="1" x14ac:dyDescent="0.35">
      <c r="A177">
        <f t="shared" si="2"/>
        <v>172</v>
      </c>
      <c r="B177" s="32" t="s">
        <v>355</v>
      </c>
      <c r="C177" s="29" t="s">
        <v>356</v>
      </c>
      <c r="D177" s="32" t="s">
        <v>198</v>
      </c>
      <c r="E177" s="21">
        <v>2.29</v>
      </c>
    </row>
    <row r="178" spans="1:5" ht="30" customHeight="1" x14ac:dyDescent="0.35">
      <c r="A178">
        <f t="shared" si="2"/>
        <v>173</v>
      </c>
      <c r="B178" s="35" t="s">
        <v>357</v>
      </c>
      <c r="C178" s="36" t="s">
        <v>358</v>
      </c>
      <c r="D178" s="35" t="s">
        <v>198</v>
      </c>
      <c r="E178" s="21">
        <v>1.32</v>
      </c>
    </row>
    <row r="179" spans="1:5" ht="30" customHeight="1" x14ac:dyDescent="0.35">
      <c r="A179"/>
      <c r="B179" s="10" t="s">
        <v>359</v>
      </c>
      <c r="C179" s="10"/>
      <c r="D179" s="11"/>
      <c r="E179" s="37"/>
    </row>
    <row r="180" spans="1:5" ht="30" customHeight="1" x14ac:dyDescent="0.35">
      <c r="A180">
        <f>A178+1</f>
        <v>174</v>
      </c>
      <c r="B180" s="32" t="s">
        <v>360</v>
      </c>
      <c r="C180" s="29" t="s">
        <v>361</v>
      </c>
      <c r="D180" s="32" t="s">
        <v>31</v>
      </c>
      <c r="E180" s="21">
        <v>9544.5</v>
      </c>
    </row>
    <row r="181" spans="1:5" ht="30" customHeight="1" x14ac:dyDescent="0.35">
      <c r="A181">
        <f t="shared" ref="A181:A244" si="3">A180+1</f>
        <v>175</v>
      </c>
      <c r="B181" s="35" t="s">
        <v>362</v>
      </c>
      <c r="C181" s="38" t="s">
        <v>363</v>
      </c>
      <c r="D181" s="35" t="s">
        <v>31</v>
      </c>
      <c r="E181" s="21">
        <v>10092.950000000001</v>
      </c>
    </row>
    <row r="182" spans="1:5" ht="30" customHeight="1" x14ac:dyDescent="0.35">
      <c r="A182">
        <f t="shared" si="3"/>
        <v>176</v>
      </c>
      <c r="B182" s="32" t="s">
        <v>364</v>
      </c>
      <c r="C182" s="39" t="s">
        <v>365</v>
      </c>
      <c r="D182" s="32" t="s">
        <v>31</v>
      </c>
      <c r="E182" s="21">
        <v>11570.33</v>
      </c>
    </row>
    <row r="183" spans="1:5" ht="30" customHeight="1" x14ac:dyDescent="0.35">
      <c r="A183">
        <f t="shared" si="3"/>
        <v>177</v>
      </c>
      <c r="B183" s="35" t="s">
        <v>366</v>
      </c>
      <c r="C183" s="38" t="s">
        <v>367</v>
      </c>
      <c r="D183" s="35" t="s">
        <v>31</v>
      </c>
      <c r="E183" s="21">
        <v>20084.990000000002</v>
      </c>
    </row>
    <row r="184" spans="1:5" ht="30" customHeight="1" x14ac:dyDescent="0.35">
      <c r="A184">
        <f t="shared" si="3"/>
        <v>178</v>
      </c>
      <c r="B184" s="32" t="s">
        <v>368</v>
      </c>
      <c r="C184" s="39" t="s">
        <v>369</v>
      </c>
      <c r="D184" s="32" t="s">
        <v>31</v>
      </c>
      <c r="E184" s="21">
        <v>9729.69</v>
      </c>
    </row>
    <row r="185" spans="1:5" ht="30" customHeight="1" x14ac:dyDescent="0.35">
      <c r="A185">
        <f t="shared" si="3"/>
        <v>179</v>
      </c>
      <c r="B185" s="35" t="s">
        <v>370</v>
      </c>
      <c r="C185" s="38" t="s">
        <v>371</v>
      </c>
      <c r="D185" s="35" t="s">
        <v>31</v>
      </c>
      <c r="E185" s="21">
        <v>11570.33</v>
      </c>
    </row>
    <row r="186" spans="1:5" ht="30" customHeight="1" x14ac:dyDescent="0.35">
      <c r="A186">
        <f t="shared" si="3"/>
        <v>180</v>
      </c>
      <c r="B186" s="32" t="s">
        <v>372</v>
      </c>
      <c r="C186" s="39" t="s">
        <v>373</v>
      </c>
      <c r="D186" s="32" t="s">
        <v>31</v>
      </c>
      <c r="E186" s="21">
        <v>19358.45</v>
      </c>
    </row>
    <row r="187" spans="1:5" ht="30" customHeight="1" x14ac:dyDescent="0.35">
      <c r="A187">
        <f t="shared" si="3"/>
        <v>181</v>
      </c>
      <c r="B187" s="35" t="s">
        <v>374</v>
      </c>
      <c r="C187" s="38" t="s">
        <v>375</v>
      </c>
      <c r="D187" s="35" t="s">
        <v>31</v>
      </c>
      <c r="E187" s="21">
        <v>7726.7699999999995</v>
      </c>
    </row>
    <row r="188" spans="1:5" ht="30" customHeight="1" x14ac:dyDescent="0.35">
      <c r="A188">
        <f t="shared" si="3"/>
        <v>182</v>
      </c>
      <c r="B188" s="32" t="s">
        <v>376</v>
      </c>
      <c r="C188" s="39" t="s">
        <v>377</v>
      </c>
      <c r="D188" s="32" t="s">
        <v>31</v>
      </c>
      <c r="E188" s="21">
        <v>10599.34</v>
      </c>
    </row>
    <row r="189" spans="1:5" ht="30" customHeight="1" x14ac:dyDescent="0.35">
      <c r="A189">
        <f t="shared" si="3"/>
        <v>183</v>
      </c>
      <c r="B189" s="35" t="s">
        <v>378</v>
      </c>
      <c r="C189" s="38" t="s">
        <v>379</v>
      </c>
      <c r="D189" s="35" t="s">
        <v>31</v>
      </c>
      <c r="E189" s="21">
        <v>11570.33</v>
      </c>
    </row>
    <row r="190" spans="1:5" ht="30" customHeight="1" x14ac:dyDescent="0.35">
      <c r="A190">
        <f t="shared" si="3"/>
        <v>184</v>
      </c>
      <c r="B190" s="32" t="s">
        <v>380</v>
      </c>
      <c r="C190" s="39" t="s">
        <v>381</v>
      </c>
      <c r="D190" s="32" t="s">
        <v>31</v>
      </c>
      <c r="E190" s="21">
        <v>16831.75</v>
      </c>
    </row>
    <row r="191" spans="1:5" ht="30" customHeight="1" x14ac:dyDescent="0.35">
      <c r="A191">
        <f t="shared" si="3"/>
        <v>185</v>
      </c>
      <c r="B191" s="35" t="s">
        <v>382</v>
      </c>
      <c r="C191" s="30" t="s">
        <v>383</v>
      </c>
      <c r="D191" s="35" t="s">
        <v>31</v>
      </c>
      <c r="E191" s="21">
        <v>7381.5599999999995</v>
      </c>
    </row>
    <row r="192" spans="1:5" ht="30" customHeight="1" x14ac:dyDescent="0.35">
      <c r="A192">
        <f t="shared" si="3"/>
        <v>186</v>
      </c>
      <c r="B192" s="32" t="s">
        <v>384</v>
      </c>
      <c r="C192" s="29" t="s">
        <v>385</v>
      </c>
      <c r="D192" s="32" t="s">
        <v>31</v>
      </c>
      <c r="E192" s="21">
        <v>10583.23</v>
      </c>
    </row>
    <row r="193" spans="1:5" ht="30" customHeight="1" x14ac:dyDescent="0.35">
      <c r="A193">
        <f t="shared" si="3"/>
        <v>187</v>
      </c>
      <c r="B193" s="35" t="s">
        <v>386</v>
      </c>
      <c r="C193" s="30" t="s">
        <v>387</v>
      </c>
      <c r="D193" s="35" t="s">
        <v>31</v>
      </c>
      <c r="E193" s="21">
        <v>10690.66</v>
      </c>
    </row>
    <row r="194" spans="1:5" ht="30" customHeight="1" x14ac:dyDescent="0.35">
      <c r="A194">
        <f t="shared" si="3"/>
        <v>188</v>
      </c>
      <c r="B194" s="32" t="s">
        <v>388</v>
      </c>
      <c r="C194" s="29" t="s">
        <v>389</v>
      </c>
      <c r="D194" s="32" t="s">
        <v>31</v>
      </c>
      <c r="E194" s="21">
        <v>16831.75</v>
      </c>
    </row>
    <row r="195" spans="1:5" ht="30" customHeight="1" x14ac:dyDescent="0.35">
      <c r="A195">
        <f t="shared" si="3"/>
        <v>189</v>
      </c>
      <c r="B195" s="35" t="s">
        <v>390</v>
      </c>
      <c r="C195" s="30" t="s">
        <v>391</v>
      </c>
      <c r="D195" s="35" t="s">
        <v>31</v>
      </c>
      <c r="E195" s="21">
        <v>7726.7699999999995</v>
      </c>
    </row>
    <row r="196" spans="1:5" ht="30" customHeight="1" x14ac:dyDescent="0.35">
      <c r="A196">
        <f t="shared" si="3"/>
        <v>190</v>
      </c>
      <c r="B196" s="32" t="s">
        <v>392</v>
      </c>
      <c r="C196" s="29" t="s">
        <v>393</v>
      </c>
      <c r="D196" s="32" t="s">
        <v>31</v>
      </c>
      <c r="E196" s="21">
        <v>10599.34</v>
      </c>
    </row>
    <row r="197" spans="1:5" ht="30" customHeight="1" x14ac:dyDescent="0.35">
      <c r="A197">
        <f t="shared" si="3"/>
        <v>191</v>
      </c>
      <c r="B197" s="35" t="s">
        <v>394</v>
      </c>
      <c r="C197" s="30" t="s">
        <v>395</v>
      </c>
      <c r="D197" s="35" t="s">
        <v>31</v>
      </c>
      <c r="E197" s="21">
        <v>11570.33</v>
      </c>
    </row>
    <row r="198" spans="1:5" ht="30" customHeight="1" x14ac:dyDescent="0.35">
      <c r="A198">
        <f t="shared" si="3"/>
        <v>192</v>
      </c>
      <c r="B198" s="32" t="s">
        <v>396</v>
      </c>
      <c r="C198" s="29" t="s">
        <v>397</v>
      </c>
      <c r="D198" s="32" t="s">
        <v>31</v>
      </c>
      <c r="E198" s="21">
        <v>16831.75</v>
      </c>
    </row>
    <row r="199" spans="1:5" ht="30" customHeight="1" x14ac:dyDescent="0.35">
      <c r="A199">
        <f t="shared" si="3"/>
        <v>193</v>
      </c>
      <c r="B199" s="35" t="s">
        <v>398</v>
      </c>
      <c r="C199" s="30" t="s">
        <v>399</v>
      </c>
      <c r="D199" s="35" t="s">
        <v>31</v>
      </c>
      <c r="E199" s="21">
        <v>18082.89</v>
      </c>
    </row>
    <row r="200" spans="1:5" ht="30" customHeight="1" x14ac:dyDescent="0.35">
      <c r="A200">
        <f t="shared" si="3"/>
        <v>194</v>
      </c>
      <c r="B200" s="32" t="s">
        <v>400</v>
      </c>
      <c r="C200" s="29" t="s">
        <v>401</v>
      </c>
      <c r="D200" s="32" t="s">
        <v>31</v>
      </c>
      <c r="E200" s="21">
        <v>31042.739999999998</v>
      </c>
    </row>
    <row r="201" spans="1:5" ht="30" customHeight="1" x14ac:dyDescent="0.35">
      <c r="A201">
        <f t="shared" si="3"/>
        <v>195</v>
      </c>
      <c r="B201" s="35" t="s">
        <v>402</v>
      </c>
      <c r="C201" s="30" t="s">
        <v>403</v>
      </c>
      <c r="D201" s="35" t="s">
        <v>31</v>
      </c>
      <c r="E201" s="21">
        <v>3344.73</v>
      </c>
    </row>
    <row r="202" spans="1:5" ht="30" customHeight="1" x14ac:dyDescent="0.35">
      <c r="A202">
        <f t="shared" si="3"/>
        <v>196</v>
      </c>
      <c r="B202" s="32" t="s">
        <v>404</v>
      </c>
      <c r="C202" s="29" t="s">
        <v>405</v>
      </c>
      <c r="D202" s="32" t="s">
        <v>31</v>
      </c>
      <c r="E202" s="21">
        <v>3448.02</v>
      </c>
    </row>
    <row r="203" spans="1:5" ht="30" customHeight="1" x14ac:dyDescent="0.35">
      <c r="A203">
        <f t="shared" si="3"/>
        <v>197</v>
      </c>
      <c r="B203" s="35" t="s">
        <v>406</v>
      </c>
      <c r="C203" s="30" t="s">
        <v>407</v>
      </c>
      <c r="D203" s="35" t="s">
        <v>31</v>
      </c>
      <c r="E203" s="21">
        <v>5764.09</v>
      </c>
    </row>
    <row r="204" spans="1:5" ht="30" customHeight="1" x14ac:dyDescent="0.35">
      <c r="A204">
        <f t="shared" si="3"/>
        <v>198</v>
      </c>
      <c r="B204" s="32" t="s">
        <v>408</v>
      </c>
      <c r="C204" s="29" t="s">
        <v>409</v>
      </c>
      <c r="D204" s="32" t="s">
        <v>31</v>
      </c>
      <c r="E204" s="21">
        <v>6649.6900000000005</v>
      </c>
    </row>
    <row r="205" spans="1:5" ht="30" customHeight="1" x14ac:dyDescent="0.35">
      <c r="A205">
        <f t="shared" si="3"/>
        <v>199</v>
      </c>
      <c r="B205" s="35" t="s">
        <v>410</v>
      </c>
      <c r="C205" s="30" t="s">
        <v>411</v>
      </c>
      <c r="D205" s="35" t="s">
        <v>31</v>
      </c>
      <c r="E205" s="21">
        <v>3979.2000000000003</v>
      </c>
    </row>
    <row r="206" spans="1:5" ht="30" customHeight="1" x14ac:dyDescent="0.35">
      <c r="A206">
        <f t="shared" si="3"/>
        <v>200</v>
      </c>
      <c r="B206" s="32" t="s">
        <v>412</v>
      </c>
      <c r="C206" s="29" t="s">
        <v>413</v>
      </c>
      <c r="D206" s="32" t="s">
        <v>31</v>
      </c>
      <c r="E206" s="21">
        <v>4193.83</v>
      </c>
    </row>
    <row r="207" spans="1:5" ht="30" customHeight="1" x14ac:dyDescent="0.35">
      <c r="A207">
        <f t="shared" si="3"/>
        <v>201</v>
      </c>
      <c r="B207" s="35" t="s">
        <v>414</v>
      </c>
      <c r="C207" s="30" t="s">
        <v>415</v>
      </c>
      <c r="D207" s="35" t="s">
        <v>31</v>
      </c>
      <c r="E207" s="21">
        <v>4849.4399999999996</v>
      </c>
    </row>
    <row r="208" spans="1:5" ht="30" customHeight="1" x14ac:dyDescent="0.35">
      <c r="A208">
        <f t="shared" si="3"/>
        <v>202</v>
      </c>
      <c r="B208" s="32" t="s">
        <v>416</v>
      </c>
      <c r="C208" s="29" t="s">
        <v>417</v>
      </c>
      <c r="D208" s="32" t="s">
        <v>31</v>
      </c>
      <c r="E208" s="21">
        <v>5459.6</v>
      </c>
    </row>
    <row r="209" spans="1:5" ht="30" customHeight="1" x14ac:dyDescent="0.35">
      <c r="A209">
        <f t="shared" si="3"/>
        <v>203</v>
      </c>
      <c r="B209" s="35" t="s">
        <v>418</v>
      </c>
      <c r="C209" s="30" t="s">
        <v>419</v>
      </c>
      <c r="D209" s="35" t="s">
        <v>31</v>
      </c>
      <c r="E209" s="21">
        <v>5939.1100000000006</v>
      </c>
    </row>
    <row r="210" spans="1:5" ht="30" customHeight="1" x14ac:dyDescent="0.35">
      <c r="A210">
        <f t="shared" si="3"/>
        <v>204</v>
      </c>
      <c r="B210" s="32" t="s">
        <v>420</v>
      </c>
      <c r="C210" s="29" t="s">
        <v>421</v>
      </c>
      <c r="D210" s="32" t="s">
        <v>31</v>
      </c>
      <c r="E210" s="21">
        <v>6550.4</v>
      </c>
    </row>
    <row r="211" spans="1:5" ht="30" customHeight="1" x14ac:dyDescent="0.35">
      <c r="A211">
        <f t="shared" si="3"/>
        <v>205</v>
      </c>
      <c r="B211" s="35" t="s">
        <v>422</v>
      </c>
      <c r="C211" s="30" t="s">
        <v>423</v>
      </c>
      <c r="D211" s="35" t="s">
        <v>31</v>
      </c>
      <c r="E211" s="21">
        <v>6859.06</v>
      </c>
    </row>
    <row r="212" spans="1:5" ht="30" customHeight="1" x14ac:dyDescent="0.35">
      <c r="A212">
        <f t="shared" si="3"/>
        <v>206</v>
      </c>
      <c r="B212" s="32" t="s">
        <v>424</v>
      </c>
      <c r="C212" s="29" t="s">
        <v>425</v>
      </c>
      <c r="D212" s="32" t="s">
        <v>31</v>
      </c>
      <c r="E212" s="21">
        <v>1396.49</v>
      </c>
    </row>
    <row r="213" spans="1:5" ht="30" customHeight="1" x14ac:dyDescent="0.35">
      <c r="A213">
        <f t="shared" si="3"/>
        <v>207</v>
      </c>
      <c r="B213" s="35" t="s">
        <v>426</v>
      </c>
      <c r="C213" s="30" t="s">
        <v>427</v>
      </c>
      <c r="D213" s="35" t="s">
        <v>31</v>
      </c>
      <c r="E213" s="21">
        <v>1488.0900000000001</v>
      </c>
    </row>
    <row r="214" spans="1:5" ht="30" customHeight="1" x14ac:dyDescent="0.35">
      <c r="A214">
        <f t="shared" si="3"/>
        <v>208</v>
      </c>
      <c r="B214" s="32" t="s">
        <v>428</v>
      </c>
      <c r="C214" s="29" t="s">
        <v>429</v>
      </c>
      <c r="D214" s="32" t="s">
        <v>31</v>
      </c>
      <c r="E214" s="21">
        <v>1762.33</v>
      </c>
    </row>
    <row r="215" spans="1:5" ht="30" customHeight="1" x14ac:dyDescent="0.35">
      <c r="A215">
        <f t="shared" si="3"/>
        <v>209</v>
      </c>
      <c r="B215" s="35" t="s">
        <v>430</v>
      </c>
      <c r="C215" s="30" t="s">
        <v>431</v>
      </c>
      <c r="D215" s="35" t="s">
        <v>31</v>
      </c>
      <c r="E215" s="21">
        <v>1956.1299999999999</v>
      </c>
    </row>
    <row r="216" spans="1:5" ht="30" customHeight="1" x14ac:dyDescent="0.35">
      <c r="A216">
        <f t="shared" si="3"/>
        <v>210</v>
      </c>
      <c r="B216" s="32" t="s">
        <v>432</v>
      </c>
      <c r="C216" s="29" t="s">
        <v>433</v>
      </c>
      <c r="D216" s="32" t="s">
        <v>31</v>
      </c>
      <c r="E216" s="21">
        <v>2118.21</v>
      </c>
    </row>
    <row r="217" spans="1:5" ht="30" customHeight="1" x14ac:dyDescent="0.35">
      <c r="A217">
        <f t="shared" si="3"/>
        <v>211</v>
      </c>
      <c r="B217" s="35" t="s">
        <v>434</v>
      </c>
      <c r="C217" s="30" t="s">
        <v>435</v>
      </c>
      <c r="D217" s="35" t="s">
        <v>31</v>
      </c>
      <c r="E217" s="21">
        <v>2277.36</v>
      </c>
    </row>
    <row r="218" spans="1:5" ht="30" customHeight="1" x14ac:dyDescent="0.35">
      <c r="A218">
        <f t="shared" si="3"/>
        <v>212</v>
      </c>
      <c r="B218" s="32" t="s">
        <v>436</v>
      </c>
      <c r="C218" s="29" t="s">
        <v>437</v>
      </c>
      <c r="D218" s="32" t="s">
        <v>31</v>
      </c>
      <c r="E218" s="21">
        <v>2403.6099999999997</v>
      </c>
    </row>
    <row r="219" spans="1:5" ht="30" customHeight="1" x14ac:dyDescent="0.35">
      <c r="A219">
        <f t="shared" si="3"/>
        <v>213</v>
      </c>
      <c r="B219" s="35" t="s">
        <v>438</v>
      </c>
      <c r="C219" s="30" t="s">
        <v>439</v>
      </c>
      <c r="D219" s="35" t="s">
        <v>31</v>
      </c>
      <c r="E219" s="21">
        <v>2311.9900000000002</v>
      </c>
    </row>
    <row r="220" spans="1:5" ht="30" customHeight="1" x14ac:dyDescent="0.35">
      <c r="A220">
        <f t="shared" si="3"/>
        <v>214</v>
      </c>
      <c r="B220" s="32" t="s">
        <v>440</v>
      </c>
      <c r="C220" s="29" t="s">
        <v>441</v>
      </c>
      <c r="D220" s="32" t="s">
        <v>31</v>
      </c>
      <c r="E220" s="21">
        <v>2425.9299999999998</v>
      </c>
    </row>
    <row r="221" spans="1:5" ht="30" customHeight="1" x14ac:dyDescent="0.35">
      <c r="A221">
        <f t="shared" si="3"/>
        <v>215</v>
      </c>
      <c r="B221" s="35" t="s">
        <v>442</v>
      </c>
      <c r="C221" s="30" t="s">
        <v>443</v>
      </c>
      <c r="D221" s="35" t="s">
        <v>31</v>
      </c>
      <c r="E221" s="21">
        <v>2837</v>
      </c>
    </row>
    <row r="222" spans="1:5" ht="30" customHeight="1" x14ac:dyDescent="0.35">
      <c r="A222">
        <f t="shared" si="3"/>
        <v>216</v>
      </c>
      <c r="B222" s="32" t="s">
        <v>444</v>
      </c>
      <c r="C222" s="29" t="s">
        <v>445</v>
      </c>
      <c r="D222" s="32" t="s">
        <v>31</v>
      </c>
      <c r="E222" s="21">
        <v>3202.85</v>
      </c>
    </row>
    <row r="223" spans="1:5" ht="30" customHeight="1" x14ac:dyDescent="0.35">
      <c r="A223">
        <f t="shared" si="3"/>
        <v>217</v>
      </c>
      <c r="B223" s="35" t="s">
        <v>446</v>
      </c>
      <c r="C223" s="30" t="s">
        <v>447</v>
      </c>
      <c r="D223" s="35" t="s">
        <v>31</v>
      </c>
      <c r="E223" s="21">
        <v>3454.2000000000003</v>
      </c>
    </row>
    <row r="224" spans="1:5" ht="30" customHeight="1" x14ac:dyDescent="0.35">
      <c r="A224">
        <f t="shared" si="3"/>
        <v>218</v>
      </c>
      <c r="B224" s="32" t="s">
        <v>448</v>
      </c>
      <c r="C224" s="29" t="s">
        <v>449</v>
      </c>
      <c r="D224" s="32" t="s">
        <v>31</v>
      </c>
      <c r="E224" s="21">
        <v>3796.56</v>
      </c>
    </row>
    <row r="225" spans="1:5" ht="30" customHeight="1" x14ac:dyDescent="0.35">
      <c r="A225">
        <f t="shared" si="3"/>
        <v>219</v>
      </c>
      <c r="B225" s="35" t="s">
        <v>450</v>
      </c>
      <c r="C225" s="30" t="s">
        <v>451</v>
      </c>
      <c r="D225" s="35" t="s">
        <v>31</v>
      </c>
      <c r="E225" s="21">
        <v>2472.3200000000002</v>
      </c>
    </row>
    <row r="226" spans="1:5" ht="30" customHeight="1" x14ac:dyDescent="0.35">
      <c r="A226">
        <f t="shared" si="3"/>
        <v>220</v>
      </c>
      <c r="B226" s="32" t="s">
        <v>452</v>
      </c>
      <c r="C226" s="29" t="s">
        <v>453</v>
      </c>
      <c r="D226" s="32" t="s">
        <v>31</v>
      </c>
      <c r="E226" s="21">
        <v>2622.06</v>
      </c>
    </row>
    <row r="227" spans="1:5" ht="30" customHeight="1" x14ac:dyDescent="0.35">
      <c r="A227">
        <f t="shared" si="3"/>
        <v>221</v>
      </c>
      <c r="B227" s="35" t="s">
        <v>454</v>
      </c>
      <c r="C227" s="30" t="s">
        <v>455</v>
      </c>
      <c r="D227" s="35" t="s">
        <v>31</v>
      </c>
      <c r="E227" s="21">
        <v>2908.06</v>
      </c>
    </row>
    <row r="228" spans="1:5" ht="30" customHeight="1" x14ac:dyDescent="0.35">
      <c r="A228">
        <f t="shared" si="3"/>
        <v>222</v>
      </c>
      <c r="B228" s="32" t="s">
        <v>456</v>
      </c>
      <c r="C228" s="29" t="s">
        <v>457</v>
      </c>
      <c r="D228" s="32" t="s">
        <v>31</v>
      </c>
      <c r="E228" s="21">
        <v>3218.13</v>
      </c>
    </row>
    <row r="229" spans="1:5" ht="30" customHeight="1" x14ac:dyDescent="0.35">
      <c r="A229">
        <f t="shared" si="3"/>
        <v>223</v>
      </c>
      <c r="B229" s="35" t="s">
        <v>458</v>
      </c>
      <c r="C229" s="30" t="s">
        <v>459</v>
      </c>
      <c r="D229" s="35" t="s">
        <v>31</v>
      </c>
      <c r="E229" s="21">
        <v>3589.25</v>
      </c>
    </row>
    <row r="230" spans="1:5" ht="30" customHeight="1" x14ac:dyDescent="0.35">
      <c r="A230">
        <f t="shared" si="3"/>
        <v>224</v>
      </c>
      <c r="B230" s="32" t="s">
        <v>460</v>
      </c>
      <c r="C230" s="29" t="s">
        <v>461</v>
      </c>
      <c r="D230" s="32" t="s">
        <v>31</v>
      </c>
      <c r="E230" s="21">
        <v>3206.38</v>
      </c>
    </row>
    <row r="231" spans="1:5" ht="30" customHeight="1" x14ac:dyDescent="0.35">
      <c r="A231">
        <f t="shared" si="3"/>
        <v>225</v>
      </c>
      <c r="B231" s="35" t="s">
        <v>462</v>
      </c>
      <c r="C231" s="30" t="s">
        <v>463</v>
      </c>
      <c r="D231" s="35" t="s">
        <v>31</v>
      </c>
      <c r="E231" s="21">
        <v>3238.09</v>
      </c>
    </row>
    <row r="232" spans="1:5" ht="30" customHeight="1" x14ac:dyDescent="0.35">
      <c r="A232">
        <f t="shared" si="3"/>
        <v>226</v>
      </c>
      <c r="B232" s="32" t="s">
        <v>464</v>
      </c>
      <c r="C232" s="29" t="s">
        <v>465</v>
      </c>
      <c r="D232" s="32" t="s">
        <v>31</v>
      </c>
      <c r="E232" s="21">
        <v>3716.12</v>
      </c>
    </row>
    <row r="233" spans="1:5" ht="30" customHeight="1" x14ac:dyDescent="0.35">
      <c r="A233">
        <f t="shared" si="3"/>
        <v>227</v>
      </c>
      <c r="B233" s="35" t="s">
        <v>466</v>
      </c>
      <c r="C233" s="30" t="s">
        <v>467</v>
      </c>
      <c r="D233" s="35" t="s">
        <v>31</v>
      </c>
      <c r="E233" s="21">
        <v>4431.38</v>
      </c>
    </row>
    <row r="234" spans="1:5" ht="30" customHeight="1" x14ac:dyDescent="0.35">
      <c r="A234">
        <f t="shared" si="3"/>
        <v>228</v>
      </c>
      <c r="B234" s="32" t="s">
        <v>468</v>
      </c>
      <c r="C234" s="29" t="s">
        <v>469</v>
      </c>
      <c r="D234" s="32" t="s">
        <v>31</v>
      </c>
      <c r="E234" s="21">
        <v>4577.6000000000004</v>
      </c>
    </row>
    <row r="235" spans="1:5" ht="30" customHeight="1" x14ac:dyDescent="0.35">
      <c r="A235">
        <f t="shared" si="3"/>
        <v>229</v>
      </c>
      <c r="B235" s="35" t="s">
        <v>470</v>
      </c>
      <c r="C235" s="30" t="s">
        <v>471</v>
      </c>
      <c r="D235" s="35" t="s">
        <v>31</v>
      </c>
      <c r="E235" s="21">
        <v>4836.59</v>
      </c>
    </row>
    <row r="236" spans="1:5" ht="30" customHeight="1" x14ac:dyDescent="0.35">
      <c r="A236">
        <f t="shared" si="3"/>
        <v>230</v>
      </c>
      <c r="B236" s="32" t="s">
        <v>472</v>
      </c>
      <c r="C236" s="29" t="s">
        <v>473</v>
      </c>
      <c r="D236" s="32" t="s">
        <v>31</v>
      </c>
      <c r="E236" s="21">
        <v>5147.24</v>
      </c>
    </row>
    <row r="237" spans="1:5" ht="30" customHeight="1" x14ac:dyDescent="0.35">
      <c r="A237">
        <f t="shared" si="3"/>
        <v>231</v>
      </c>
      <c r="B237" s="35" t="s">
        <v>474</v>
      </c>
      <c r="C237" s="30" t="s">
        <v>475</v>
      </c>
      <c r="D237" s="35" t="s">
        <v>31</v>
      </c>
      <c r="E237" s="21">
        <v>5343.38</v>
      </c>
    </row>
    <row r="238" spans="1:5" ht="30" customHeight="1" x14ac:dyDescent="0.35">
      <c r="A238">
        <f t="shared" si="3"/>
        <v>232</v>
      </c>
      <c r="B238" s="32" t="s">
        <v>476</v>
      </c>
      <c r="C238" s="29" t="s">
        <v>477</v>
      </c>
      <c r="D238" s="32" t="s">
        <v>31</v>
      </c>
      <c r="E238" s="21">
        <v>5662.26</v>
      </c>
    </row>
    <row r="239" spans="1:5" ht="30" customHeight="1" x14ac:dyDescent="0.35">
      <c r="A239">
        <f t="shared" si="3"/>
        <v>233</v>
      </c>
      <c r="B239" s="35" t="s">
        <v>478</v>
      </c>
      <c r="C239" s="30" t="s">
        <v>479</v>
      </c>
      <c r="D239" s="35" t="s">
        <v>31</v>
      </c>
      <c r="E239" s="21">
        <v>6889.5999999999995</v>
      </c>
    </row>
    <row r="240" spans="1:5" ht="30" customHeight="1" x14ac:dyDescent="0.35">
      <c r="A240">
        <f t="shared" si="3"/>
        <v>234</v>
      </c>
      <c r="B240" s="32" t="s">
        <v>480</v>
      </c>
      <c r="C240" s="29" t="s">
        <v>481</v>
      </c>
      <c r="D240" s="32" t="s">
        <v>31</v>
      </c>
      <c r="E240" s="21">
        <v>8315.4299999999985</v>
      </c>
    </row>
    <row r="241" spans="1:5" ht="30" customHeight="1" x14ac:dyDescent="0.35">
      <c r="A241">
        <f t="shared" si="3"/>
        <v>235</v>
      </c>
      <c r="B241" s="35" t="s">
        <v>482</v>
      </c>
      <c r="C241" s="30" t="s">
        <v>483</v>
      </c>
      <c r="D241" s="35" t="s">
        <v>31</v>
      </c>
      <c r="E241" s="21">
        <v>8590.85</v>
      </c>
    </row>
    <row r="242" spans="1:5" ht="30" customHeight="1" x14ac:dyDescent="0.35">
      <c r="A242">
        <f t="shared" si="3"/>
        <v>236</v>
      </c>
      <c r="B242" s="32" t="s">
        <v>484</v>
      </c>
      <c r="C242" s="29" t="s">
        <v>485</v>
      </c>
      <c r="D242" s="32" t="s">
        <v>31</v>
      </c>
      <c r="E242" s="21">
        <v>9078.8599999999988</v>
      </c>
    </row>
    <row r="243" spans="1:5" ht="30" customHeight="1" x14ac:dyDescent="0.35">
      <c r="A243">
        <f t="shared" si="3"/>
        <v>237</v>
      </c>
      <c r="B243" s="35" t="s">
        <v>486</v>
      </c>
      <c r="C243" s="30" t="s">
        <v>487</v>
      </c>
      <c r="D243" s="35" t="s">
        <v>31</v>
      </c>
      <c r="E243" s="21">
        <v>10213.43</v>
      </c>
    </row>
    <row r="244" spans="1:5" ht="30" customHeight="1" x14ac:dyDescent="0.35">
      <c r="A244">
        <f t="shared" si="3"/>
        <v>238</v>
      </c>
      <c r="B244" s="32" t="s">
        <v>488</v>
      </c>
      <c r="C244" s="29" t="s">
        <v>489</v>
      </c>
      <c r="D244" s="32" t="s">
        <v>31</v>
      </c>
      <c r="E244" s="21">
        <v>10029.039999999999</v>
      </c>
    </row>
    <row r="245" spans="1:5" ht="30" customHeight="1" x14ac:dyDescent="0.35">
      <c r="A245">
        <f t="shared" ref="A245:A308" si="4">A244+1</f>
        <v>239</v>
      </c>
      <c r="B245" s="35" t="s">
        <v>490</v>
      </c>
      <c r="C245" s="30" t="s">
        <v>491</v>
      </c>
      <c r="D245" s="35" t="s">
        <v>31</v>
      </c>
      <c r="E245" s="21">
        <v>10585.15</v>
      </c>
    </row>
    <row r="246" spans="1:5" ht="30" customHeight="1" x14ac:dyDescent="0.35">
      <c r="A246">
        <f t="shared" si="4"/>
        <v>240</v>
      </c>
      <c r="B246" s="32" t="s">
        <v>492</v>
      </c>
      <c r="C246" s="29" t="s">
        <v>493</v>
      </c>
      <c r="D246" s="32" t="s">
        <v>31</v>
      </c>
      <c r="E246" s="21">
        <v>499.79</v>
      </c>
    </row>
    <row r="247" spans="1:5" ht="30" customHeight="1" x14ac:dyDescent="0.35">
      <c r="A247">
        <f t="shared" si="4"/>
        <v>241</v>
      </c>
      <c r="B247" s="35" t="s">
        <v>494</v>
      </c>
      <c r="C247" s="30" t="s">
        <v>495</v>
      </c>
      <c r="D247" s="35" t="s">
        <v>31</v>
      </c>
      <c r="E247" s="21">
        <v>933.08</v>
      </c>
    </row>
    <row r="248" spans="1:5" ht="30" customHeight="1" x14ac:dyDescent="0.35">
      <c r="A248">
        <f t="shared" si="4"/>
        <v>242</v>
      </c>
      <c r="B248" s="32" t="s">
        <v>496</v>
      </c>
      <c r="C248" s="29" t="s">
        <v>497</v>
      </c>
      <c r="D248" s="32" t="s">
        <v>31</v>
      </c>
      <c r="E248" s="21">
        <v>621.46</v>
      </c>
    </row>
    <row r="249" spans="1:5" ht="30" customHeight="1" x14ac:dyDescent="0.35">
      <c r="A249">
        <f t="shared" si="4"/>
        <v>243</v>
      </c>
      <c r="B249" s="35" t="s">
        <v>498</v>
      </c>
      <c r="C249" s="30" t="s">
        <v>499</v>
      </c>
      <c r="D249" s="35" t="s">
        <v>31</v>
      </c>
      <c r="E249" s="21">
        <v>933.08</v>
      </c>
    </row>
    <row r="250" spans="1:5" ht="30" customHeight="1" x14ac:dyDescent="0.35">
      <c r="A250">
        <f t="shared" si="4"/>
        <v>244</v>
      </c>
      <c r="B250" s="32" t="s">
        <v>500</v>
      </c>
      <c r="C250" s="29" t="s">
        <v>501</v>
      </c>
      <c r="D250" s="32" t="s">
        <v>31</v>
      </c>
      <c r="E250" s="21">
        <v>933.08</v>
      </c>
    </row>
    <row r="251" spans="1:5" ht="30" customHeight="1" x14ac:dyDescent="0.35">
      <c r="A251">
        <f t="shared" si="4"/>
        <v>245</v>
      </c>
      <c r="B251" s="35" t="s">
        <v>502</v>
      </c>
      <c r="C251" s="36" t="s">
        <v>503</v>
      </c>
      <c r="D251" s="35" t="s">
        <v>31</v>
      </c>
      <c r="E251" s="21">
        <v>933.08</v>
      </c>
    </row>
    <row r="252" spans="1:5" ht="30" customHeight="1" x14ac:dyDescent="0.35">
      <c r="A252">
        <f t="shared" si="4"/>
        <v>246</v>
      </c>
      <c r="B252" s="32" t="s">
        <v>504</v>
      </c>
      <c r="C252" s="29" t="s">
        <v>505</v>
      </c>
      <c r="D252" s="32" t="s">
        <v>31</v>
      </c>
      <c r="E252" s="21">
        <v>933.08</v>
      </c>
    </row>
    <row r="253" spans="1:5" ht="30" customHeight="1" x14ac:dyDescent="0.35">
      <c r="A253">
        <f t="shared" si="4"/>
        <v>247</v>
      </c>
      <c r="B253" s="35" t="s">
        <v>506</v>
      </c>
      <c r="C253" s="36" t="s">
        <v>507</v>
      </c>
      <c r="D253" s="35" t="s">
        <v>31</v>
      </c>
      <c r="E253" s="21">
        <v>1239.3600000000001</v>
      </c>
    </row>
    <row r="254" spans="1:5" ht="30" customHeight="1" x14ac:dyDescent="0.35">
      <c r="A254">
        <f t="shared" si="4"/>
        <v>248</v>
      </c>
      <c r="B254" s="32" t="s">
        <v>508</v>
      </c>
      <c r="C254" s="29" t="s">
        <v>509</v>
      </c>
      <c r="D254" s="32" t="s">
        <v>31</v>
      </c>
      <c r="E254" s="21">
        <v>1239.3600000000001</v>
      </c>
    </row>
    <row r="255" spans="1:5" ht="30" customHeight="1" x14ac:dyDescent="0.35">
      <c r="A255">
        <f t="shared" si="4"/>
        <v>249</v>
      </c>
      <c r="B255" s="35" t="s">
        <v>510</v>
      </c>
      <c r="C255" s="36" t="s">
        <v>511</v>
      </c>
      <c r="D255" s="35" t="s">
        <v>31</v>
      </c>
      <c r="E255" s="21">
        <v>1541.5</v>
      </c>
    </row>
    <row r="256" spans="1:5" ht="30" customHeight="1" x14ac:dyDescent="0.35">
      <c r="A256">
        <f t="shared" si="4"/>
        <v>250</v>
      </c>
      <c r="B256" s="32" t="s">
        <v>512</v>
      </c>
      <c r="C256" s="29" t="s">
        <v>513</v>
      </c>
      <c r="D256" s="32" t="s">
        <v>31</v>
      </c>
      <c r="E256" s="21">
        <v>1541.5</v>
      </c>
    </row>
    <row r="257" spans="1:5" ht="30" customHeight="1" x14ac:dyDescent="0.35">
      <c r="A257">
        <f t="shared" si="4"/>
        <v>251</v>
      </c>
      <c r="B257" s="35" t="s">
        <v>514</v>
      </c>
      <c r="C257" s="36" t="s">
        <v>515</v>
      </c>
      <c r="D257" s="35" t="s">
        <v>31</v>
      </c>
      <c r="E257" s="21">
        <v>1847.77</v>
      </c>
    </row>
    <row r="258" spans="1:5" ht="30" customHeight="1" x14ac:dyDescent="0.35">
      <c r="A258">
        <f t="shared" si="4"/>
        <v>252</v>
      </c>
      <c r="B258" s="32" t="s">
        <v>516</v>
      </c>
      <c r="C258" s="29" t="s">
        <v>517</v>
      </c>
      <c r="D258" s="32" t="s">
        <v>31</v>
      </c>
      <c r="E258" s="21">
        <v>1847.77</v>
      </c>
    </row>
    <row r="259" spans="1:5" ht="30" customHeight="1" x14ac:dyDescent="0.35">
      <c r="A259">
        <f t="shared" si="4"/>
        <v>253</v>
      </c>
      <c r="B259" s="35" t="s">
        <v>518</v>
      </c>
      <c r="C259" s="36" t="s">
        <v>519</v>
      </c>
      <c r="D259" s="35" t="s">
        <v>31</v>
      </c>
      <c r="E259" s="21">
        <v>2463.29</v>
      </c>
    </row>
    <row r="260" spans="1:5" ht="30" customHeight="1" x14ac:dyDescent="0.35">
      <c r="A260">
        <f t="shared" si="4"/>
        <v>254</v>
      </c>
      <c r="B260" s="32" t="s">
        <v>520</v>
      </c>
      <c r="C260" s="29" t="s">
        <v>521</v>
      </c>
      <c r="D260" s="32" t="s">
        <v>31</v>
      </c>
      <c r="E260" s="21">
        <v>2463.29</v>
      </c>
    </row>
    <row r="261" spans="1:5" ht="30" customHeight="1" x14ac:dyDescent="0.35">
      <c r="A261">
        <f t="shared" si="4"/>
        <v>255</v>
      </c>
      <c r="B261" s="35" t="s">
        <v>522</v>
      </c>
      <c r="C261" s="36" t="s">
        <v>523</v>
      </c>
      <c r="D261" s="35" t="s">
        <v>31</v>
      </c>
      <c r="E261" s="21">
        <v>2463.29</v>
      </c>
    </row>
    <row r="262" spans="1:5" ht="30" customHeight="1" x14ac:dyDescent="0.35">
      <c r="A262">
        <f t="shared" si="4"/>
        <v>256</v>
      </c>
      <c r="B262" s="32" t="s">
        <v>524</v>
      </c>
      <c r="C262" s="29" t="s">
        <v>525</v>
      </c>
      <c r="D262" s="32" t="s">
        <v>31</v>
      </c>
      <c r="E262" s="21">
        <v>1847.77</v>
      </c>
    </row>
    <row r="263" spans="1:5" ht="30" customHeight="1" x14ac:dyDescent="0.35">
      <c r="A263">
        <f t="shared" si="4"/>
        <v>257</v>
      </c>
      <c r="B263" s="35" t="s">
        <v>526</v>
      </c>
      <c r="C263" s="36" t="s">
        <v>527</v>
      </c>
      <c r="D263" s="35" t="s">
        <v>31</v>
      </c>
      <c r="E263" s="21">
        <v>1847.77</v>
      </c>
    </row>
    <row r="264" spans="1:5" ht="30" customHeight="1" x14ac:dyDescent="0.35">
      <c r="A264">
        <f t="shared" si="4"/>
        <v>258</v>
      </c>
      <c r="B264" s="32" t="s">
        <v>528</v>
      </c>
      <c r="C264" s="29" t="s">
        <v>529</v>
      </c>
      <c r="D264" s="32" t="s">
        <v>31</v>
      </c>
      <c r="E264" s="21">
        <v>2155.23</v>
      </c>
    </row>
    <row r="265" spans="1:5" ht="30" customHeight="1" x14ac:dyDescent="0.35">
      <c r="A265">
        <f t="shared" si="4"/>
        <v>259</v>
      </c>
      <c r="B265" s="35" t="s">
        <v>530</v>
      </c>
      <c r="C265" s="36" t="s">
        <v>531</v>
      </c>
      <c r="D265" s="35" t="s">
        <v>31</v>
      </c>
      <c r="E265" s="21">
        <v>2155.23</v>
      </c>
    </row>
    <row r="266" spans="1:5" ht="30" customHeight="1" x14ac:dyDescent="0.35">
      <c r="A266">
        <f t="shared" si="4"/>
        <v>260</v>
      </c>
      <c r="B266" s="32" t="s">
        <v>532</v>
      </c>
      <c r="C266" s="29" t="s">
        <v>533</v>
      </c>
      <c r="D266" s="32" t="s">
        <v>31</v>
      </c>
      <c r="E266" s="21">
        <v>2771.94</v>
      </c>
    </row>
    <row r="267" spans="1:5" ht="30" customHeight="1" x14ac:dyDescent="0.35">
      <c r="A267">
        <f t="shared" si="4"/>
        <v>261</v>
      </c>
      <c r="B267" s="35" t="s">
        <v>534</v>
      </c>
      <c r="C267" s="36" t="s">
        <v>535</v>
      </c>
      <c r="D267" s="35" t="s">
        <v>31</v>
      </c>
      <c r="E267" s="21">
        <v>2771.94</v>
      </c>
    </row>
    <row r="268" spans="1:5" ht="30" customHeight="1" x14ac:dyDescent="0.35">
      <c r="A268">
        <f t="shared" si="4"/>
        <v>262</v>
      </c>
      <c r="B268" s="32" t="s">
        <v>536</v>
      </c>
      <c r="C268" s="29" t="s">
        <v>537</v>
      </c>
      <c r="D268" s="32" t="s">
        <v>31</v>
      </c>
      <c r="E268" s="21">
        <v>2771.94</v>
      </c>
    </row>
    <row r="269" spans="1:5" ht="30" customHeight="1" x14ac:dyDescent="0.35">
      <c r="A269">
        <f t="shared" si="4"/>
        <v>263</v>
      </c>
      <c r="B269" s="35" t="s">
        <v>538</v>
      </c>
      <c r="C269" s="29" t="s">
        <v>539</v>
      </c>
      <c r="D269" s="35" t="s">
        <v>31</v>
      </c>
      <c r="E269" s="21">
        <v>2483.48</v>
      </c>
    </row>
    <row r="270" spans="1:5" ht="30" customHeight="1" x14ac:dyDescent="0.35">
      <c r="A270">
        <f t="shared" si="4"/>
        <v>264</v>
      </c>
      <c r="B270" s="32" t="s">
        <v>540</v>
      </c>
      <c r="C270" s="29" t="s">
        <v>541</v>
      </c>
      <c r="D270" s="32" t="s">
        <v>31</v>
      </c>
      <c r="E270" s="21">
        <v>3266.38</v>
      </c>
    </row>
    <row r="271" spans="1:5" ht="30" customHeight="1" x14ac:dyDescent="0.35">
      <c r="A271">
        <f t="shared" si="4"/>
        <v>265</v>
      </c>
      <c r="B271" s="35" t="s">
        <v>542</v>
      </c>
      <c r="C271" s="36" t="s">
        <v>543</v>
      </c>
      <c r="D271" s="35" t="s">
        <v>31</v>
      </c>
      <c r="E271" s="21">
        <v>3919.3</v>
      </c>
    </row>
    <row r="272" spans="1:5" ht="30" customHeight="1" x14ac:dyDescent="0.35">
      <c r="A272">
        <f t="shared" si="4"/>
        <v>266</v>
      </c>
      <c r="B272" s="32" t="s">
        <v>544</v>
      </c>
      <c r="C272" s="29" t="s">
        <v>545</v>
      </c>
      <c r="D272" s="32" t="s">
        <v>31</v>
      </c>
      <c r="E272" s="21">
        <v>16389.469999999998</v>
      </c>
    </row>
    <row r="273" spans="1:5" ht="30" customHeight="1" x14ac:dyDescent="0.35">
      <c r="A273">
        <f t="shared" si="4"/>
        <v>267</v>
      </c>
      <c r="B273" s="35" t="s">
        <v>546</v>
      </c>
      <c r="C273" s="36" t="s">
        <v>547</v>
      </c>
      <c r="D273" s="35" t="s">
        <v>31</v>
      </c>
      <c r="E273" s="21">
        <v>1671.48</v>
      </c>
    </row>
    <row r="274" spans="1:5" ht="30" customHeight="1" x14ac:dyDescent="0.35">
      <c r="A274">
        <f t="shared" si="4"/>
        <v>268</v>
      </c>
      <c r="B274" s="32" t="s">
        <v>548</v>
      </c>
      <c r="C274" s="29" t="s">
        <v>549</v>
      </c>
      <c r="D274" s="32" t="s">
        <v>31</v>
      </c>
      <c r="E274" s="21">
        <v>1655.46</v>
      </c>
    </row>
    <row r="275" spans="1:5" ht="30" customHeight="1" x14ac:dyDescent="0.35">
      <c r="A275">
        <f t="shared" si="4"/>
        <v>269</v>
      </c>
      <c r="B275" s="35" t="s">
        <v>550</v>
      </c>
      <c r="C275" s="36" t="s">
        <v>551</v>
      </c>
      <c r="D275" s="35" t="s">
        <v>31</v>
      </c>
      <c r="E275" s="21">
        <v>7026.5999999999995</v>
      </c>
    </row>
    <row r="276" spans="1:5" ht="30" customHeight="1" x14ac:dyDescent="0.35">
      <c r="A276">
        <f t="shared" si="4"/>
        <v>270</v>
      </c>
      <c r="B276" s="29" t="s">
        <v>552</v>
      </c>
      <c r="C276" s="29" t="s">
        <v>553</v>
      </c>
      <c r="D276" s="29" t="s">
        <v>31</v>
      </c>
      <c r="E276" s="21">
        <v>1028.6500000000001</v>
      </c>
    </row>
    <row r="277" spans="1:5" ht="30" customHeight="1" x14ac:dyDescent="0.35">
      <c r="A277">
        <f t="shared" si="4"/>
        <v>271</v>
      </c>
      <c r="B277" s="36" t="s">
        <v>554</v>
      </c>
      <c r="C277" s="36" t="s">
        <v>555</v>
      </c>
      <c r="D277" s="36" t="s">
        <v>31</v>
      </c>
      <c r="E277" s="21">
        <v>2565.39</v>
      </c>
    </row>
    <row r="278" spans="1:5" ht="30" customHeight="1" x14ac:dyDescent="0.35">
      <c r="A278">
        <f t="shared" si="4"/>
        <v>272</v>
      </c>
      <c r="B278" s="29" t="s">
        <v>556</v>
      </c>
      <c r="C278" s="29" t="s">
        <v>557</v>
      </c>
      <c r="D278" s="29" t="s">
        <v>31</v>
      </c>
      <c r="E278" s="21">
        <v>1092.75</v>
      </c>
    </row>
    <row r="279" spans="1:5" ht="30" customHeight="1" x14ac:dyDescent="0.35">
      <c r="A279">
        <f t="shared" si="4"/>
        <v>273</v>
      </c>
      <c r="B279" s="35" t="s">
        <v>558</v>
      </c>
      <c r="C279" s="36" t="s">
        <v>559</v>
      </c>
      <c r="D279" s="35" t="s">
        <v>31</v>
      </c>
      <c r="E279" s="21">
        <v>1014.4099999999999</v>
      </c>
    </row>
    <row r="280" spans="1:5" ht="30" customHeight="1" x14ac:dyDescent="0.35">
      <c r="A280">
        <f t="shared" si="4"/>
        <v>274</v>
      </c>
      <c r="B280" s="32" t="s">
        <v>560</v>
      </c>
      <c r="C280" s="29" t="s">
        <v>561</v>
      </c>
      <c r="D280" s="32" t="s">
        <v>31</v>
      </c>
      <c r="E280" s="21">
        <v>428.56</v>
      </c>
    </row>
    <row r="281" spans="1:5" ht="30" customHeight="1" x14ac:dyDescent="0.35">
      <c r="A281">
        <f t="shared" si="4"/>
        <v>275</v>
      </c>
      <c r="B281" s="35" t="s">
        <v>562</v>
      </c>
      <c r="C281" s="36" t="s">
        <v>563</v>
      </c>
      <c r="D281" s="35" t="s">
        <v>31</v>
      </c>
      <c r="E281" s="21">
        <v>477.22999999999996</v>
      </c>
    </row>
    <row r="282" spans="1:5" ht="30" customHeight="1" x14ac:dyDescent="0.35">
      <c r="A282">
        <f t="shared" si="4"/>
        <v>276</v>
      </c>
      <c r="B282" s="32" t="s">
        <v>564</v>
      </c>
      <c r="C282" s="29" t="s">
        <v>565</v>
      </c>
      <c r="D282" s="32" t="s">
        <v>31</v>
      </c>
      <c r="E282" s="21">
        <v>531.84</v>
      </c>
    </row>
    <row r="283" spans="1:5" ht="30" customHeight="1" x14ac:dyDescent="0.35">
      <c r="A283">
        <f t="shared" si="4"/>
        <v>277</v>
      </c>
      <c r="B283" s="35" t="s">
        <v>566</v>
      </c>
      <c r="C283" s="36" t="s">
        <v>567</v>
      </c>
      <c r="D283" s="35" t="s">
        <v>31</v>
      </c>
      <c r="E283" s="21">
        <v>679.66</v>
      </c>
    </row>
    <row r="284" spans="1:5" ht="30" customHeight="1" x14ac:dyDescent="0.35">
      <c r="A284">
        <f t="shared" si="4"/>
        <v>278</v>
      </c>
      <c r="B284" s="32" t="s">
        <v>568</v>
      </c>
      <c r="C284" s="29" t="s">
        <v>569</v>
      </c>
      <c r="D284" s="32" t="s">
        <v>31</v>
      </c>
      <c r="E284" s="21">
        <v>848.81999999999994</v>
      </c>
    </row>
    <row r="285" spans="1:5" ht="30" customHeight="1" x14ac:dyDescent="0.35">
      <c r="A285">
        <f t="shared" si="4"/>
        <v>279</v>
      </c>
      <c r="B285" s="35" t="s">
        <v>570</v>
      </c>
      <c r="C285" s="36" t="s">
        <v>571</v>
      </c>
      <c r="D285" s="35" t="s">
        <v>31</v>
      </c>
      <c r="E285" s="21">
        <v>1241.75</v>
      </c>
    </row>
    <row r="286" spans="1:5" ht="30" customHeight="1" x14ac:dyDescent="0.35">
      <c r="A286">
        <f t="shared" si="4"/>
        <v>280</v>
      </c>
      <c r="B286" s="32" t="s">
        <v>572</v>
      </c>
      <c r="C286" s="29" t="s">
        <v>573</v>
      </c>
      <c r="D286" s="32" t="s">
        <v>31</v>
      </c>
      <c r="E286" s="21">
        <v>2232.7400000000002</v>
      </c>
    </row>
    <row r="287" spans="1:5" ht="30" customHeight="1" x14ac:dyDescent="0.35">
      <c r="A287">
        <f t="shared" si="4"/>
        <v>281</v>
      </c>
      <c r="B287" s="35" t="s">
        <v>574</v>
      </c>
      <c r="C287" s="36" t="s">
        <v>575</v>
      </c>
      <c r="D287" s="35" t="s">
        <v>31</v>
      </c>
      <c r="E287" s="21">
        <v>799.18000000000006</v>
      </c>
    </row>
    <row r="288" spans="1:5" ht="30" customHeight="1" x14ac:dyDescent="0.35">
      <c r="A288">
        <f t="shared" si="4"/>
        <v>282</v>
      </c>
      <c r="B288" s="32" t="s">
        <v>576</v>
      </c>
      <c r="C288" s="29" t="s">
        <v>577</v>
      </c>
      <c r="D288" s="32" t="s">
        <v>31</v>
      </c>
      <c r="E288" s="21">
        <v>872.11</v>
      </c>
    </row>
    <row r="289" spans="1:5" ht="30" customHeight="1" x14ac:dyDescent="0.35">
      <c r="A289">
        <f t="shared" si="4"/>
        <v>283</v>
      </c>
      <c r="B289" s="35" t="s">
        <v>578</v>
      </c>
      <c r="C289" s="36" t="s">
        <v>579</v>
      </c>
      <c r="D289" s="35" t="s">
        <v>31</v>
      </c>
      <c r="E289" s="21">
        <v>1348.53</v>
      </c>
    </row>
    <row r="290" spans="1:5" ht="30" customHeight="1" x14ac:dyDescent="0.35">
      <c r="A290">
        <f t="shared" si="4"/>
        <v>284</v>
      </c>
      <c r="B290" s="32" t="s">
        <v>580</v>
      </c>
      <c r="C290" s="29" t="s">
        <v>581</v>
      </c>
      <c r="D290" s="32" t="s">
        <v>31</v>
      </c>
      <c r="E290" s="21">
        <v>2047.3799999999999</v>
      </c>
    </row>
    <row r="291" spans="1:5" ht="30" customHeight="1" x14ac:dyDescent="0.35">
      <c r="A291">
        <f t="shared" si="4"/>
        <v>285</v>
      </c>
      <c r="B291" s="35" t="s">
        <v>582</v>
      </c>
      <c r="C291" s="36" t="s">
        <v>583</v>
      </c>
      <c r="D291" s="35" t="s">
        <v>31</v>
      </c>
      <c r="E291" s="21">
        <v>2528.77</v>
      </c>
    </row>
    <row r="292" spans="1:5" ht="30" customHeight="1" x14ac:dyDescent="0.35">
      <c r="A292">
        <f t="shared" si="4"/>
        <v>286</v>
      </c>
      <c r="B292" s="32" t="s">
        <v>584</v>
      </c>
      <c r="C292" s="29" t="s">
        <v>585</v>
      </c>
      <c r="D292" s="32" t="s">
        <v>31</v>
      </c>
      <c r="E292" s="21">
        <v>2877.46</v>
      </c>
    </row>
    <row r="293" spans="1:5" ht="30" customHeight="1" x14ac:dyDescent="0.35">
      <c r="A293">
        <f t="shared" si="4"/>
        <v>287</v>
      </c>
      <c r="B293" s="35" t="s">
        <v>586</v>
      </c>
      <c r="C293" s="36" t="s">
        <v>587</v>
      </c>
      <c r="D293" s="35" t="s">
        <v>31</v>
      </c>
      <c r="E293" s="21">
        <v>3440.64</v>
      </c>
    </row>
    <row r="294" spans="1:5" ht="30" customHeight="1" x14ac:dyDescent="0.35">
      <c r="A294">
        <f t="shared" si="4"/>
        <v>288</v>
      </c>
      <c r="B294" s="32" t="s">
        <v>588</v>
      </c>
      <c r="C294" s="29" t="s">
        <v>589</v>
      </c>
      <c r="D294" s="32" t="s">
        <v>31</v>
      </c>
      <c r="E294" s="21">
        <v>9008.5300000000007</v>
      </c>
    </row>
    <row r="295" spans="1:5" ht="30" customHeight="1" x14ac:dyDescent="0.35">
      <c r="A295">
        <f t="shared" si="4"/>
        <v>289</v>
      </c>
      <c r="B295" s="35" t="s">
        <v>590</v>
      </c>
      <c r="C295" s="36" t="s">
        <v>591</v>
      </c>
      <c r="D295" s="35" t="s">
        <v>31</v>
      </c>
      <c r="E295" s="21">
        <v>2283.14</v>
      </c>
    </row>
    <row r="296" spans="1:5" ht="30" customHeight="1" x14ac:dyDescent="0.35">
      <c r="A296">
        <f t="shared" si="4"/>
        <v>290</v>
      </c>
      <c r="B296" s="32" t="s">
        <v>592</v>
      </c>
      <c r="C296" s="29" t="s">
        <v>593</v>
      </c>
      <c r="D296" s="32" t="s">
        <v>31</v>
      </c>
      <c r="E296" s="21">
        <v>2656.27</v>
      </c>
    </row>
    <row r="297" spans="1:5" ht="30" customHeight="1" x14ac:dyDescent="0.35">
      <c r="A297">
        <f t="shared" si="4"/>
        <v>291</v>
      </c>
      <c r="B297" s="35" t="s">
        <v>594</v>
      </c>
      <c r="C297" s="36" t="s">
        <v>595</v>
      </c>
      <c r="D297" s="35" t="s">
        <v>31</v>
      </c>
      <c r="E297" s="21">
        <v>2793.02</v>
      </c>
    </row>
    <row r="298" spans="1:5" ht="30" customHeight="1" x14ac:dyDescent="0.35">
      <c r="A298">
        <f t="shared" si="4"/>
        <v>292</v>
      </c>
      <c r="B298" s="32" t="s">
        <v>596</v>
      </c>
      <c r="C298" s="29" t="s">
        <v>597</v>
      </c>
      <c r="D298" s="32" t="s">
        <v>31</v>
      </c>
      <c r="E298" s="21">
        <v>3423.5099999999998</v>
      </c>
    </row>
    <row r="299" spans="1:5" ht="30" customHeight="1" x14ac:dyDescent="0.35">
      <c r="A299">
        <f t="shared" si="4"/>
        <v>293</v>
      </c>
      <c r="B299" s="35" t="s">
        <v>598</v>
      </c>
      <c r="C299" s="36" t="s">
        <v>599</v>
      </c>
      <c r="D299" s="35" t="s">
        <v>31</v>
      </c>
      <c r="E299" s="21">
        <v>2283.14</v>
      </c>
    </row>
    <row r="300" spans="1:5" ht="30" customHeight="1" x14ac:dyDescent="0.35">
      <c r="A300">
        <f t="shared" si="4"/>
        <v>294</v>
      </c>
      <c r="B300" s="32" t="s">
        <v>600</v>
      </c>
      <c r="C300" s="29" t="s">
        <v>601</v>
      </c>
      <c r="D300" s="32" t="s">
        <v>31</v>
      </c>
      <c r="E300" s="21">
        <v>2656.27</v>
      </c>
    </row>
    <row r="301" spans="1:5" ht="30" customHeight="1" x14ac:dyDescent="0.35">
      <c r="A301">
        <f t="shared" si="4"/>
        <v>295</v>
      </c>
      <c r="B301" s="35" t="s">
        <v>602</v>
      </c>
      <c r="C301" s="36" t="s">
        <v>603</v>
      </c>
      <c r="D301" s="35" t="s">
        <v>31</v>
      </c>
      <c r="E301" s="21">
        <v>2793.02</v>
      </c>
    </row>
    <row r="302" spans="1:5" ht="30" customHeight="1" x14ac:dyDescent="0.35">
      <c r="A302">
        <f t="shared" si="4"/>
        <v>296</v>
      </c>
      <c r="B302" s="32" t="s">
        <v>604</v>
      </c>
      <c r="C302" s="29" t="s">
        <v>605</v>
      </c>
      <c r="D302" s="32" t="s">
        <v>31</v>
      </c>
      <c r="E302" s="21">
        <v>3423.5099999999998</v>
      </c>
    </row>
    <row r="303" spans="1:5" ht="30" customHeight="1" x14ac:dyDescent="0.35">
      <c r="A303">
        <f t="shared" si="4"/>
        <v>297</v>
      </c>
      <c r="B303" s="32" t="s">
        <v>606</v>
      </c>
      <c r="C303" s="36" t="s">
        <v>607</v>
      </c>
      <c r="D303" s="35" t="s">
        <v>31</v>
      </c>
      <c r="E303" s="21">
        <v>17470.64</v>
      </c>
    </row>
    <row r="304" spans="1:5" ht="30" customHeight="1" x14ac:dyDescent="0.35">
      <c r="A304">
        <f t="shared" si="4"/>
        <v>298</v>
      </c>
      <c r="B304" s="32" t="s">
        <v>608</v>
      </c>
      <c r="C304" s="29" t="s">
        <v>609</v>
      </c>
      <c r="D304" s="32" t="s">
        <v>31</v>
      </c>
      <c r="E304" s="21">
        <v>24475.26</v>
      </c>
    </row>
    <row r="305" spans="1:5" ht="30" customHeight="1" x14ac:dyDescent="0.35">
      <c r="A305">
        <f t="shared" si="4"/>
        <v>299</v>
      </c>
      <c r="B305" s="32" t="s">
        <v>610</v>
      </c>
      <c r="C305" s="36" t="s">
        <v>611</v>
      </c>
      <c r="D305" s="35" t="s">
        <v>31</v>
      </c>
      <c r="E305" s="21">
        <v>16856.54</v>
      </c>
    </row>
    <row r="306" spans="1:5" ht="30" customHeight="1" x14ac:dyDescent="0.35">
      <c r="A306">
        <f t="shared" si="4"/>
        <v>300</v>
      </c>
      <c r="B306" s="32" t="s">
        <v>612</v>
      </c>
      <c r="C306" s="29" t="s">
        <v>613</v>
      </c>
      <c r="D306" s="32" t="s">
        <v>31</v>
      </c>
      <c r="E306" s="21">
        <v>15331.390000000001</v>
      </c>
    </row>
    <row r="307" spans="1:5" ht="30" customHeight="1" x14ac:dyDescent="0.35">
      <c r="A307">
        <f t="shared" si="4"/>
        <v>301</v>
      </c>
      <c r="B307" s="32" t="s">
        <v>614</v>
      </c>
      <c r="C307" s="36" t="s">
        <v>615</v>
      </c>
      <c r="D307" s="35" t="s">
        <v>31</v>
      </c>
      <c r="E307" s="21">
        <v>81.45</v>
      </c>
    </row>
    <row r="308" spans="1:5" ht="30" customHeight="1" x14ac:dyDescent="0.35">
      <c r="A308">
        <f t="shared" si="4"/>
        <v>302</v>
      </c>
      <c r="B308" s="18" t="s">
        <v>616</v>
      </c>
      <c r="C308" s="29" t="s">
        <v>617</v>
      </c>
      <c r="D308" s="29" t="s">
        <v>31</v>
      </c>
      <c r="E308" s="21">
        <v>1016.01</v>
      </c>
    </row>
    <row r="309" spans="1:5" ht="30" customHeight="1" x14ac:dyDescent="0.35">
      <c r="A309">
        <f t="shared" ref="A309:A354" si="5">A308+1</f>
        <v>303</v>
      </c>
      <c r="B309" s="18" t="s">
        <v>618</v>
      </c>
      <c r="C309" s="29" t="s">
        <v>619</v>
      </c>
      <c r="D309" s="29" t="s">
        <v>31</v>
      </c>
      <c r="E309" s="21">
        <v>450.58</v>
      </c>
    </row>
    <row r="310" spans="1:5" ht="30" customHeight="1" x14ac:dyDescent="0.35">
      <c r="A310">
        <f t="shared" si="5"/>
        <v>304</v>
      </c>
      <c r="B310" s="18" t="s">
        <v>620</v>
      </c>
      <c r="C310" s="29" t="s">
        <v>621</v>
      </c>
      <c r="D310" s="29" t="s">
        <v>31</v>
      </c>
      <c r="E310" s="21">
        <v>463.83000000000004</v>
      </c>
    </row>
    <row r="311" spans="1:5" ht="30" customHeight="1" x14ac:dyDescent="0.35">
      <c r="A311">
        <f t="shared" si="5"/>
        <v>305</v>
      </c>
      <c r="B311" s="18" t="s">
        <v>622</v>
      </c>
      <c r="C311" s="29" t="s">
        <v>623</v>
      </c>
      <c r="D311" s="29" t="s">
        <v>31</v>
      </c>
      <c r="E311" s="21">
        <v>499.17</v>
      </c>
    </row>
    <row r="312" spans="1:5" ht="30" customHeight="1" x14ac:dyDescent="0.35">
      <c r="A312">
        <f t="shared" si="5"/>
        <v>306</v>
      </c>
      <c r="B312" s="18" t="s">
        <v>624</v>
      </c>
      <c r="C312" s="29" t="s">
        <v>625</v>
      </c>
      <c r="D312" s="29" t="s">
        <v>31</v>
      </c>
      <c r="E312" s="21">
        <v>3527.6800000000003</v>
      </c>
    </row>
    <row r="313" spans="1:5" ht="30" customHeight="1" x14ac:dyDescent="0.35">
      <c r="A313">
        <f t="shared" si="5"/>
        <v>307</v>
      </c>
      <c r="B313" s="18" t="s">
        <v>626</v>
      </c>
      <c r="C313" s="29" t="s">
        <v>627</v>
      </c>
      <c r="D313" s="29" t="s">
        <v>31</v>
      </c>
      <c r="E313" s="21">
        <v>3527.6800000000003</v>
      </c>
    </row>
    <row r="314" spans="1:5" ht="30" customHeight="1" x14ac:dyDescent="0.35">
      <c r="A314">
        <f t="shared" si="5"/>
        <v>308</v>
      </c>
      <c r="B314" s="18" t="s">
        <v>628</v>
      </c>
      <c r="C314" s="29" t="s">
        <v>629</v>
      </c>
      <c r="D314" s="29" t="s">
        <v>31</v>
      </c>
      <c r="E314" s="21">
        <v>12059.5</v>
      </c>
    </row>
    <row r="315" spans="1:5" ht="30" customHeight="1" x14ac:dyDescent="0.35">
      <c r="A315">
        <f t="shared" si="5"/>
        <v>309</v>
      </c>
      <c r="B315" s="18" t="s">
        <v>630</v>
      </c>
      <c r="C315" s="29" t="s">
        <v>631</v>
      </c>
      <c r="D315" s="29" t="s">
        <v>31</v>
      </c>
      <c r="E315" s="21">
        <v>12209.69</v>
      </c>
    </row>
    <row r="316" spans="1:5" ht="30" customHeight="1" x14ac:dyDescent="0.35">
      <c r="A316">
        <f t="shared" si="5"/>
        <v>310</v>
      </c>
      <c r="B316" s="18" t="s">
        <v>632</v>
      </c>
      <c r="C316" s="29" t="s">
        <v>633</v>
      </c>
      <c r="D316" s="29" t="s">
        <v>31</v>
      </c>
      <c r="E316" s="21">
        <v>22674.23</v>
      </c>
    </row>
    <row r="317" spans="1:5" ht="30" customHeight="1" x14ac:dyDescent="0.35">
      <c r="A317">
        <f t="shared" si="5"/>
        <v>311</v>
      </c>
      <c r="B317" s="18" t="s">
        <v>634</v>
      </c>
      <c r="C317" s="29" t="s">
        <v>635</v>
      </c>
      <c r="D317" s="29" t="s">
        <v>31</v>
      </c>
      <c r="E317" s="21">
        <v>9718.2800000000007</v>
      </c>
    </row>
    <row r="318" spans="1:5" ht="30" customHeight="1" x14ac:dyDescent="0.35">
      <c r="A318">
        <f t="shared" si="5"/>
        <v>312</v>
      </c>
      <c r="B318" s="18" t="s">
        <v>636</v>
      </c>
      <c r="C318" s="29" t="s">
        <v>637</v>
      </c>
      <c r="D318" s="29" t="s">
        <v>31</v>
      </c>
      <c r="E318" s="21">
        <v>10227.25</v>
      </c>
    </row>
    <row r="319" spans="1:5" ht="30" customHeight="1" x14ac:dyDescent="0.35">
      <c r="A319">
        <f t="shared" si="5"/>
        <v>313</v>
      </c>
      <c r="B319" s="18" t="s">
        <v>638</v>
      </c>
      <c r="C319" s="29" t="s">
        <v>639</v>
      </c>
      <c r="D319" s="29" t="s">
        <v>31</v>
      </c>
      <c r="E319" s="21">
        <v>19878.300000000003</v>
      </c>
    </row>
    <row r="320" spans="1:5" ht="30" customHeight="1" x14ac:dyDescent="0.35">
      <c r="A320">
        <f t="shared" si="5"/>
        <v>314</v>
      </c>
      <c r="B320" s="18" t="s">
        <v>640</v>
      </c>
      <c r="C320" s="29" t="s">
        <v>641</v>
      </c>
      <c r="D320" s="29" t="s">
        <v>31</v>
      </c>
      <c r="E320" s="21">
        <v>3361.0699999999997</v>
      </c>
    </row>
    <row r="321" spans="1:5" ht="30" customHeight="1" x14ac:dyDescent="0.35">
      <c r="A321">
        <f t="shared" si="5"/>
        <v>315</v>
      </c>
      <c r="B321" s="18" t="s">
        <v>642</v>
      </c>
      <c r="C321" s="29" t="s">
        <v>643</v>
      </c>
      <c r="D321" s="29" t="s">
        <v>31</v>
      </c>
      <c r="E321" s="21">
        <v>3169.0099999999998</v>
      </c>
    </row>
    <row r="322" spans="1:5" ht="30" customHeight="1" x14ac:dyDescent="0.35">
      <c r="A322">
        <f t="shared" si="5"/>
        <v>316</v>
      </c>
      <c r="B322" s="18" t="s">
        <v>644</v>
      </c>
      <c r="C322" s="29" t="s">
        <v>645</v>
      </c>
      <c r="D322" s="29" t="s">
        <v>31</v>
      </c>
      <c r="E322" s="21">
        <v>2546.73</v>
      </c>
    </row>
    <row r="323" spans="1:5" ht="30" customHeight="1" x14ac:dyDescent="0.35">
      <c r="A323">
        <f t="shared" si="5"/>
        <v>317</v>
      </c>
      <c r="B323" s="18" t="s">
        <v>646</v>
      </c>
      <c r="C323" s="29" t="s">
        <v>647</v>
      </c>
      <c r="D323" s="29" t="s">
        <v>31</v>
      </c>
      <c r="E323" s="21">
        <v>2641.6000000000004</v>
      </c>
    </row>
    <row r="324" spans="1:5" ht="30" customHeight="1" x14ac:dyDescent="0.35">
      <c r="A324">
        <f t="shared" si="5"/>
        <v>318</v>
      </c>
      <c r="B324" s="18" t="s">
        <v>648</v>
      </c>
      <c r="C324" s="29" t="s">
        <v>649</v>
      </c>
      <c r="D324" s="29" t="s">
        <v>31</v>
      </c>
      <c r="E324" s="21">
        <v>5233.67</v>
      </c>
    </row>
    <row r="325" spans="1:5" ht="30" customHeight="1" x14ac:dyDescent="0.35">
      <c r="A325">
        <f t="shared" si="5"/>
        <v>319</v>
      </c>
      <c r="B325" s="18" t="s">
        <v>650</v>
      </c>
      <c r="C325" s="29" t="s">
        <v>651</v>
      </c>
      <c r="D325" s="29" t="s">
        <v>31</v>
      </c>
      <c r="E325" s="21">
        <v>4657.47</v>
      </c>
    </row>
    <row r="326" spans="1:5" ht="30" customHeight="1" x14ac:dyDescent="0.35">
      <c r="A326">
        <f t="shared" si="5"/>
        <v>320</v>
      </c>
      <c r="B326" s="18" t="s">
        <v>652</v>
      </c>
      <c r="C326" s="29" t="s">
        <v>653</v>
      </c>
      <c r="D326" s="29" t="s">
        <v>31</v>
      </c>
      <c r="E326" s="21">
        <v>5955.54</v>
      </c>
    </row>
    <row r="327" spans="1:5" ht="30" customHeight="1" x14ac:dyDescent="0.35">
      <c r="A327">
        <f t="shared" si="5"/>
        <v>321</v>
      </c>
      <c r="B327" s="18" t="s">
        <v>654</v>
      </c>
      <c r="C327" s="29" t="s">
        <v>655</v>
      </c>
      <c r="D327" s="29" t="s">
        <v>31</v>
      </c>
      <c r="E327" s="21">
        <v>6167.58</v>
      </c>
    </row>
    <row r="328" spans="1:5" ht="30" customHeight="1" x14ac:dyDescent="0.35">
      <c r="A328">
        <f t="shared" si="5"/>
        <v>322</v>
      </c>
      <c r="B328" s="18" t="s">
        <v>656</v>
      </c>
      <c r="C328" s="29" t="s">
        <v>657</v>
      </c>
      <c r="D328" s="29" t="s">
        <v>31</v>
      </c>
      <c r="E328" s="21">
        <v>35295.019999999997</v>
      </c>
    </row>
    <row r="329" spans="1:5" ht="30" customHeight="1" x14ac:dyDescent="0.35">
      <c r="A329">
        <f t="shared" si="5"/>
        <v>323</v>
      </c>
      <c r="B329" s="18" t="s">
        <v>658</v>
      </c>
      <c r="C329" s="29" t="s">
        <v>659</v>
      </c>
      <c r="D329" s="29" t="s">
        <v>31</v>
      </c>
      <c r="E329" s="21">
        <v>7730.45</v>
      </c>
    </row>
    <row r="330" spans="1:5" ht="30" customHeight="1" x14ac:dyDescent="0.35">
      <c r="A330">
        <f t="shared" si="5"/>
        <v>324</v>
      </c>
      <c r="B330" s="18" t="s">
        <v>660</v>
      </c>
      <c r="C330" s="29" t="s">
        <v>661</v>
      </c>
      <c r="D330" s="29" t="s">
        <v>31</v>
      </c>
      <c r="E330" s="21">
        <v>1811.1399999999999</v>
      </c>
    </row>
    <row r="331" spans="1:5" ht="30" customHeight="1" x14ac:dyDescent="0.35">
      <c r="A331">
        <f t="shared" si="5"/>
        <v>325</v>
      </c>
      <c r="B331" s="18" t="s">
        <v>662</v>
      </c>
      <c r="C331" s="29" t="s">
        <v>663</v>
      </c>
      <c r="D331" s="29" t="s">
        <v>31</v>
      </c>
      <c r="E331" s="21">
        <v>3048.01</v>
      </c>
    </row>
    <row r="332" spans="1:5" ht="30" customHeight="1" x14ac:dyDescent="0.35">
      <c r="A332">
        <f t="shared" si="5"/>
        <v>326</v>
      </c>
      <c r="B332" s="18" t="s">
        <v>664</v>
      </c>
      <c r="C332" s="29" t="s">
        <v>665</v>
      </c>
      <c r="D332" s="29" t="s">
        <v>31</v>
      </c>
      <c r="E332" s="21">
        <v>2500.25</v>
      </c>
    </row>
    <row r="333" spans="1:5" ht="30" customHeight="1" x14ac:dyDescent="0.35">
      <c r="A333">
        <f t="shared" si="5"/>
        <v>327</v>
      </c>
      <c r="B333" s="18" t="s">
        <v>666</v>
      </c>
      <c r="C333" s="29" t="s">
        <v>667</v>
      </c>
      <c r="D333" s="29" t="s">
        <v>31</v>
      </c>
      <c r="E333" s="21">
        <v>2041.7299999999998</v>
      </c>
    </row>
    <row r="334" spans="1:5" ht="30" customHeight="1" x14ac:dyDescent="0.35">
      <c r="A334">
        <f t="shared" si="5"/>
        <v>328</v>
      </c>
      <c r="B334" s="18" t="s">
        <v>668</v>
      </c>
      <c r="C334" s="29" t="s">
        <v>669</v>
      </c>
      <c r="D334" s="29" t="s">
        <v>31</v>
      </c>
      <c r="E334" s="21">
        <v>21707.09</v>
      </c>
    </row>
    <row r="335" spans="1:5" ht="30" customHeight="1" x14ac:dyDescent="0.35">
      <c r="A335">
        <f t="shared" si="5"/>
        <v>329</v>
      </c>
      <c r="B335" s="18" t="s">
        <v>670</v>
      </c>
      <c r="C335" s="29" t="s">
        <v>671</v>
      </c>
      <c r="D335" s="29" t="s">
        <v>31</v>
      </c>
      <c r="E335" s="21">
        <v>70963.75</v>
      </c>
    </row>
    <row r="336" spans="1:5" ht="30" customHeight="1" x14ac:dyDescent="0.35">
      <c r="A336">
        <f t="shared" si="5"/>
        <v>330</v>
      </c>
      <c r="B336" s="18" t="s">
        <v>672</v>
      </c>
      <c r="C336" s="29" t="s">
        <v>673</v>
      </c>
      <c r="D336" s="29" t="s">
        <v>31</v>
      </c>
      <c r="E336" s="21">
        <v>7256.02</v>
      </c>
    </row>
    <row r="337" spans="1:5" ht="30" customHeight="1" x14ac:dyDescent="0.35">
      <c r="A337">
        <f t="shared" si="5"/>
        <v>331</v>
      </c>
      <c r="B337" s="18" t="s">
        <v>674</v>
      </c>
      <c r="C337" s="40" t="s">
        <v>675</v>
      </c>
      <c r="D337" s="29" t="s">
        <v>31</v>
      </c>
      <c r="E337" s="21">
        <v>61734.03</v>
      </c>
    </row>
    <row r="338" spans="1:5" ht="30" customHeight="1" x14ac:dyDescent="0.35">
      <c r="A338">
        <f t="shared" si="5"/>
        <v>332</v>
      </c>
      <c r="B338" s="18" t="s">
        <v>676</v>
      </c>
      <c r="C338" s="29" t="s">
        <v>677</v>
      </c>
      <c r="D338" s="29" t="s">
        <v>31</v>
      </c>
      <c r="E338" s="21">
        <v>2827.14</v>
      </c>
    </row>
    <row r="339" spans="1:5" ht="30" customHeight="1" x14ac:dyDescent="0.35">
      <c r="A339">
        <f t="shared" si="5"/>
        <v>333</v>
      </c>
      <c r="B339" s="18" t="s">
        <v>678</v>
      </c>
      <c r="C339" s="29" t="s">
        <v>679</v>
      </c>
      <c r="D339" s="29" t="s">
        <v>31</v>
      </c>
      <c r="E339" s="21">
        <v>7625.3200000000006</v>
      </c>
    </row>
    <row r="340" spans="1:5" ht="30" customHeight="1" x14ac:dyDescent="0.35">
      <c r="A340">
        <f t="shared" si="5"/>
        <v>334</v>
      </c>
      <c r="B340" s="18" t="s">
        <v>680</v>
      </c>
      <c r="C340" s="29" t="s">
        <v>681</v>
      </c>
      <c r="D340" s="29" t="s">
        <v>31</v>
      </c>
      <c r="E340" s="21">
        <v>7713.66</v>
      </c>
    </row>
    <row r="341" spans="1:5" ht="30" customHeight="1" x14ac:dyDescent="0.35">
      <c r="A341">
        <f t="shared" si="5"/>
        <v>335</v>
      </c>
      <c r="B341" s="18" t="s">
        <v>682</v>
      </c>
      <c r="C341" s="29" t="s">
        <v>683</v>
      </c>
      <c r="D341" s="29" t="s">
        <v>31</v>
      </c>
      <c r="E341" s="21">
        <v>27215.980000000003</v>
      </c>
    </row>
    <row r="342" spans="1:5" ht="30" customHeight="1" x14ac:dyDescent="0.35">
      <c r="A342">
        <f t="shared" si="5"/>
        <v>336</v>
      </c>
      <c r="B342" s="18" t="s">
        <v>684</v>
      </c>
      <c r="C342" s="40" t="s">
        <v>685</v>
      </c>
      <c r="D342" s="29" t="s">
        <v>31</v>
      </c>
      <c r="E342" s="21">
        <v>47984.43</v>
      </c>
    </row>
    <row r="343" spans="1:5" ht="30" customHeight="1" x14ac:dyDescent="0.35">
      <c r="A343">
        <f t="shared" si="5"/>
        <v>337</v>
      </c>
      <c r="B343" s="18" t="s">
        <v>686</v>
      </c>
      <c r="C343" s="29" t="s">
        <v>687</v>
      </c>
      <c r="D343" s="29" t="s">
        <v>31</v>
      </c>
      <c r="E343" s="21">
        <v>999.68000000000006</v>
      </c>
    </row>
    <row r="344" spans="1:5" ht="30" customHeight="1" x14ac:dyDescent="0.35">
      <c r="A344">
        <f t="shared" si="5"/>
        <v>338</v>
      </c>
      <c r="B344" s="18" t="s">
        <v>688</v>
      </c>
      <c r="C344" s="29" t="s">
        <v>689</v>
      </c>
      <c r="D344" s="29" t="s">
        <v>31</v>
      </c>
      <c r="E344" s="21">
        <v>2130.96</v>
      </c>
    </row>
    <row r="345" spans="1:5" ht="30" customHeight="1" x14ac:dyDescent="0.35">
      <c r="A345">
        <f t="shared" si="5"/>
        <v>339</v>
      </c>
      <c r="B345" s="18" t="s">
        <v>690</v>
      </c>
      <c r="C345" s="29" t="s">
        <v>691</v>
      </c>
      <c r="D345" s="23" t="s">
        <v>48</v>
      </c>
      <c r="E345" s="21">
        <v>960.31</v>
      </c>
    </row>
    <row r="346" spans="1:5" ht="30" customHeight="1" x14ac:dyDescent="0.35">
      <c r="A346">
        <f t="shared" si="5"/>
        <v>340</v>
      </c>
      <c r="B346" s="18" t="s">
        <v>692</v>
      </c>
      <c r="C346" s="29" t="s">
        <v>693</v>
      </c>
      <c r="D346" s="29" t="s">
        <v>31</v>
      </c>
      <c r="E346" s="21">
        <v>22466.9</v>
      </c>
    </row>
    <row r="347" spans="1:5" ht="30" customHeight="1" x14ac:dyDescent="0.35">
      <c r="A347">
        <f t="shared" si="5"/>
        <v>341</v>
      </c>
      <c r="B347" s="18" t="s">
        <v>694</v>
      </c>
      <c r="C347" s="29" t="s">
        <v>695</v>
      </c>
      <c r="D347" s="29" t="s">
        <v>31</v>
      </c>
      <c r="E347" s="21">
        <v>33969.79</v>
      </c>
    </row>
    <row r="348" spans="1:5" ht="30" customHeight="1" x14ac:dyDescent="0.35">
      <c r="A348">
        <f t="shared" si="5"/>
        <v>342</v>
      </c>
      <c r="B348" s="18" t="s">
        <v>696</v>
      </c>
      <c r="C348" s="29" t="s">
        <v>697</v>
      </c>
      <c r="D348" s="29" t="s">
        <v>31</v>
      </c>
      <c r="E348" s="21">
        <v>31663.91</v>
      </c>
    </row>
    <row r="349" spans="1:5" ht="30" customHeight="1" x14ac:dyDescent="0.35">
      <c r="A349">
        <f t="shared" si="5"/>
        <v>343</v>
      </c>
      <c r="B349" s="18" t="s">
        <v>698</v>
      </c>
      <c r="C349" s="29" t="s">
        <v>699</v>
      </c>
      <c r="D349" s="29" t="s">
        <v>31</v>
      </c>
      <c r="E349" s="21">
        <v>40162.99</v>
      </c>
    </row>
    <row r="350" spans="1:5" ht="30" customHeight="1" x14ac:dyDescent="0.35">
      <c r="A350">
        <f t="shared" si="5"/>
        <v>344</v>
      </c>
      <c r="B350" s="18" t="s">
        <v>700</v>
      </c>
      <c r="C350" s="18" t="s">
        <v>701</v>
      </c>
      <c r="D350" s="18" t="s">
        <v>31</v>
      </c>
      <c r="E350" s="21">
        <v>17987.650000000001</v>
      </c>
    </row>
    <row r="351" spans="1:5" ht="30" customHeight="1" x14ac:dyDescent="0.35">
      <c r="A351">
        <f t="shared" si="5"/>
        <v>345</v>
      </c>
      <c r="B351" s="18" t="s">
        <v>702</v>
      </c>
      <c r="C351" s="18" t="s">
        <v>703</v>
      </c>
      <c r="D351" s="18" t="s">
        <v>31</v>
      </c>
      <c r="E351" s="21">
        <v>26504.399999999998</v>
      </c>
    </row>
    <row r="352" spans="1:5" ht="30" customHeight="1" x14ac:dyDescent="0.35">
      <c r="A352">
        <f t="shared" si="5"/>
        <v>346</v>
      </c>
      <c r="B352" s="18" t="s">
        <v>704</v>
      </c>
      <c r="C352" s="18" t="s">
        <v>705</v>
      </c>
      <c r="D352" s="18" t="s">
        <v>31</v>
      </c>
      <c r="E352" s="21">
        <v>20320.04</v>
      </c>
    </row>
    <row r="353" spans="1:5" ht="30" customHeight="1" x14ac:dyDescent="0.35">
      <c r="A353">
        <f t="shared" si="5"/>
        <v>347</v>
      </c>
      <c r="B353" s="18" t="s">
        <v>706</v>
      </c>
      <c r="C353" s="18" t="s">
        <v>707</v>
      </c>
      <c r="D353" s="18" t="s">
        <v>31</v>
      </c>
      <c r="E353" s="21">
        <v>25896.560000000001</v>
      </c>
    </row>
    <row r="354" spans="1:5" ht="30" customHeight="1" x14ac:dyDescent="0.35">
      <c r="A354">
        <f t="shared" si="5"/>
        <v>348</v>
      </c>
      <c r="B354" s="18" t="s">
        <v>708</v>
      </c>
      <c r="C354" s="18" t="s">
        <v>709</v>
      </c>
      <c r="D354" s="18" t="s">
        <v>710</v>
      </c>
      <c r="E354" s="21">
        <v>3975.66</v>
      </c>
    </row>
    <row r="355" spans="1:5" ht="30" customHeight="1" x14ac:dyDescent="0.35">
      <c r="A355"/>
      <c r="B355" s="10" t="s">
        <v>711</v>
      </c>
      <c r="C355" s="10"/>
      <c r="D355" s="11"/>
      <c r="E355" s="37"/>
    </row>
    <row r="356" spans="1:5" ht="30" customHeight="1" x14ac:dyDescent="0.35">
      <c r="A356" s="12">
        <f>A354+1</f>
        <v>349</v>
      </c>
      <c r="B356" s="13" t="s">
        <v>712</v>
      </c>
      <c r="C356" s="25" t="s">
        <v>713</v>
      </c>
      <c r="D356" s="15" t="s">
        <v>8</v>
      </c>
      <c r="E356" s="16">
        <v>3.15</v>
      </c>
    </row>
    <row r="357" spans="1:5" ht="30" customHeight="1" x14ac:dyDescent="0.35">
      <c r="A357">
        <f t="shared" ref="A357:A420" si="6">A356+1</f>
        <v>350</v>
      </c>
      <c r="B357" s="18" t="s">
        <v>714</v>
      </c>
      <c r="C357" s="22" t="s">
        <v>715</v>
      </c>
      <c r="D357" s="23" t="s">
        <v>31</v>
      </c>
      <c r="E357" s="21">
        <v>2363.58</v>
      </c>
    </row>
    <row r="358" spans="1:5" ht="30" customHeight="1" x14ac:dyDescent="0.35">
      <c r="A358">
        <f t="shared" si="6"/>
        <v>351</v>
      </c>
      <c r="B358" s="18" t="s">
        <v>716</v>
      </c>
      <c r="C358" s="24" t="s">
        <v>717</v>
      </c>
      <c r="D358" s="20" t="s">
        <v>11</v>
      </c>
      <c r="E358" s="21">
        <v>125.80000000000001</v>
      </c>
    </row>
    <row r="359" spans="1:5" ht="30" customHeight="1" x14ac:dyDescent="0.35">
      <c r="A359">
        <f t="shared" si="6"/>
        <v>352</v>
      </c>
      <c r="B359" s="18" t="s">
        <v>718</v>
      </c>
      <c r="C359" s="22" t="s">
        <v>719</v>
      </c>
      <c r="D359" s="23" t="s">
        <v>720</v>
      </c>
      <c r="E359" s="21">
        <v>7.0000000000000007E-2</v>
      </c>
    </row>
    <row r="360" spans="1:5" ht="30" customHeight="1" x14ac:dyDescent="0.35">
      <c r="A360">
        <f t="shared" si="6"/>
        <v>353</v>
      </c>
      <c r="B360" s="18" t="s">
        <v>721</v>
      </c>
      <c r="C360" s="24" t="s">
        <v>722</v>
      </c>
      <c r="D360" s="20" t="s">
        <v>720</v>
      </c>
      <c r="E360" s="21">
        <v>0.15</v>
      </c>
    </row>
    <row r="361" spans="1:5" ht="30" customHeight="1" x14ac:dyDescent="0.35">
      <c r="A361">
        <f t="shared" si="6"/>
        <v>354</v>
      </c>
      <c r="B361" s="18" t="s">
        <v>723</v>
      </c>
      <c r="C361" s="22" t="s">
        <v>724</v>
      </c>
      <c r="D361" s="23" t="s">
        <v>31</v>
      </c>
      <c r="E361" s="21">
        <v>689.19</v>
      </c>
    </row>
    <row r="362" spans="1:5" ht="30" customHeight="1" x14ac:dyDescent="0.35">
      <c r="A362">
        <f t="shared" si="6"/>
        <v>355</v>
      </c>
      <c r="B362" s="18" t="s">
        <v>725</v>
      </c>
      <c r="C362" s="24" t="s">
        <v>726</v>
      </c>
      <c r="D362" s="20" t="s">
        <v>31</v>
      </c>
      <c r="E362" s="21">
        <v>44.860000000000007</v>
      </c>
    </row>
    <row r="363" spans="1:5" ht="30" customHeight="1" x14ac:dyDescent="0.35">
      <c r="A363">
        <f t="shared" si="6"/>
        <v>356</v>
      </c>
      <c r="B363" s="18" t="s">
        <v>727</v>
      </c>
      <c r="C363" s="22" t="s">
        <v>728</v>
      </c>
      <c r="D363" s="23" t="s">
        <v>31</v>
      </c>
      <c r="E363" s="21">
        <v>365.71000000000004</v>
      </c>
    </row>
    <row r="364" spans="1:5" ht="30" customHeight="1" x14ac:dyDescent="0.35">
      <c r="A364">
        <f t="shared" si="6"/>
        <v>357</v>
      </c>
      <c r="B364" s="18" t="s">
        <v>729</v>
      </c>
      <c r="C364" s="24" t="s">
        <v>730</v>
      </c>
      <c r="D364" s="20" t="s">
        <v>31</v>
      </c>
      <c r="E364" s="21">
        <v>89.7</v>
      </c>
    </row>
    <row r="365" spans="1:5" ht="30" customHeight="1" x14ac:dyDescent="0.35">
      <c r="A365">
        <f t="shared" si="6"/>
        <v>358</v>
      </c>
      <c r="B365" s="18" t="s">
        <v>731</v>
      </c>
      <c r="C365" s="22" t="s">
        <v>732</v>
      </c>
      <c r="D365" s="23" t="s">
        <v>31</v>
      </c>
      <c r="E365" s="21">
        <v>177.76999999999998</v>
      </c>
    </row>
    <row r="366" spans="1:5" ht="30" customHeight="1" x14ac:dyDescent="0.35">
      <c r="A366">
        <f t="shared" si="6"/>
        <v>359</v>
      </c>
      <c r="B366" s="18" t="s">
        <v>733</v>
      </c>
      <c r="C366" s="24" t="s">
        <v>734</v>
      </c>
      <c r="D366" s="20" t="s">
        <v>31</v>
      </c>
      <c r="E366" s="21">
        <v>99.06</v>
      </c>
    </row>
    <row r="367" spans="1:5" ht="30" customHeight="1" x14ac:dyDescent="0.35">
      <c r="A367">
        <f t="shared" si="6"/>
        <v>360</v>
      </c>
      <c r="B367" s="18" t="s">
        <v>735</v>
      </c>
      <c r="C367" s="22" t="s">
        <v>736</v>
      </c>
      <c r="D367" s="23" t="s">
        <v>31</v>
      </c>
      <c r="E367" s="21">
        <v>112.13</v>
      </c>
    </row>
    <row r="368" spans="1:5" ht="30" customHeight="1" x14ac:dyDescent="0.35">
      <c r="A368" s="12">
        <f t="shared" si="6"/>
        <v>361</v>
      </c>
      <c r="B368" s="13" t="s">
        <v>737</v>
      </c>
      <c r="C368" s="14" t="s">
        <v>738</v>
      </c>
      <c r="D368" s="15" t="s">
        <v>739</v>
      </c>
      <c r="E368" s="16">
        <v>1.19</v>
      </c>
    </row>
    <row r="369" spans="1:5" ht="30" customHeight="1" x14ac:dyDescent="0.35">
      <c r="A369">
        <f t="shared" si="6"/>
        <v>362</v>
      </c>
      <c r="B369" s="18" t="s">
        <v>740</v>
      </c>
      <c r="C369" s="22" t="s">
        <v>741</v>
      </c>
      <c r="D369" s="23" t="s">
        <v>742</v>
      </c>
      <c r="E369" s="21">
        <v>0.85</v>
      </c>
    </row>
    <row r="370" spans="1:5" ht="30" customHeight="1" x14ac:dyDescent="0.35">
      <c r="A370">
        <f t="shared" si="6"/>
        <v>363</v>
      </c>
      <c r="B370" s="18" t="s">
        <v>743</v>
      </c>
      <c r="C370" s="24" t="s">
        <v>744</v>
      </c>
      <c r="D370" s="20" t="s">
        <v>198</v>
      </c>
      <c r="E370" s="21">
        <v>0.01</v>
      </c>
    </row>
    <row r="371" spans="1:5" ht="30" customHeight="1" x14ac:dyDescent="0.35">
      <c r="A371">
        <f t="shared" si="6"/>
        <v>364</v>
      </c>
      <c r="B371" s="18" t="s">
        <v>745</v>
      </c>
      <c r="C371" s="22" t="s">
        <v>746</v>
      </c>
      <c r="D371" s="23" t="s">
        <v>31</v>
      </c>
      <c r="E371" s="21">
        <v>678.36</v>
      </c>
    </row>
    <row r="372" spans="1:5" ht="30" customHeight="1" x14ac:dyDescent="0.35">
      <c r="A372">
        <f t="shared" si="6"/>
        <v>365</v>
      </c>
      <c r="B372" s="18" t="s">
        <v>747</v>
      </c>
      <c r="C372" s="24" t="s">
        <v>748</v>
      </c>
      <c r="D372" s="23" t="s">
        <v>48</v>
      </c>
      <c r="E372" s="21">
        <v>93.28</v>
      </c>
    </row>
    <row r="373" spans="1:5" ht="30" customHeight="1" x14ac:dyDescent="0.35">
      <c r="A373">
        <f t="shared" si="6"/>
        <v>366</v>
      </c>
      <c r="B373" s="18" t="s">
        <v>749</v>
      </c>
      <c r="C373" s="22" t="s">
        <v>750</v>
      </c>
      <c r="D373" s="23" t="s">
        <v>14</v>
      </c>
      <c r="E373" s="21">
        <v>9.0000000000000011E-2</v>
      </c>
    </row>
    <row r="374" spans="1:5" ht="30" customHeight="1" x14ac:dyDescent="0.35">
      <c r="A374">
        <f t="shared" si="6"/>
        <v>367</v>
      </c>
      <c r="B374" s="18" t="s">
        <v>751</v>
      </c>
      <c r="C374" s="24" t="s">
        <v>752</v>
      </c>
      <c r="D374" s="20" t="s">
        <v>14</v>
      </c>
      <c r="E374" s="21">
        <v>9.0000000000000011E-2</v>
      </c>
    </row>
    <row r="375" spans="1:5" ht="30" customHeight="1" x14ac:dyDescent="0.35">
      <c r="A375">
        <f t="shared" si="6"/>
        <v>368</v>
      </c>
      <c r="B375" s="18" t="s">
        <v>753</v>
      </c>
      <c r="C375" s="22" t="s">
        <v>754</v>
      </c>
      <c r="D375" s="23" t="s">
        <v>31</v>
      </c>
      <c r="E375" s="21">
        <v>169.4</v>
      </c>
    </row>
    <row r="376" spans="1:5" ht="30" customHeight="1" x14ac:dyDescent="0.35">
      <c r="A376" s="12">
        <f t="shared" si="6"/>
        <v>369</v>
      </c>
      <c r="B376" s="13" t="s">
        <v>755</v>
      </c>
      <c r="C376" s="14" t="s">
        <v>756</v>
      </c>
      <c r="D376" s="15" t="s">
        <v>8</v>
      </c>
      <c r="E376" s="16">
        <v>3.15</v>
      </c>
    </row>
    <row r="377" spans="1:5" ht="30" customHeight="1" x14ac:dyDescent="0.35">
      <c r="A377" s="12">
        <f t="shared" si="6"/>
        <v>370</v>
      </c>
      <c r="B377" s="13" t="s">
        <v>757</v>
      </c>
      <c r="C377" s="25" t="s">
        <v>758</v>
      </c>
      <c r="D377" s="15" t="s">
        <v>8</v>
      </c>
      <c r="E377" s="16">
        <v>3.15</v>
      </c>
    </row>
    <row r="378" spans="1:5" ht="30" customHeight="1" x14ac:dyDescent="0.35">
      <c r="A378" s="12">
        <f t="shared" si="6"/>
        <v>371</v>
      </c>
      <c r="B378" s="13" t="s">
        <v>759</v>
      </c>
      <c r="C378" s="25" t="s">
        <v>760</v>
      </c>
      <c r="D378" s="26" t="s">
        <v>48</v>
      </c>
      <c r="E378" s="16">
        <v>437.23</v>
      </c>
    </row>
    <row r="379" spans="1:5" ht="30" customHeight="1" x14ac:dyDescent="0.35">
      <c r="A379" s="12">
        <f t="shared" si="6"/>
        <v>372</v>
      </c>
      <c r="B379" s="13" t="s">
        <v>761</v>
      </c>
      <c r="C379" s="25" t="s">
        <v>762</v>
      </c>
      <c r="D379" s="26" t="s">
        <v>48</v>
      </c>
      <c r="E379" s="16">
        <v>349.78</v>
      </c>
    </row>
    <row r="380" spans="1:5" ht="30" customHeight="1" x14ac:dyDescent="0.35">
      <c r="A380" s="12">
        <f t="shared" si="6"/>
        <v>373</v>
      </c>
      <c r="B380" s="13" t="s">
        <v>763</v>
      </c>
      <c r="C380" s="25" t="s">
        <v>764</v>
      </c>
      <c r="D380" s="26" t="s">
        <v>48</v>
      </c>
      <c r="E380" s="16">
        <v>109.31</v>
      </c>
    </row>
    <row r="381" spans="1:5" ht="30" customHeight="1" x14ac:dyDescent="0.35">
      <c r="A381" s="12">
        <f t="shared" si="6"/>
        <v>374</v>
      </c>
      <c r="B381" s="13" t="s">
        <v>765</v>
      </c>
      <c r="C381" s="25" t="s">
        <v>766</v>
      </c>
      <c r="D381" s="15" t="s">
        <v>8</v>
      </c>
      <c r="E381" s="16">
        <v>2.66</v>
      </c>
    </row>
    <row r="382" spans="1:5" ht="30" customHeight="1" x14ac:dyDescent="0.35">
      <c r="A382" s="12">
        <f t="shared" si="6"/>
        <v>375</v>
      </c>
      <c r="B382" s="28" t="s">
        <v>767</v>
      </c>
      <c r="C382" s="41" t="s">
        <v>768</v>
      </c>
      <c r="D382" s="26" t="s">
        <v>48</v>
      </c>
      <c r="E382" s="16">
        <v>591.72</v>
      </c>
    </row>
    <row r="383" spans="1:5" ht="30" customHeight="1" x14ac:dyDescent="0.35">
      <c r="A383" s="12">
        <f t="shared" si="6"/>
        <v>376</v>
      </c>
      <c r="B383" s="42" t="s">
        <v>769</v>
      </c>
      <c r="C383" s="25" t="s">
        <v>770</v>
      </c>
      <c r="D383" s="26" t="s">
        <v>48</v>
      </c>
      <c r="E383" s="16">
        <v>740.81</v>
      </c>
    </row>
    <row r="384" spans="1:5" ht="30" customHeight="1" x14ac:dyDescent="0.35">
      <c r="A384">
        <f t="shared" si="6"/>
        <v>377</v>
      </c>
      <c r="B384" s="35" t="s">
        <v>771</v>
      </c>
      <c r="C384" s="24" t="s">
        <v>772</v>
      </c>
      <c r="D384" s="20" t="s">
        <v>31</v>
      </c>
      <c r="E384" s="21">
        <v>3111.3900000000003</v>
      </c>
    </row>
    <row r="385" spans="1:5" ht="30" customHeight="1" x14ac:dyDescent="0.35">
      <c r="A385">
        <f t="shared" si="6"/>
        <v>378</v>
      </c>
      <c r="B385" s="32" t="s">
        <v>773</v>
      </c>
      <c r="C385" s="22" t="s">
        <v>774</v>
      </c>
      <c r="D385" s="23" t="s">
        <v>11</v>
      </c>
      <c r="E385" s="21">
        <v>180.64</v>
      </c>
    </row>
    <row r="386" spans="1:5" ht="30" customHeight="1" x14ac:dyDescent="0.35">
      <c r="A386" s="12">
        <f t="shared" si="6"/>
        <v>379</v>
      </c>
      <c r="B386" s="13" t="s">
        <v>775</v>
      </c>
      <c r="C386" s="14" t="s">
        <v>776</v>
      </c>
      <c r="D386" s="15" t="s">
        <v>8</v>
      </c>
      <c r="E386" s="16">
        <v>3.15</v>
      </c>
    </row>
    <row r="387" spans="1:5" ht="30" customHeight="1" x14ac:dyDescent="0.35">
      <c r="A387">
        <f t="shared" si="6"/>
        <v>380</v>
      </c>
      <c r="B387" s="18" t="s">
        <v>777</v>
      </c>
      <c r="C387" s="22" t="s">
        <v>778</v>
      </c>
      <c r="D387" s="23" t="s">
        <v>11</v>
      </c>
      <c r="E387" s="21">
        <v>47.3</v>
      </c>
    </row>
    <row r="388" spans="1:5" ht="30" customHeight="1" x14ac:dyDescent="0.35">
      <c r="A388">
        <f t="shared" si="6"/>
        <v>381</v>
      </c>
      <c r="B388" s="18" t="s">
        <v>779</v>
      </c>
      <c r="C388" s="24" t="s">
        <v>719</v>
      </c>
      <c r="D388" s="20" t="s">
        <v>720</v>
      </c>
      <c r="E388" s="21">
        <v>7.0000000000000007E-2</v>
      </c>
    </row>
    <row r="389" spans="1:5" ht="30" customHeight="1" x14ac:dyDescent="0.35">
      <c r="A389">
        <f t="shared" si="6"/>
        <v>382</v>
      </c>
      <c r="B389" s="18" t="s">
        <v>780</v>
      </c>
      <c r="C389" s="22" t="s">
        <v>722</v>
      </c>
      <c r="D389" s="23" t="s">
        <v>720</v>
      </c>
      <c r="E389" s="21">
        <v>0.15</v>
      </c>
    </row>
    <row r="390" spans="1:5" ht="30" customHeight="1" x14ac:dyDescent="0.35">
      <c r="A390">
        <f t="shared" si="6"/>
        <v>383</v>
      </c>
      <c r="B390" s="18" t="s">
        <v>781</v>
      </c>
      <c r="C390" s="24" t="s">
        <v>782</v>
      </c>
      <c r="D390" s="20" t="s">
        <v>31</v>
      </c>
      <c r="E390" s="21">
        <v>984.62</v>
      </c>
    </row>
    <row r="391" spans="1:5" ht="30" customHeight="1" x14ac:dyDescent="0.35">
      <c r="A391">
        <f t="shared" si="6"/>
        <v>384</v>
      </c>
      <c r="B391" s="18" t="s">
        <v>783</v>
      </c>
      <c r="C391" s="22" t="s">
        <v>784</v>
      </c>
      <c r="D391" s="23" t="s">
        <v>31</v>
      </c>
      <c r="E391" s="21">
        <v>984.62</v>
      </c>
    </row>
    <row r="392" spans="1:5" ht="30" customHeight="1" x14ac:dyDescent="0.35">
      <c r="A392">
        <f t="shared" si="6"/>
        <v>385</v>
      </c>
      <c r="B392" s="18" t="s">
        <v>785</v>
      </c>
      <c r="C392" s="24" t="s">
        <v>786</v>
      </c>
      <c r="D392" s="20" t="s">
        <v>31</v>
      </c>
      <c r="E392" s="21">
        <v>44.860000000000007</v>
      </c>
    </row>
    <row r="393" spans="1:5" ht="30" customHeight="1" x14ac:dyDescent="0.35">
      <c r="A393">
        <f t="shared" si="6"/>
        <v>386</v>
      </c>
      <c r="B393" s="18" t="s">
        <v>787</v>
      </c>
      <c r="C393" s="22" t="s">
        <v>788</v>
      </c>
      <c r="D393" s="23" t="s">
        <v>31</v>
      </c>
      <c r="E393" s="21">
        <v>283.54000000000002</v>
      </c>
    </row>
    <row r="394" spans="1:5" ht="30" customHeight="1" x14ac:dyDescent="0.35">
      <c r="A394">
        <f t="shared" si="6"/>
        <v>387</v>
      </c>
      <c r="B394" s="18" t="s">
        <v>789</v>
      </c>
      <c r="C394" s="24" t="s">
        <v>741</v>
      </c>
      <c r="D394" s="20" t="s">
        <v>742</v>
      </c>
      <c r="E394" s="21">
        <v>0.85</v>
      </c>
    </row>
    <row r="395" spans="1:5" ht="30" customHeight="1" x14ac:dyDescent="0.35">
      <c r="A395">
        <f t="shared" si="6"/>
        <v>388</v>
      </c>
      <c r="B395" s="18" t="s">
        <v>790</v>
      </c>
      <c r="C395" s="22" t="s">
        <v>744</v>
      </c>
      <c r="D395" s="23" t="s">
        <v>198</v>
      </c>
      <c r="E395" s="21">
        <v>0.02</v>
      </c>
    </row>
    <row r="396" spans="1:5" ht="30" customHeight="1" x14ac:dyDescent="0.35">
      <c r="A396">
        <f t="shared" si="6"/>
        <v>389</v>
      </c>
      <c r="B396" s="18" t="s">
        <v>791</v>
      </c>
      <c r="C396" s="24" t="s">
        <v>792</v>
      </c>
      <c r="D396" s="20" t="s">
        <v>31</v>
      </c>
      <c r="E396" s="21">
        <v>299.31</v>
      </c>
    </row>
    <row r="397" spans="1:5" ht="30" customHeight="1" x14ac:dyDescent="0.35">
      <c r="A397">
        <f t="shared" si="6"/>
        <v>390</v>
      </c>
      <c r="B397" s="18" t="s">
        <v>793</v>
      </c>
      <c r="C397" s="22" t="s">
        <v>794</v>
      </c>
      <c r="D397" s="23" t="s">
        <v>14</v>
      </c>
      <c r="E397" s="21">
        <v>9.0000000000000011E-2</v>
      </c>
    </row>
    <row r="398" spans="1:5" ht="30" customHeight="1" x14ac:dyDescent="0.35">
      <c r="A398" s="12">
        <f t="shared" si="6"/>
        <v>391</v>
      </c>
      <c r="B398" s="13" t="s">
        <v>795</v>
      </c>
      <c r="C398" s="14" t="s">
        <v>738</v>
      </c>
      <c r="D398" s="15" t="s">
        <v>739</v>
      </c>
      <c r="E398" s="16">
        <v>1.1399999999999999</v>
      </c>
    </row>
    <row r="399" spans="1:5" ht="30" customHeight="1" x14ac:dyDescent="0.35">
      <c r="A399">
        <f t="shared" si="6"/>
        <v>392</v>
      </c>
      <c r="B399" s="18" t="s">
        <v>796</v>
      </c>
      <c r="C399" s="22" t="s">
        <v>797</v>
      </c>
      <c r="D399" s="23" t="s">
        <v>14</v>
      </c>
      <c r="E399" s="21">
        <v>9.0000000000000011E-2</v>
      </c>
    </row>
    <row r="400" spans="1:5" ht="30" customHeight="1" x14ac:dyDescent="0.35">
      <c r="A400">
        <f t="shared" si="6"/>
        <v>393</v>
      </c>
      <c r="B400" s="18" t="s">
        <v>798</v>
      </c>
      <c r="C400" s="24" t="s">
        <v>754</v>
      </c>
      <c r="D400" s="20" t="s">
        <v>31</v>
      </c>
      <c r="E400" s="21">
        <v>169.4</v>
      </c>
    </row>
    <row r="401" spans="1:5" ht="30" customHeight="1" x14ac:dyDescent="0.35">
      <c r="A401">
        <f t="shared" si="6"/>
        <v>394</v>
      </c>
      <c r="B401" s="18" t="s">
        <v>799</v>
      </c>
      <c r="C401" s="22" t="s">
        <v>730</v>
      </c>
      <c r="D401" s="23" t="s">
        <v>31</v>
      </c>
      <c r="E401" s="21">
        <v>89.7</v>
      </c>
    </row>
    <row r="402" spans="1:5" ht="30" customHeight="1" x14ac:dyDescent="0.35">
      <c r="A402" s="12">
        <f t="shared" si="6"/>
        <v>395</v>
      </c>
      <c r="B402" s="13" t="s">
        <v>800</v>
      </c>
      <c r="C402" s="25" t="s">
        <v>801</v>
      </c>
      <c r="D402" s="15" t="s">
        <v>8</v>
      </c>
      <c r="E402" s="16">
        <v>3.15</v>
      </c>
    </row>
    <row r="403" spans="1:5" ht="30" customHeight="1" x14ac:dyDescent="0.35">
      <c r="A403" s="12">
        <f t="shared" si="6"/>
        <v>396</v>
      </c>
      <c r="B403" s="13" t="s">
        <v>802</v>
      </c>
      <c r="C403" s="25" t="s">
        <v>803</v>
      </c>
      <c r="D403" s="26" t="s">
        <v>48</v>
      </c>
      <c r="E403" s="16">
        <v>437.23</v>
      </c>
    </row>
    <row r="404" spans="1:5" ht="30" customHeight="1" x14ac:dyDescent="0.35">
      <c r="A404" s="12">
        <f t="shared" si="6"/>
        <v>397</v>
      </c>
      <c r="B404" s="13" t="s">
        <v>804</v>
      </c>
      <c r="C404" s="25" t="s">
        <v>805</v>
      </c>
      <c r="D404" s="26" t="s">
        <v>48</v>
      </c>
      <c r="E404" s="16">
        <v>349.78</v>
      </c>
    </row>
    <row r="405" spans="1:5" ht="30" customHeight="1" x14ac:dyDescent="0.35">
      <c r="A405" s="12">
        <f t="shared" si="6"/>
        <v>398</v>
      </c>
      <c r="B405" s="13" t="s">
        <v>806</v>
      </c>
      <c r="C405" s="25" t="s">
        <v>807</v>
      </c>
      <c r="D405" s="15" t="s">
        <v>8</v>
      </c>
      <c r="E405" s="16">
        <v>2.66</v>
      </c>
    </row>
    <row r="406" spans="1:5" ht="30" customHeight="1" x14ac:dyDescent="0.35">
      <c r="A406">
        <f t="shared" si="6"/>
        <v>399</v>
      </c>
      <c r="B406" s="18" t="s">
        <v>808</v>
      </c>
      <c r="C406" s="22" t="s">
        <v>809</v>
      </c>
      <c r="D406" s="23" t="s">
        <v>48</v>
      </c>
      <c r="E406" s="21">
        <v>1506.81</v>
      </c>
    </row>
    <row r="407" spans="1:5" ht="30" customHeight="1" x14ac:dyDescent="0.35">
      <c r="A407" s="12">
        <f t="shared" si="6"/>
        <v>400</v>
      </c>
      <c r="B407" s="13" t="s">
        <v>810</v>
      </c>
      <c r="C407" s="25" t="s">
        <v>811</v>
      </c>
      <c r="D407" s="26" t="s">
        <v>48</v>
      </c>
      <c r="E407" s="16">
        <v>109.31</v>
      </c>
    </row>
    <row r="408" spans="1:5" ht="30" customHeight="1" x14ac:dyDescent="0.35">
      <c r="A408" s="12">
        <f t="shared" si="6"/>
        <v>401</v>
      </c>
      <c r="B408" s="28" t="s">
        <v>812</v>
      </c>
      <c r="C408" s="41" t="s">
        <v>813</v>
      </c>
      <c r="D408" s="26" t="s">
        <v>48</v>
      </c>
      <c r="E408" s="16">
        <v>658.39</v>
      </c>
    </row>
    <row r="409" spans="1:5" ht="30" customHeight="1" x14ac:dyDescent="0.35">
      <c r="A409">
        <f t="shared" si="6"/>
        <v>402</v>
      </c>
      <c r="B409" s="32" t="s">
        <v>814</v>
      </c>
      <c r="C409" s="22" t="s">
        <v>815</v>
      </c>
      <c r="D409" s="23" t="s">
        <v>31</v>
      </c>
      <c r="E409" s="21">
        <v>2145.3399999999997</v>
      </c>
    </row>
    <row r="410" spans="1:5" ht="30" customHeight="1" x14ac:dyDescent="0.35">
      <c r="A410">
        <f t="shared" si="6"/>
        <v>403</v>
      </c>
      <c r="B410" s="35" t="s">
        <v>816</v>
      </c>
      <c r="C410" s="24" t="s">
        <v>817</v>
      </c>
      <c r="D410" s="20" t="s">
        <v>11</v>
      </c>
      <c r="E410" s="21">
        <v>126.86999999999999</v>
      </c>
    </row>
    <row r="411" spans="1:5" ht="30" customHeight="1" x14ac:dyDescent="0.35">
      <c r="A411">
        <f t="shared" si="6"/>
        <v>404</v>
      </c>
      <c r="B411" s="32" t="s">
        <v>818</v>
      </c>
      <c r="C411" s="29" t="s">
        <v>819</v>
      </c>
      <c r="D411" s="32" t="s">
        <v>14</v>
      </c>
      <c r="E411" s="21">
        <v>17.579999999999998</v>
      </c>
    </row>
    <row r="412" spans="1:5" ht="30" customHeight="1" x14ac:dyDescent="0.35">
      <c r="A412">
        <f t="shared" si="6"/>
        <v>405</v>
      </c>
      <c r="B412" s="35" t="s">
        <v>820</v>
      </c>
      <c r="C412" s="36" t="s">
        <v>821</v>
      </c>
      <c r="D412" s="35" t="s">
        <v>198</v>
      </c>
      <c r="E412" s="21">
        <v>8.82</v>
      </c>
    </row>
    <row r="413" spans="1:5" ht="30" customHeight="1" x14ac:dyDescent="0.35">
      <c r="A413">
        <f t="shared" si="6"/>
        <v>406</v>
      </c>
      <c r="B413" s="32" t="s">
        <v>822</v>
      </c>
      <c r="C413" s="29" t="s">
        <v>823</v>
      </c>
      <c r="D413" s="32" t="s">
        <v>14</v>
      </c>
      <c r="E413" s="21">
        <v>19.599999999999998</v>
      </c>
    </row>
    <row r="414" spans="1:5" ht="30" customHeight="1" x14ac:dyDescent="0.35">
      <c r="A414">
        <f t="shared" si="6"/>
        <v>407</v>
      </c>
      <c r="B414" s="35" t="s">
        <v>824</v>
      </c>
      <c r="C414" s="36" t="s">
        <v>825</v>
      </c>
      <c r="D414" s="35" t="s">
        <v>14</v>
      </c>
      <c r="E414" s="21">
        <v>16.86</v>
      </c>
    </row>
    <row r="415" spans="1:5" ht="30" customHeight="1" x14ac:dyDescent="0.35">
      <c r="A415">
        <f t="shared" si="6"/>
        <v>408</v>
      </c>
      <c r="B415" s="32" t="s">
        <v>826</v>
      </c>
      <c r="C415" s="29" t="s">
        <v>827</v>
      </c>
      <c r="D415" s="32" t="s">
        <v>198</v>
      </c>
      <c r="E415" s="21">
        <v>25.09</v>
      </c>
    </row>
    <row r="416" spans="1:5" ht="30" customHeight="1" x14ac:dyDescent="0.35">
      <c r="A416">
        <f t="shared" si="6"/>
        <v>409</v>
      </c>
      <c r="B416" s="35" t="s">
        <v>828</v>
      </c>
      <c r="C416" s="36" t="s">
        <v>829</v>
      </c>
      <c r="D416" s="35" t="s">
        <v>198</v>
      </c>
      <c r="E416" s="21">
        <v>12.69</v>
      </c>
    </row>
    <row r="417" spans="1:5" ht="30" customHeight="1" x14ac:dyDescent="0.35">
      <c r="A417">
        <f t="shared" si="6"/>
        <v>410</v>
      </c>
      <c r="B417" s="32" t="s">
        <v>830</v>
      </c>
      <c r="C417" s="29" t="s">
        <v>831</v>
      </c>
      <c r="D417" s="32" t="s">
        <v>14</v>
      </c>
      <c r="E417" s="21">
        <v>38.96</v>
      </c>
    </row>
    <row r="418" spans="1:5" ht="30" customHeight="1" x14ac:dyDescent="0.35">
      <c r="A418">
        <f t="shared" si="6"/>
        <v>411</v>
      </c>
      <c r="B418" s="35" t="s">
        <v>832</v>
      </c>
      <c r="C418" s="36" t="s">
        <v>833</v>
      </c>
      <c r="D418" s="35" t="s">
        <v>198</v>
      </c>
      <c r="E418" s="21">
        <v>34.479999999999997</v>
      </c>
    </row>
    <row r="419" spans="1:5" ht="30" customHeight="1" x14ac:dyDescent="0.35">
      <c r="A419">
        <f t="shared" si="6"/>
        <v>412</v>
      </c>
      <c r="B419" s="32" t="s">
        <v>834</v>
      </c>
      <c r="C419" s="29" t="s">
        <v>835</v>
      </c>
      <c r="D419" s="32" t="s">
        <v>198</v>
      </c>
      <c r="E419" s="21">
        <v>23.63</v>
      </c>
    </row>
    <row r="420" spans="1:5" ht="30" customHeight="1" x14ac:dyDescent="0.35">
      <c r="A420">
        <f t="shared" si="6"/>
        <v>413</v>
      </c>
      <c r="B420" s="35" t="s">
        <v>836</v>
      </c>
      <c r="C420" s="36" t="s">
        <v>837</v>
      </c>
      <c r="D420" s="35" t="s">
        <v>198</v>
      </c>
      <c r="E420" s="21">
        <v>37.08</v>
      </c>
    </row>
    <row r="421" spans="1:5" ht="30" customHeight="1" x14ac:dyDescent="0.35">
      <c r="A421">
        <f t="shared" ref="A421:A484" si="7">A420+1</f>
        <v>414</v>
      </c>
      <c r="B421" s="32" t="s">
        <v>838</v>
      </c>
      <c r="C421" s="29" t="s">
        <v>839</v>
      </c>
      <c r="D421" s="32" t="s">
        <v>198</v>
      </c>
      <c r="E421" s="21">
        <v>29.669999999999998</v>
      </c>
    </row>
    <row r="422" spans="1:5" ht="30" customHeight="1" x14ac:dyDescent="0.35">
      <c r="A422">
        <f t="shared" si="7"/>
        <v>415</v>
      </c>
      <c r="B422" s="35" t="s">
        <v>840</v>
      </c>
      <c r="C422" s="36" t="s">
        <v>841</v>
      </c>
      <c r="D422" s="35" t="s">
        <v>198</v>
      </c>
      <c r="E422" s="21">
        <v>6.67</v>
      </c>
    </row>
    <row r="423" spans="1:5" ht="30" customHeight="1" x14ac:dyDescent="0.35">
      <c r="A423">
        <f t="shared" si="7"/>
        <v>416</v>
      </c>
      <c r="B423" s="32" t="s">
        <v>842</v>
      </c>
      <c r="C423" s="29" t="s">
        <v>843</v>
      </c>
      <c r="D423" s="32" t="s">
        <v>14</v>
      </c>
      <c r="E423" s="21">
        <v>44.620000000000005</v>
      </c>
    </row>
    <row r="424" spans="1:5" ht="30" customHeight="1" x14ac:dyDescent="0.35">
      <c r="A424">
        <f t="shared" si="7"/>
        <v>417</v>
      </c>
      <c r="B424" s="35" t="s">
        <v>844</v>
      </c>
      <c r="C424" s="36" t="s">
        <v>845</v>
      </c>
      <c r="D424" s="35" t="s">
        <v>198</v>
      </c>
      <c r="E424" s="21">
        <v>7.21</v>
      </c>
    </row>
    <row r="425" spans="1:5" ht="30" customHeight="1" x14ac:dyDescent="0.35">
      <c r="A425">
        <f t="shared" si="7"/>
        <v>418</v>
      </c>
      <c r="B425" s="32" t="s">
        <v>846</v>
      </c>
      <c r="C425" s="29" t="s">
        <v>847</v>
      </c>
      <c r="D425" s="32" t="s">
        <v>14</v>
      </c>
      <c r="E425" s="21">
        <v>10.14</v>
      </c>
    </row>
    <row r="426" spans="1:5" ht="30" customHeight="1" x14ac:dyDescent="0.35">
      <c r="A426">
        <f t="shared" si="7"/>
        <v>419</v>
      </c>
      <c r="B426" s="35" t="s">
        <v>848</v>
      </c>
      <c r="C426" s="36" t="s">
        <v>849</v>
      </c>
      <c r="D426" s="35" t="s">
        <v>14</v>
      </c>
      <c r="E426" s="21">
        <v>20.819999999999997</v>
      </c>
    </row>
    <row r="427" spans="1:5" ht="30" customHeight="1" x14ac:dyDescent="0.35">
      <c r="A427">
        <f t="shared" si="7"/>
        <v>420</v>
      </c>
      <c r="B427" s="32" t="s">
        <v>850</v>
      </c>
      <c r="C427" s="29" t="s">
        <v>851</v>
      </c>
      <c r="D427" s="32" t="s">
        <v>198</v>
      </c>
      <c r="E427" s="21">
        <v>6.35</v>
      </c>
    </row>
    <row r="428" spans="1:5" ht="30" customHeight="1" x14ac:dyDescent="0.35">
      <c r="A428">
        <f t="shared" si="7"/>
        <v>421</v>
      </c>
      <c r="B428" s="35" t="s">
        <v>852</v>
      </c>
      <c r="C428" s="36" t="s">
        <v>853</v>
      </c>
      <c r="D428" s="35" t="s">
        <v>198</v>
      </c>
      <c r="E428" s="21">
        <v>6.92</v>
      </c>
    </row>
    <row r="429" spans="1:5" ht="30" customHeight="1" x14ac:dyDescent="0.35">
      <c r="A429">
        <f t="shared" si="7"/>
        <v>422</v>
      </c>
      <c r="B429" s="32" t="s">
        <v>854</v>
      </c>
      <c r="C429" s="29" t="s">
        <v>855</v>
      </c>
      <c r="D429" s="32" t="s">
        <v>198</v>
      </c>
      <c r="E429" s="21">
        <v>11.59</v>
      </c>
    </row>
    <row r="430" spans="1:5" ht="30" customHeight="1" x14ac:dyDescent="0.35">
      <c r="A430">
        <f t="shared" si="7"/>
        <v>423</v>
      </c>
      <c r="B430" s="35" t="s">
        <v>856</v>
      </c>
      <c r="C430" s="36" t="s">
        <v>857</v>
      </c>
      <c r="D430" s="35" t="s">
        <v>14</v>
      </c>
      <c r="E430" s="21">
        <v>13.72</v>
      </c>
    </row>
    <row r="431" spans="1:5" ht="30" customHeight="1" x14ac:dyDescent="0.35">
      <c r="A431">
        <f t="shared" si="7"/>
        <v>424</v>
      </c>
      <c r="B431" s="32" t="s">
        <v>858</v>
      </c>
      <c r="C431" s="29" t="s">
        <v>859</v>
      </c>
      <c r="D431" s="32" t="s">
        <v>14</v>
      </c>
      <c r="E431" s="21">
        <v>22.919999999999998</v>
      </c>
    </row>
    <row r="432" spans="1:5" ht="30" customHeight="1" x14ac:dyDescent="0.35">
      <c r="A432">
        <f t="shared" si="7"/>
        <v>425</v>
      </c>
      <c r="B432" s="35" t="s">
        <v>860</v>
      </c>
      <c r="C432" s="36" t="s">
        <v>861</v>
      </c>
      <c r="D432" s="35" t="s">
        <v>198</v>
      </c>
      <c r="E432" s="21">
        <v>0.33</v>
      </c>
    </row>
    <row r="433" spans="1:5" ht="30" customHeight="1" x14ac:dyDescent="0.35">
      <c r="A433">
        <f t="shared" si="7"/>
        <v>426</v>
      </c>
      <c r="B433" s="32" t="s">
        <v>862</v>
      </c>
      <c r="C433" s="29" t="s">
        <v>863</v>
      </c>
      <c r="D433" s="32" t="s">
        <v>864</v>
      </c>
      <c r="E433" s="21">
        <v>30.75</v>
      </c>
    </row>
    <row r="434" spans="1:5" ht="30" customHeight="1" x14ac:dyDescent="0.35">
      <c r="A434">
        <f t="shared" si="7"/>
        <v>427</v>
      </c>
      <c r="B434" s="35" t="s">
        <v>865</v>
      </c>
      <c r="C434" s="36" t="s">
        <v>866</v>
      </c>
      <c r="D434" s="35" t="s">
        <v>864</v>
      </c>
      <c r="E434" s="21">
        <v>42.6</v>
      </c>
    </row>
    <row r="435" spans="1:5" ht="30" customHeight="1" x14ac:dyDescent="0.35">
      <c r="A435">
        <f t="shared" si="7"/>
        <v>428</v>
      </c>
      <c r="B435" s="32" t="s">
        <v>867</v>
      </c>
      <c r="C435" s="29" t="s">
        <v>868</v>
      </c>
      <c r="D435" s="32" t="s">
        <v>869</v>
      </c>
      <c r="E435" s="21">
        <v>16.290000000000003</v>
      </c>
    </row>
    <row r="436" spans="1:5" ht="30" customHeight="1" x14ac:dyDescent="0.35">
      <c r="A436">
        <f t="shared" si="7"/>
        <v>429</v>
      </c>
      <c r="B436" s="35" t="s">
        <v>870</v>
      </c>
      <c r="C436" s="36" t="s">
        <v>871</v>
      </c>
      <c r="D436" s="35" t="s">
        <v>869</v>
      </c>
      <c r="E436" s="21">
        <v>29.39</v>
      </c>
    </row>
    <row r="437" spans="1:5" ht="30" customHeight="1" x14ac:dyDescent="0.35">
      <c r="A437">
        <f t="shared" si="7"/>
        <v>430</v>
      </c>
      <c r="B437" s="32" t="s">
        <v>872</v>
      </c>
      <c r="C437" s="29" t="s">
        <v>873</v>
      </c>
      <c r="D437" s="32" t="s">
        <v>198</v>
      </c>
      <c r="E437" s="21">
        <v>2.96</v>
      </c>
    </row>
    <row r="438" spans="1:5" ht="30" customHeight="1" x14ac:dyDescent="0.35">
      <c r="A438">
        <f t="shared" si="7"/>
        <v>431</v>
      </c>
      <c r="B438" s="32" t="s">
        <v>874</v>
      </c>
      <c r="C438" s="36" t="s">
        <v>875</v>
      </c>
      <c r="D438" s="35" t="s">
        <v>31</v>
      </c>
      <c r="E438" s="21">
        <v>1349.1200000000001</v>
      </c>
    </row>
    <row r="439" spans="1:5" ht="30" customHeight="1" x14ac:dyDescent="0.35">
      <c r="A439">
        <f t="shared" si="7"/>
        <v>432</v>
      </c>
      <c r="B439" s="32" t="s">
        <v>876</v>
      </c>
      <c r="C439" s="29" t="s">
        <v>877</v>
      </c>
      <c r="D439" s="32" t="s">
        <v>31</v>
      </c>
      <c r="E439" s="21">
        <v>1885.34</v>
      </c>
    </row>
    <row r="440" spans="1:5" ht="30" customHeight="1" x14ac:dyDescent="0.35">
      <c r="A440">
        <f t="shared" si="7"/>
        <v>433</v>
      </c>
      <c r="B440" s="32" t="s">
        <v>878</v>
      </c>
      <c r="C440" s="36" t="s">
        <v>879</v>
      </c>
      <c r="D440" s="35" t="s">
        <v>31</v>
      </c>
      <c r="E440" s="21">
        <v>2694.6600000000003</v>
      </c>
    </row>
    <row r="441" spans="1:5" ht="30" customHeight="1" x14ac:dyDescent="0.35">
      <c r="A441">
        <f t="shared" si="7"/>
        <v>434</v>
      </c>
      <c r="B441" s="32" t="s">
        <v>880</v>
      </c>
      <c r="C441" s="29" t="s">
        <v>881</v>
      </c>
      <c r="D441" s="32" t="s">
        <v>31</v>
      </c>
      <c r="E441" s="21">
        <v>1349.1200000000001</v>
      </c>
    </row>
    <row r="442" spans="1:5" ht="30" customHeight="1" x14ac:dyDescent="0.35">
      <c r="A442">
        <f t="shared" si="7"/>
        <v>435</v>
      </c>
      <c r="B442" s="32" t="s">
        <v>882</v>
      </c>
      <c r="C442" s="36" t="s">
        <v>883</v>
      </c>
      <c r="D442" s="35" t="s">
        <v>31</v>
      </c>
      <c r="E442" s="21">
        <v>1801.43</v>
      </c>
    </row>
    <row r="443" spans="1:5" ht="30" customHeight="1" x14ac:dyDescent="0.35">
      <c r="A443">
        <f t="shared" si="7"/>
        <v>436</v>
      </c>
      <c r="B443" s="32" t="s">
        <v>884</v>
      </c>
      <c r="C443" s="29" t="s">
        <v>885</v>
      </c>
      <c r="D443" s="32" t="s">
        <v>31</v>
      </c>
      <c r="E443" s="21">
        <v>2694.6600000000003</v>
      </c>
    </row>
    <row r="444" spans="1:5" ht="30" customHeight="1" x14ac:dyDescent="0.35">
      <c r="A444">
        <f t="shared" si="7"/>
        <v>437</v>
      </c>
      <c r="B444" s="32" t="s">
        <v>886</v>
      </c>
      <c r="C444" s="36" t="s">
        <v>887</v>
      </c>
      <c r="D444" s="35" t="s">
        <v>31</v>
      </c>
      <c r="E444" s="21">
        <v>1349.1200000000001</v>
      </c>
    </row>
    <row r="445" spans="1:5" ht="30" customHeight="1" x14ac:dyDescent="0.35">
      <c r="A445">
        <f t="shared" si="7"/>
        <v>438</v>
      </c>
      <c r="B445" s="32" t="s">
        <v>888</v>
      </c>
      <c r="C445" s="29" t="s">
        <v>889</v>
      </c>
      <c r="D445" s="32" t="s">
        <v>31</v>
      </c>
      <c r="E445" s="21">
        <v>1801.43</v>
      </c>
    </row>
    <row r="446" spans="1:5" ht="30" customHeight="1" x14ac:dyDescent="0.35">
      <c r="A446">
        <f t="shared" si="7"/>
        <v>439</v>
      </c>
      <c r="B446" s="32" t="s">
        <v>890</v>
      </c>
      <c r="C446" s="36" t="s">
        <v>891</v>
      </c>
      <c r="D446" s="35" t="s">
        <v>31</v>
      </c>
      <c r="E446" s="21">
        <v>2694.6600000000003</v>
      </c>
    </row>
    <row r="447" spans="1:5" ht="30" customHeight="1" x14ac:dyDescent="0.35">
      <c r="A447">
        <f t="shared" si="7"/>
        <v>440</v>
      </c>
      <c r="B447" s="32" t="s">
        <v>892</v>
      </c>
      <c r="C447" s="29" t="s">
        <v>893</v>
      </c>
      <c r="D447" s="32" t="s">
        <v>31</v>
      </c>
      <c r="E447" s="21">
        <v>1349.1200000000001</v>
      </c>
    </row>
    <row r="448" spans="1:5" ht="30" customHeight="1" x14ac:dyDescent="0.35">
      <c r="A448">
        <f t="shared" si="7"/>
        <v>441</v>
      </c>
      <c r="B448" s="32" t="s">
        <v>894</v>
      </c>
      <c r="C448" s="36" t="s">
        <v>895</v>
      </c>
      <c r="D448" s="35" t="s">
        <v>31</v>
      </c>
      <c r="E448" s="21">
        <v>1801.43</v>
      </c>
    </row>
    <row r="449" spans="1:5" ht="30" customHeight="1" x14ac:dyDescent="0.35">
      <c r="A449">
        <f t="shared" si="7"/>
        <v>442</v>
      </c>
      <c r="B449" s="32" t="s">
        <v>896</v>
      </c>
      <c r="C449" s="29" t="s">
        <v>897</v>
      </c>
      <c r="D449" s="32" t="s">
        <v>31</v>
      </c>
      <c r="E449" s="21">
        <v>2694.6600000000003</v>
      </c>
    </row>
    <row r="450" spans="1:5" ht="30" customHeight="1" x14ac:dyDescent="0.35">
      <c r="A450">
        <f t="shared" si="7"/>
        <v>443</v>
      </c>
      <c r="B450" s="35" t="s">
        <v>898</v>
      </c>
      <c r="C450" s="36" t="s">
        <v>899</v>
      </c>
      <c r="D450" s="35" t="s">
        <v>198</v>
      </c>
      <c r="E450" s="21">
        <v>0.28999999999999998</v>
      </c>
    </row>
    <row r="451" spans="1:5" ht="30" customHeight="1" x14ac:dyDescent="0.35">
      <c r="A451">
        <f t="shared" si="7"/>
        <v>444</v>
      </c>
      <c r="B451" s="32" t="s">
        <v>900</v>
      </c>
      <c r="C451" s="29" t="s">
        <v>901</v>
      </c>
      <c r="D451" s="32" t="s">
        <v>198</v>
      </c>
      <c r="E451" s="21">
        <v>0.36</v>
      </c>
    </row>
    <row r="452" spans="1:5" ht="30" customHeight="1" x14ac:dyDescent="0.35">
      <c r="A452">
        <f t="shared" si="7"/>
        <v>445</v>
      </c>
      <c r="B452" s="35" t="s">
        <v>902</v>
      </c>
      <c r="C452" s="36" t="s">
        <v>903</v>
      </c>
      <c r="D452" s="35" t="s">
        <v>14</v>
      </c>
      <c r="E452" s="21">
        <v>54.63</v>
      </c>
    </row>
    <row r="453" spans="1:5" ht="30" customHeight="1" x14ac:dyDescent="0.35">
      <c r="A453">
        <f t="shared" si="7"/>
        <v>446</v>
      </c>
      <c r="B453" s="32" t="s">
        <v>904</v>
      </c>
      <c r="C453" s="29" t="s">
        <v>905</v>
      </c>
      <c r="D453" s="32" t="s">
        <v>14</v>
      </c>
      <c r="E453" s="21">
        <v>1.88</v>
      </c>
    </row>
    <row r="454" spans="1:5" ht="30" customHeight="1" x14ac:dyDescent="0.35">
      <c r="A454">
        <f t="shared" si="7"/>
        <v>447</v>
      </c>
      <c r="B454" s="35" t="s">
        <v>906</v>
      </c>
      <c r="C454" s="36" t="s">
        <v>907</v>
      </c>
      <c r="D454" s="35" t="s">
        <v>908</v>
      </c>
      <c r="E454" s="21">
        <v>175.95</v>
      </c>
    </row>
    <row r="455" spans="1:5" ht="30" customHeight="1" x14ac:dyDescent="0.35">
      <c r="A455">
        <f t="shared" si="7"/>
        <v>448</v>
      </c>
      <c r="B455" s="32" t="s">
        <v>909</v>
      </c>
      <c r="C455" s="29" t="s">
        <v>910</v>
      </c>
      <c r="D455" s="32" t="s">
        <v>908</v>
      </c>
      <c r="E455" s="21">
        <v>256.58</v>
      </c>
    </row>
    <row r="456" spans="1:5" ht="30" customHeight="1" x14ac:dyDescent="0.35">
      <c r="A456">
        <f t="shared" si="7"/>
        <v>449</v>
      </c>
      <c r="B456" s="35" t="s">
        <v>911</v>
      </c>
      <c r="C456" s="36" t="s">
        <v>912</v>
      </c>
      <c r="D456" s="35" t="s">
        <v>908</v>
      </c>
      <c r="E456" s="21">
        <v>624.75</v>
      </c>
    </row>
    <row r="457" spans="1:5" ht="30" customHeight="1" x14ac:dyDescent="0.35">
      <c r="A457">
        <f t="shared" si="7"/>
        <v>450</v>
      </c>
      <c r="B457" s="32" t="s">
        <v>913</v>
      </c>
      <c r="C457" s="29" t="s">
        <v>914</v>
      </c>
      <c r="D457" s="32" t="s">
        <v>908</v>
      </c>
      <c r="E457" s="21">
        <v>101.28999999999999</v>
      </c>
    </row>
    <row r="458" spans="1:5" ht="30" customHeight="1" x14ac:dyDescent="0.35">
      <c r="A458">
        <f t="shared" si="7"/>
        <v>451</v>
      </c>
      <c r="B458" s="35" t="s">
        <v>915</v>
      </c>
      <c r="C458" s="36" t="s">
        <v>916</v>
      </c>
      <c r="D458" s="35" t="s">
        <v>198</v>
      </c>
      <c r="E458" s="21">
        <v>39.07</v>
      </c>
    </row>
    <row r="459" spans="1:5" ht="30" customHeight="1" x14ac:dyDescent="0.35">
      <c r="A459">
        <f t="shared" si="7"/>
        <v>452</v>
      </c>
      <c r="B459" s="32" t="s">
        <v>917</v>
      </c>
      <c r="C459" s="29" t="s">
        <v>918</v>
      </c>
      <c r="D459" s="32" t="s">
        <v>198</v>
      </c>
      <c r="E459" s="21">
        <v>22.45</v>
      </c>
    </row>
    <row r="460" spans="1:5" ht="30" customHeight="1" x14ac:dyDescent="0.35">
      <c r="A460">
        <f t="shared" si="7"/>
        <v>453</v>
      </c>
      <c r="B460" s="35" t="s">
        <v>919</v>
      </c>
      <c r="C460" s="36" t="s">
        <v>920</v>
      </c>
      <c r="D460" s="35" t="s">
        <v>198</v>
      </c>
      <c r="E460" s="21">
        <v>26.09</v>
      </c>
    </row>
    <row r="461" spans="1:5" ht="30" customHeight="1" x14ac:dyDescent="0.35">
      <c r="A461">
        <f t="shared" si="7"/>
        <v>454</v>
      </c>
      <c r="B461" s="32" t="s">
        <v>921</v>
      </c>
      <c r="C461" s="29" t="s">
        <v>922</v>
      </c>
      <c r="D461" s="32" t="s">
        <v>198</v>
      </c>
      <c r="E461" s="21">
        <v>26.7</v>
      </c>
    </row>
    <row r="462" spans="1:5" ht="30" customHeight="1" x14ac:dyDescent="0.35">
      <c r="A462">
        <f t="shared" si="7"/>
        <v>455</v>
      </c>
      <c r="B462" s="35" t="s">
        <v>923</v>
      </c>
      <c r="C462" s="36" t="s">
        <v>924</v>
      </c>
      <c r="D462" s="35" t="s">
        <v>198</v>
      </c>
      <c r="E462" s="21">
        <v>29.12</v>
      </c>
    </row>
    <row r="463" spans="1:5" ht="30" customHeight="1" x14ac:dyDescent="0.35">
      <c r="A463">
        <f t="shared" si="7"/>
        <v>456</v>
      </c>
      <c r="B463" s="32" t="s">
        <v>925</v>
      </c>
      <c r="C463" s="29" t="s">
        <v>926</v>
      </c>
      <c r="D463" s="32" t="s">
        <v>198</v>
      </c>
      <c r="E463" s="21">
        <v>1.22</v>
      </c>
    </row>
    <row r="464" spans="1:5" ht="30" customHeight="1" x14ac:dyDescent="0.35">
      <c r="A464">
        <f t="shared" si="7"/>
        <v>457</v>
      </c>
      <c r="B464" s="35" t="s">
        <v>927</v>
      </c>
      <c r="C464" s="36" t="s">
        <v>928</v>
      </c>
      <c r="D464" s="35" t="s">
        <v>198</v>
      </c>
      <c r="E464" s="21">
        <v>2.4300000000000002</v>
      </c>
    </row>
    <row r="465" spans="1:5" ht="30" customHeight="1" x14ac:dyDescent="0.35">
      <c r="A465">
        <f t="shared" si="7"/>
        <v>458</v>
      </c>
      <c r="B465" s="32" t="s">
        <v>929</v>
      </c>
      <c r="C465" s="29" t="s">
        <v>930</v>
      </c>
      <c r="D465" s="32" t="s">
        <v>198</v>
      </c>
      <c r="E465" s="21">
        <v>4.43</v>
      </c>
    </row>
    <row r="466" spans="1:5" ht="30" customHeight="1" x14ac:dyDescent="0.35">
      <c r="A466">
        <f t="shared" si="7"/>
        <v>459</v>
      </c>
      <c r="B466" s="35" t="s">
        <v>931</v>
      </c>
      <c r="C466" s="36" t="s">
        <v>932</v>
      </c>
      <c r="D466" s="35" t="s">
        <v>933</v>
      </c>
      <c r="E466" s="21">
        <v>124.94999999999999</v>
      </c>
    </row>
    <row r="467" spans="1:5" ht="30" customHeight="1" x14ac:dyDescent="0.35">
      <c r="A467">
        <f t="shared" si="7"/>
        <v>460</v>
      </c>
      <c r="B467" s="43" t="s">
        <v>934</v>
      </c>
      <c r="C467" s="44" t="s">
        <v>935</v>
      </c>
      <c r="D467" s="43" t="s">
        <v>933</v>
      </c>
      <c r="E467" s="21">
        <v>21.11</v>
      </c>
    </row>
    <row r="468" spans="1:5" ht="30" customHeight="1" x14ac:dyDescent="0.35">
      <c r="A468">
        <f t="shared" si="7"/>
        <v>461</v>
      </c>
      <c r="B468" s="32" t="s">
        <v>936</v>
      </c>
      <c r="C468" s="29" t="s">
        <v>937</v>
      </c>
      <c r="D468" s="32" t="s">
        <v>198</v>
      </c>
      <c r="E468" s="21">
        <v>27.31</v>
      </c>
    </row>
    <row r="469" spans="1:5" ht="30" customHeight="1" x14ac:dyDescent="0.35">
      <c r="A469">
        <f t="shared" si="7"/>
        <v>462</v>
      </c>
      <c r="B469" s="35" t="s">
        <v>938</v>
      </c>
      <c r="C469" s="36" t="s">
        <v>939</v>
      </c>
      <c r="D469" s="35" t="s">
        <v>198</v>
      </c>
      <c r="E469" s="21">
        <v>33.97</v>
      </c>
    </row>
    <row r="470" spans="1:5" ht="30" customHeight="1" x14ac:dyDescent="0.35">
      <c r="A470">
        <f t="shared" si="7"/>
        <v>463</v>
      </c>
      <c r="B470" s="32" t="s">
        <v>940</v>
      </c>
      <c r="C470" s="29" t="s">
        <v>941</v>
      </c>
      <c r="D470" s="32" t="s">
        <v>14</v>
      </c>
      <c r="E470" s="21">
        <v>7.6599999999999993</v>
      </c>
    </row>
    <row r="471" spans="1:5" ht="30" customHeight="1" x14ac:dyDescent="0.35">
      <c r="A471">
        <f t="shared" si="7"/>
        <v>464</v>
      </c>
      <c r="B471" s="35" t="s">
        <v>942</v>
      </c>
      <c r="C471" s="36" t="s">
        <v>943</v>
      </c>
      <c r="D471" s="35" t="s">
        <v>198</v>
      </c>
      <c r="E471" s="21">
        <v>13.950000000000001</v>
      </c>
    </row>
    <row r="472" spans="1:5" ht="30" customHeight="1" x14ac:dyDescent="0.35">
      <c r="A472">
        <f t="shared" si="7"/>
        <v>465</v>
      </c>
      <c r="B472" s="32" t="s">
        <v>944</v>
      </c>
      <c r="C472" s="29" t="s">
        <v>945</v>
      </c>
      <c r="D472" s="32" t="s">
        <v>198</v>
      </c>
      <c r="E472" s="21">
        <v>44.690000000000005</v>
      </c>
    </row>
    <row r="473" spans="1:5" ht="30" customHeight="1" x14ac:dyDescent="0.35">
      <c r="A473">
        <f t="shared" si="7"/>
        <v>466</v>
      </c>
      <c r="B473" s="35" t="s">
        <v>946</v>
      </c>
      <c r="C473" s="36" t="s">
        <v>947</v>
      </c>
      <c r="D473" s="35" t="s">
        <v>198</v>
      </c>
      <c r="E473" s="21">
        <v>30.34</v>
      </c>
    </row>
    <row r="474" spans="1:5" ht="30" customHeight="1" x14ac:dyDescent="0.35">
      <c r="A474">
        <f t="shared" si="7"/>
        <v>467</v>
      </c>
      <c r="B474" s="32" t="s">
        <v>948</v>
      </c>
      <c r="C474" s="29" t="s">
        <v>949</v>
      </c>
      <c r="D474" s="32" t="s">
        <v>198</v>
      </c>
      <c r="E474" s="21">
        <v>2.0499999999999998</v>
      </c>
    </row>
    <row r="475" spans="1:5" ht="30" customHeight="1" x14ac:dyDescent="0.35">
      <c r="A475">
        <f t="shared" si="7"/>
        <v>468</v>
      </c>
      <c r="B475" s="35" t="s">
        <v>950</v>
      </c>
      <c r="C475" s="36" t="s">
        <v>951</v>
      </c>
      <c r="D475" s="35" t="s">
        <v>14</v>
      </c>
      <c r="E475" s="21">
        <v>165.2</v>
      </c>
    </row>
    <row r="476" spans="1:5" ht="30" customHeight="1" x14ac:dyDescent="0.35">
      <c r="A476">
        <f t="shared" si="7"/>
        <v>469</v>
      </c>
      <c r="B476" s="32" t="s">
        <v>952</v>
      </c>
      <c r="C476" s="29" t="s">
        <v>953</v>
      </c>
      <c r="D476" s="32" t="s">
        <v>14</v>
      </c>
      <c r="E476" s="21">
        <v>10.639999999999999</v>
      </c>
    </row>
    <row r="477" spans="1:5" ht="30" customHeight="1" x14ac:dyDescent="0.35">
      <c r="A477">
        <f t="shared" si="7"/>
        <v>470</v>
      </c>
      <c r="B477" s="35" t="s">
        <v>954</v>
      </c>
      <c r="C477" s="36" t="s">
        <v>955</v>
      </c>
      <c r="D477" s="35" t="s">
        <v>14</v>
      </c>
      <c r="E477" s="21">
        <v>8.52</v>
      </c>
    </row>
    <row r="478" spans="1:5" ht="30" customHeight="1" x14ac:dyDescent="0.35">
      <c r="A478">
        <f t="shared" si="7"/>
        <v>471</v>
      </c>
      <c r="B478" s="32" t="s">
        <v>956</v>
      </c>
      <c r="C478" s="29" t="s">
        <v>957</v>
      </c>
      <c r="D478" s="32" t="s">
        <v>14</v>
      </c>
      <c r="E478" s="21">
        <v>9.99</v>
      </c>
    </row>
    <row r="479" spans="1:5" ht="30" customHeight="1" x14ac:dyDescent="0.35">
      <c r="A479">
        <f t="shared" si="7"/>
        <v>472</v>
      </c>
      <c r="B479" s="35" t="s">
        <v>958</v>
      </c>
      <c r="C479" s="36" t="s">
        <v>959</v>
      </c>
      <c r="D479" s="35" t="s">
        <v>14</v>
      </c>
      <c r="E479" s="21">
        <v>11.66</v>
      </c>
    </row>
    <row r="480" spans="1:5" ht="30" customHeight="1" x14ac:dyDescent="0.35">
      <c r="A480">
        <f t="shared" si="7"/>
        <v>473</v>
      </c>
      <c r="B480" s="32" t="s">
        <v>960</v>
      </c>
      <c r="C480" s="29" t="s">
        <v>961</v>
      </c>
      <c r="D480" s="32" t="s">
        <v>198</v>
      </c>
      <c r="E480" s="21">
        <v>105.02</v>
      </c>
    </row>
    <row r="481" spans="1:5" ht="30" customHeight="1" x14ac:dyDescent="0.35">
      <c r="A481">
        <f t="shared" si="7"/>
        <v>474</v>
      </c>
      <c r="B481" s="35" t="s">
        <v>962</v>
      </c>
      <c r="C481" s="36" t="s">
        <v>963</v>
      </c>
      <c r="D481" s="35" t="s">
        <v>198</v>
      </c>
      <c r="E481" s="21">
        <v>94.52</v>
      </c>
    </row>
    <row r="482" spans="1:5" ht="30" customHeight="1" x14ac:dyDescent="0.35">
      <c r="A482">
        <f t="shared" si="7"/>
        <v>475</v>
      </c>
      <c r="B482" s="32" t="s">
        <v>964</v>
      </c>
      <c r="C482" s="29" t="s">
        <v>965</v>
      </c>
      <c r="D482" s="32" t="s">
        <v>198</v>
      </c>
      <c r="E482" s="21">
        <v>123.9</v>
      </c>
    </row>
    <row r="483" spans="1:5" ht="30" customHeight="1" x14ac:dyDescent="0.35">
      <c r="A483">
        <f t="shared" si="7"/>
        <v>476</v>
      </c>
      <c r="B483" s="35" t="s">
        <v>966</v>
      </c>
      <c r="C483" s="36" t="s">
        <v>967</v>
      </c>
      <c r="D483" s="35" t="s">
        <v>198</v>
      </c>
      <c r="E483" s="21">
        <v>123.9</v>
      </c>
    </row>
    <row r="484" spans="1:5" ht="30" customHeight="1" x14ac:dyDescent="0.35">
      <c r="A484">
        <f t="shared" si="7"/>
        <v>477</v>
      </c>
      <c r="B484" s="32" t="s">
        <v>968</v>
      </c>
      <c r="C484" s="29" t="s">
        <v>969</v>
      </c>
      <c r="D484" s="32" t="s">
        <v>14</v>
      </c>
      <c r="E484" s="21">
        <v>4.29</v>
      </c>
    </row>
    <row r="485" spans="1:5" ht="30" customHeight="1" x14ac:dyDescent="0.35">
      <c r="A485">
        <f t="shared" ref="A485:A507" si="8">A484+1</f>
        <v>478</v>
      </c>
      <c r="B485" s="35" t="s">
        <v>970</v>
      </c>
      <c r="C485" s="36" t="s">
        <v>971</v>
      </c>
      <c r="D485" s="35" t="s">
        <v>198</v>
      </c>
      <c r="E485" s="21">
        <v>1.54</v>
      </c>
    </row>
    <row r="486" spans="1:5" ht="30" customHeight="1" x14ac:dyDescent="0.35">
      <c r="A486">
        <f t="shared" si="8"/>
        <v>479</v>
      </c>
      <c r="B486" s="32" t="s">
        <v>972</v>
      </c>
      <c r="C486" s="29" t="s">
        <v>973</v>
      </c>
      <c r="D486" s="32" t="s">
        <v>14</v>
      </c>
      <c r="E486" s="21">
        <v>1.1499999999999999</v>
      </c>
    </row>
    <row r="487" spans="1:5" ht="30" customHeight="1" x14ac:dyDescent="0.35">
      <c r="A487">
        <f t="shared" si="8"/>
        <v>480</v>
      </c>
      <c r="B487" s="35" t="s">
        <v>974</v>
      </c>
      <c r="C487" s="36" t="s">
        <v>975</v>
      </c>
      <c r="D487" s="35" t="s">
        <v>14</v>
      </c>
      <c r="E487" s="21">
        <v>18.27</v>
      </c>
    </row>
    <row r="488" spans="1:5" ht="30" customHeight="1" x14ac:dyDescent="0.35">
      <c r="A488">
        <f t="shared" si="8"/>
        <v>481</v>
      </c>
      <c r="B488" s="32" t="s">
        <v>976</v>
      </c>
      <c r="C488" s="29" t="s">
        <v>977</v>
      </c>
      <c r="D488" s="32" t="s">
        <v>198</v>
      </c>
      <c r="E488" s="21">
        <v>0.16999999999999998</v>
      </c>
    </row>
    <row r="489" spans="1:5" ht="30" customHeight="1" x14ac:dyDescent="0.35">
      <c r="A489">
        <f t="shared" si="8"/>
        <v>482</v>
      </c>
      <c r="B489" s="32" t="s">
        <v>978</v>
      </c>
      <c r="C489" s="29" t="s">
        <v>979</v>
      </c>
      <c r="D489" s="32" t="s">
        <v>198</v>
      </c>
      <c r="E489" s="21">
        <v>4.09</v>
      </c>
    </row>
    <row r="490" spans="1:5" ht="30" customHeight="1" x14ac:dyDescent="0.35">
      <c r="A490">
        <f t="shared" si="8"/>
        <v>483</v>
      </c>
      <c r="B490" s="35" t="s">
        <v>980</v>
      </c>
      <c r="C490" s="36" t="s">
        <v>981</v>
      </c>
      <c r="D490" s="35" t="s">
        <v>198</v>
      </c>
      <c r="E490" s="21">
        <v>14.64</v>
      </c>
    </row>
    <row r="491" spans="1:5" ht="30" customHeight="1" x14ac:dyDescent="0.35">
      <c r="A491">
        <f t="shared" si="8"/>
        <v>484</v>
      </c>
      <c r="B491" s="32" t="s">
        <v>982</v>
      </c>
      <c r="C491" s="29" t="s">
        <v>983</v>
      </c>
      <c r="D491" s="32" t="s">
        <v>198</v>
      </c>
      <c r="E491" s="21">
        <v>2.38</v>
      </c>
    </row>
    <row r="492" spans="1:5" ht="30" customHeight="1" x14ac:dyDescent="0.35">
      <c r="A492">
        <f t="shared" si="8"/>
        <v>485</v>
      </c>
      <c r="B492" s="35" t="s">
        <v>984</v>
      </c>
      <c r="C492" s="36" t="s">
        <v>985</v>
      </c>
      <c r="D492" s="35" t="s">
        <v>14</v>
      </c>
      <c r="E492" s="21">
        <v>455.90999999999997</v>
      </c>
    </row>
    <row r="493" spans="1:5" ht="30" customHeight="1" x14ac:dyDescent="0.35">
      <c r="A493">
        <f t="shared" si="8"/>
        <v>486</v>
      </c>
      <c r="B493" s="32" t="s">
        <v>986</v>
      </c>
      <c r="C493" s="29" t="s">
        <v>987</v>
      </c>
      <c r="D493" s="32" t="s">
        <v>14</v>
      </c>
      <c r="E493" s="21">
        <v>70.72</v>
      </c>
    </row>
    <row r="494" spans="1:5" ht="30" customHeight="1" x14ac:dyDescent="0.35">
      <c r="A494">
        <f t="shared" si="8"/>
        <v>487</v>
      </c>
      <c r="B494" s="35" t="s">
        <v>988</v>
      </c>
      <c r="C494" s="36" t="s">
        <v>989</v>
      </c>
      <c r="D494" s="35" t="s">
        <v>198</v>
      </c>
      <c r="E494" s="21">
        <v>0.33999999999999997</v>
      </c>
    </row>
    <row r="495" spans="1:5" ht="30" customHeight="1" x14ac:dyDescent="0.35">
      <c r="A495">
        <f t="shared" si="8"/>
        <v>488</v>
      </c>
      <c r="B495" s="32" t="s">
        <v>990</v>
      </c>
      <c r="C495" s="29" t="s">
        <v>991</v>
      </c>
      <c r="D495" s="32" t="s">
        <v>198</v>
      </c>
      <c r="E495" s="21">
        <v>1.25</v>
      </c>
    </row>
    <row r="496" spans="1:5" ht="30" customHeight="1" x14ac:dyDescent="0.35">
      <c r="A496">
        <f t="shared" si="8"/>
        <v>489</v>
      </c>
      <c r="B496" s="35" t="s">
        <v>992</v>
      </c>
      <c r="C496" s="36" t="s">
        <v>993</v>
      </c>
      <c r="D496" s="35" t="s">
        <v>869</v>
      </c>
      <c r="E496" s="21">
        <v>7.7299999999999995</v>
      </c>
    </row>
    <row r="497" spans="1:5" ht="30" customHeight="1" x14ac:dyDescent="0.35">
      <c r="A497">
        <f t="shared" si="8"/>
        <v>490</v>
      </c>
      <c r="B497" s="32" t="s">
        <v>994</v>
      </c>
      <c r="C497" s="29" t="s">
        <v>995</v>
      </c>
      <c r="D497" s="32" t="s">
        <v>869</v>
      </c>
      <c r="E497" s="21">
        <v>16.650000000000002</v>
      </c>
    </row>
    <row r="498" spans="1:5" ht="30" customHeight="1" x14ac:dyDescent="0.35">
      <c r="A498">
        <f t="shared" si="8"/>
        <v>491</v>
      </c>
      <c r="B498" s="35" t="s">
        <v>996</v>
      </c>
      <c r="C498" s="36" t="s">
        <v>997</v>
      </c>
      <c r="D498" s="35" t="s">
        <v>869</v>
      </c>
      <c r="E498" s="21">
        <v>163.25</v>
      </c>
    </row>
    <row r="499" spans="1:5" ht="30" customHeight="1" x14ac:dyDescent="0.35">
      <c r="A499">
        <f t="shared" si="8"/>
        <v>492</v>
      </c>
      <c r="B499" s="32" t="s">
        <v>998</v>
      </c>
      <c r="C499" s="29" t="s">
        <v>999</v>
      </c>
      <c r="D499" s="32" t="s">
        <v>198</v>
      </c>
      <c r="E499" s="21">
        <v>2.71</v>
      </c>
    </row>
    <row r="500" spans="1:5" ht="30" customHeight="1" x14ac:dyDescent="0.35">
      <c r="A500">
        <f t="shared" si="8"/>
        <v>493</v>
      </c>
      <c r="B500" s="35" t="s">
        <v>1000</v>
      </c>
      <c r="C500" s="36" t="s">
        <v>1001</v>
      </c>
      <c r="D500" s="35" t="s">
        <v>14</v>
      </c>
      <c r="E500" s="21">
        <v>18.39</v>
      </c>
    </row>
    <row r="501" spans="1:5" ht="30" customHeight="1" x14ac:dyDescent="0.35">
      <c r="A501">
        <f t="shared" si="8"/>
        <v>494</v>
      </c>
      <c r="B501" s="18" t="s">
        <v>1002</v>
      </c>
      <c r="C501" s="29" t="s">
        <v>1003</v>
      </c>
      <c r="D501" s="32" t="s">
        <v>14</v>
      </c>
      <c r="E501" s="21">
        <v>22.98</v>
      </c>
    </row>
    <row r="502" spans="1:5" ht="30" customHeight="1" x14ac:dyDescent="0.35">
      <c r="A502">
        <f t="shared" si="8"/>
        <v>495</v>
      </c>
      <c r="B502" s="35" t="s">
        <v>1004</v>
      </c>
      <c r="C502" s="36" t="s">
        <v>1005</v>
      </c>
      <c r="D502" s="35" t="s">
        <v>14</v>
      </c>
      <c r="E502" s="21">
        <v>17.78</v>
      </c>
    </row>
    <row r="503" spans="1:5" ht="30" customHeight="1" x14ac:dyDescent="0.35">
      <c r="A503">
        <f t="shared" si="8"/>
        <v>496</v>
      </c>
      <c r="B503" s="32" t="s">
        <v>1006</v>
      </c>
      <c r="C503" s="29" t="s">
        <v>1007</v>
      </c>
      <c r="D503" s="32" t="s">
        <v>14</v>
      </c>
      <c r="E503" s="21">
        <v>20.689999999999998</v>
      </c>
    </row>
    <row r="504" spans="1:5" ht="30" customHeight="1" x14ac:dyDescent="0.35">
      <c r="A504">
        <f t="shared" si="8"/>
        <v>497</v>
      </c>
      <c r="B504" s="18" t="s">
        <v>1008</v>
      </c>
      <c r="C504" s="45" t="s">
        <v>1009</v>
      </c>
      <c r="D504" s="46" t="s">
        <v>14</v>
      </c>
      <c r="E504" s="21">
        <v>16.55</v>
      </c>
    </row>
    <row r="505" spans="1:5" ht="30" customHeight="1" x14ac:dyDescent="0.35">
      <c r="A505">
        <f t="shared" si="8"/>
        <v>498</v>
      </c>
      <c r="B505" s="32" t="s">
        <v>1010</v>
      </c>
      <c r="C505" s="29" t="s">
        <v>1011</v>
      </c>
      <c r="D505" s="32" t="s">
        <v>198</v>
      </c>
      <c r="E505" s="21">
        <v>13.48</v>
      </c>
    </row>
    <row r="506" spans="1:5" ht="30" customHeight="1" x14ac:dyDescent="0.35">
      <c r="A506">
        <f t="shared" si="8"/>
        <v>499</v>
      </c>
      <c r="B506" s="35" t="s">
        <v>1012</v>
      </c>
      <c r="C506" s="36" t="s">
        <v>1013</v>
      </c>
      <c r="D506" s="35" t="s">
        <v>869</v>
      </c>
      <c r="E506" s="21">
        <v>70.77</v>
      </c>
    </row>
    <row r="507" spans="1:5" ht="30" customHeight="1" x14ac:dyDescent="0.35">
      <c r="A507">
        <f t="shared" si="8"/>
        <v>500</v>
      </c>
      <c r="B507" s="32" t="s">
        <v>1014</v>
      </c>
      <c r="C507" s="29" t="s">
        <v>1015</v>
      </c>
      <c r="D507" s="32" t="s">
        <v>14</v>
      </c>
      <c r="E507" s="21">
        <v>22.98</v>
      </c>
    </row>
    <row r="508" spans="1:5" ht="30" customHeight="1" x14ac:dyDescent="0.35">
      <c r="A508"/>
      <c r="B508" s="10" t="s">
        <v>1016</v>
      </c>
      <c r="C508" s="10"/>
      <c r="D508" s="11"/>
      <c r="E508" s="37"/>
    </row>
    <row r="509" spans="1:5" ht="30" customHeight="1" x14ac:dyDescent="0.35">
      <c r="A509">
        <f>A507+1</f>
        <v>501</v>
      </c>
      <c r="B509" s="47" t="s">
        <v>1017</v>
      </c>
      <c r="C509" s="22" t="s">
        <v>1018</v>
      </c>
      <c r="D509" s="23" t="s">
        <v>710</v>
      </c>
      <c r="E509" s="21">
        <v>4823.3499999999995</v>
      </c>
    </row>
    <row r="510" spans="1:5" ht="30" customHeight="1" x14ac:dyDescent="0.35">
      <c r="A510">
        <f t="shared" ref="A510:A526" si="9">A509+1</f>
        <v>502</v>
      </c>
      <c r="B510" s="48" t="s">
        <v>1019</v>
      </c>
      <c r="C510" s="49" t="s">
        <v>1020</v>
      </c>
      <c r="D510" s="50" t="s">
        <v>710</v>
      </c>
      <c r="E510" s="51">
        <v>4262.5200000000004</v>
      </c>
    </row>
    <row r="511" spans="1:5" ht="30" customHeight="1" x14ac:dyDescent="0.35">
      <c r="A511">
        <f t="shared" si="9"/>
        <v>503</v>
      </c>
      <c r="B511" s="48" t="s">
        <v>1021</v>
      </c>
      <c r="C511" s="49" t="s">
        <v>1022</v>
      </c>
      <c r="D511" s="50" t="s">
        <v>710</v>
      </c>
      <c r="E511" s="51">
        <v>4696</v>
      </c>
    </row>
    <row r="512" spans="1:5" ht="30" customHeight="1" x14ac:dyDescent="0.35">
      <c r="A512">
        <f t="shared" si="9"/>
        <v>504</v>
      </c>
      <c r="B512" s="48" t="s">
        <v>1023</v>
      </c>
      <c r="C512" s="49" t="s">
        <v>1024</v>
      </c>
      <c r="D512" s="50" t="s">
        <v>710</v>
      </c>
      <c r="E512" s="51">
        <v>5205.79</v>
      </c>
    </row>
    <row r="513" spans="1:5" ht="30" customHeight="1" x14ac:dyDescent="0.35">
      <c r="A513">
        <f t="shared" si="9"/>
        <v>505</v>
      </c>
      <c r="B513" s="47" t="s">
        <v>1025</v>
      </c>
      <c r="C513" s="22" t="s">
        <v>1026</v>
      </c>
      <c r="D513" s="23" t="s">
        <v>710</v>
      </c>
      <c r="E513" s="21">
        <v>7478.39</v>
      </c>
    </row>
    <row r="514" spans="1:5" ht="30" customHeight="1" x14ac:dyDescent="0.35">
      <c r="A514">
        <f t="shared" si="9"/>
        <v>506</v>
      </c>
      <c r="B514" s="47" t="s">
        <v>1027</v>
      </c>
      <c r="C514" s="29" t="s">
        <v>1028</v>
      </c>
      <c r="D514" s="32" t="s">
        <v>710</v>
      </c>
      <c r="E514" s="21">
        <v>2101.92</v>
      </c>
    </row>
    <row r="515" spans="1:5" ht="30" customHeight="1" x14ac:dyDescent="0.35">
      <c r="A515">
        <f t="shared" si="9"/>
        <v>507</v>
      </c>
      <c r="B515" s="47" t="s">
        <v>1029</v>
      </c>
      <c r="C515" s="29" t="s">
        <v>1030</v>
      </c>
      <c r="D515" s="32" t="s">
        <v>710</v>
      </c>
      <c r="E515" s="21">
        <v>2690.46</v>
      </c>
    </row>
    <row r="516" spans="1:5" ht="30" customHeight="1" x14ac:dyDescent="0.35">
      <c r="A516">
        <f t="shared" si="9"/>
        <v>508</v>
      </c>
      <c r="B516" s="47" t="s">
        <v>1031</v>
      </c>
      <c r="C516" s="29" t="s">
        <v>1032</v>
      </c>
      <c r="D516" s="32" t="s">
        <v>710</v>
      </c>
      <c r="E516" s="21">
        <v>3194.9100000000003</v>
      </c>
    </row>
    <row r="517" spans="1:5" ht="30" customHeight="1" x14ac:dyDescent="0.35">
      <c r="A517">
        <f t="shared" si="9"/>
        <v>509</v>
      </c>
      <c r="B517" s="47" t="s">
        <v>1033</v>
      </c>
      <c r="C517" s="29" t="s">
        <v>1034</v>
      </c>
      <c r="D517" s="32" t="s">
        <v>710</v>
      </c>
      <c r="E517" s="21">
        <v>2101.92</v>
      </c>
    </row>
    <row r="518" spans="1:5" ht="30" customHeight="1" x14ac:dyDescent="0.35">
      <c r="A518">
        <f t="shared" si="9"/>
        <v>510</v>
      </c>
      <c r="B518" s="47" t="s">
        <v>1035</v>
      </c>
      <c r="C518" s="29" t="s">
        <v>1036</v>
      </c>
      <c r="D518" s="32" t="s">
        <v>710</v>
      </c>
      <c r="E518" s="21">
        <v>2690.46</v>
      </c>
    </row>
    <row r="519" spans="1:5" ht="30" customHeight="1" x14ac:dyDescent="0.35">
      <c r="A519">
        <f t="shared" si="9"/>
        <v>511</v>
      </c>
      <c r="B519" s="47" t="s">
        <v>1037</v>
      </c>
      <c r="C519" s="29" t="s">
        <v>1038</v>
      </c>
      <c r="D519" s="32" t="s">
        <v>710</v>
      </c>
      <c r="E519" s="21">
        <v>3194.9100000000003</v>
      </c>
    </row>
    <row r="520" spans="1:5" ht="30" customHeight="1" x14ac:dyDescent="0.35">
      <c r="A520">
        <f t="shared" si="9"/>
        <v>512</v>
      </c>
      <c r="B520" s="35" t="s">
        <v>1039</v>
      </c>
      <c r="C520" s="36" t="s">
        <v>1040</v>
      </c>
      <c r="D520" s="35" t="s">
        <v>710</v>
      </c>
      <c r="E520" s="21">
        <v>4160.0499999999993</v>
      </c>
    </row>
    <row r="521" spans="1:5" ht="30" customHeight="1" x14ac:dyDescent="0.35">
      <c r="A521">
        <f t="shared" si="9"/>
        <v>513</v>
      </c>
      <c r="B521" s="32" t="s">
        <v>1041</v>
      </c>
      <c r="C521" s="29" t="s">
        <v>1042</v>
      </c>
      <c r="D521" s="32" t="s">
        <v>31</v>
      </c>
      <c r="E521" s="21">
        <v>1466.08</v>
      </c>
    </row>
    <row r="522" spans="1:5" ht="30" customHeight="1" x14ac:dyDescent="0.35">
      <c r="A522">
        <f t="shared" si="9"/>
        <v>514</v>
      </c>
      <c r="B522" s="35" t="s">
        <v>1043</v>
      </c>
      <c r="C522" s="36" t="s">
        <v>1044</v>
      </c>
      <c r="D522" s="35" t="s">
        <v>31</v>
      </c>
      <c r="E522" s="21">
        <v>183.26</v>
      </c>
    </row>
    <row r="523" spans="1:5" ht="30" customHeight="1" x14ac:dyDescent="0.35">
      <c r="A523">
        <f t="shared" si="9"/>
        <v>515</v>
      </c>
      <c r="B523" s="32" t="s">
        <v>1045</v>
      </c>
      <c r="C523" s="29" t="s">
        <v>1046</v>
      </c>
      <c r="D523" s="23" t="s">
        <v>48</v>
      </c>
      <c r="E523" s="21">
        <v>773.77</v>
      </c>
    </row>
    <row r="524" spans="1:5" ht="30" customHeight="1" x14ac:dyDescent="0.35">
      <c r="A524" s="12">
        <f t="shared" si="9"/>
        <v>516</v>
      </c>
      <c r="B524" s="28" t="s">
        <v>1047</v>
      </c>
      <c r="C524" s="25" t="s">
        <v>1048</v>
      </c>
      <c r="D524" s="26" t="s">
        <v>48</v>
      </c>
      <c r="E524" s="16">
        <v>806.54</v>
      </c>
    </row>
    <row r="525" spans="1:5" ht="30" customHeight="1" x14ac:dyDescent="0.35">
      <c r="A525" s="12">
        <f t="shared" si="9"/>
        <v>517</v>
      </c>
      <c r="B525" s="42" t="s">
        <v>1049</v>
      </c>
      <c r="C525" s="27" t="s">
        <v>1050</v>
      </c>
      <c r="D525" s="26" t="s">
        <v>48</v>
      </c>
      <c r="E525" s="16">
        <v>349.78</v>
      </c>
    </row>
    <row r="526" spans="1:5" ht="30" customHeight="1" x14ac:dyDescent="0.35">
      <c r="A526" s="12">
        <f t="shared" si="9"/>
        <v>518</v>
      </c>
      <c r="B526" s="28" t="s">
        <v>1051</v>
      </c>
      <c r="C526" s="25" t="s">
        <v>1052</v>
      </c>
      <c r="D526" s="26" t="s">
        <v>48</v>
      </c>
      <c r="E526" s="16">
        <v>109.31</v>
      </c>
    </row>
    <row r="527" spans="1:5" ht="30" customHeight="1" x14ac:dyDescent="0.35">
      <c r="A527"/>
      <c r="B527" s="10" t="s">
        <v>1053</v>
      </c>
      <c r="C527" s="10"/>
      <c r="D527" s="11"/>
      <c r="E527" s="52"/>
    </row>
    <row r="528" spans="1:5" ht="30" customHeight="1" x14ac:dyDescent="0.35">
      <c r="A528" s="12">
        <f>A526+1</f>
        <v>519</v>
      </c>
      <c r="B528" s="28" t="s">
        <v>1054</v>
      </c>
      <c r="C528" s="41" t="s">
        <v>1055</v>
      </c>
      <c r="D528" s="26" t="s">
        <v>48</v>
      </c>
      <c r="E528" s="16">
        <v>330.54</v>
      </c>
    </row>
    <row r="529" spans="1:5" ht="30" customHeight="1" x14ac:dyDescent="0.35">
      <c r="A529">
        <f t="shared" ref="A529:A592" si="10">A528+1</f>
        <v>520</v>
      </c>
      <c r="B529" s="32" t="s">
        <v>1056</v>
      </c>
      <c r="C529" s="29" t="s">
        <v>1057</v>
      </c>
      <c r="D529" s="23" t="s">
        <v>31</v>
      </c>
      <c r="E529" s="21">
        <v>19396.189999999999</v>
      </c>
    </row>
    <row r="530" spans="1:5" ht="30" customHeight="1" x14ac:dyDescent="0.35">
      <c r="A530">
        <f t="shared" si="10"/>
        <v>521</v>
      </c>
      <c r="B530" s="35" t="s">
        <v>1058</v>
      </c>
      <c r="C530" s="36" t="s">
        <v>1059</v>
      </c>
      <c r="D530" s="20" t="s">
        <v>710</v>
      </c>
      <c r="E530" s="21">
        <v>2232.1</v>
      </c>
    </row>
    <row r="531" spans="1:5" ht="30" customHeight="1" x14ac:dyDescent="0.35">
      <c r="A531">
        <f t="shared" si="10"/>
        <v>522</v>
      </c>
      <c r="B531" s="32" t="s">
        <v>1060</v>
      </c>
      <c r="C531" s="29" t="s">
        <v>1061</v>
      </c>
      <c r="D531" s="23" t="s">
        <v>710</v>
      </c>
      <c r="E531" s="21">
        <v>2232.1</v>
      </c>
    </row>
    <row r="532" spans="1:5" ht="30" customHeight="1" x14ac:dyDescent="0.35">
      <c r="A532">
        <f t="shared" si="10"/>
        <v>523</v>
      </c>
      <c r="B532" s="35" t="s">
        <v>1062</v>
      </c>
      <c r="C532" s="36" t="s">
        <v>1063</v>
      </c>
      <c r="D532" s="20" t="s">
        <v>710</v>
      </c>
      <c r="E532" s="21">
        <v>2309.0700000000002</v>
      </c>
    </row>
    <row r="533" spans="1:5" ht="30" customHeight="1" x14ac:dyDescent="0.35">
      <c r="A533">
        <f t="shared" si="10"/>
        <v>524</v>
      </c>
      <c r="B533" s="32" t="s">
        <v>1064</v>
      </c>
      <c r="C533" s="29" t="s">
        <v>1065</v>
      </c>
      <c r="D533" s="23" t="s">
        <v>710</v>
      </c>
      <c r="E533" s="21">
        <v>2309.0700000000002</v>
      </c>
    </row>
    <row r="534" spans="1:5" ht="30" customHeight="1" x14ac:dyDescent="0.35">
      <c r="A534">
        <f t="shared" si="10"/>
        <v>525</v>
      </c>
      <c r="B534" s="35" t="s">
        <v>1066</v>
      </c>
      <c r="C534" s="36" t="s">
        <v>1067</v>
      </c>
      <c r="D534" s="20" t="s">
        <v>710</v>
      </c>
      <c r="E534" s="21">
        <v>3345.8399999999997</v>
      </c>
    </row>
    <row r="535" spans="1:5" ht="30" customHeight="1" x14ac:dyDescent="0.35">
      <c r="A535">
        <f t="shared" si="10"/>
        <v>526</v>
      </c>
      <c r="B535" s="32" t="s">
        <v>1068</v>
      </c>
      <c r="C535" s="29" t="s">
        <v>1069</v>
      </c>
      <c r="D535" s="23" t="s">
        <v>710</v>
      </c>
      <c r="E535" s="21">
        <v>9467.1899999999987</v>
      </c>
    </row>
    <row r="536" spans="1:5" ht="30" customHeight="1" x14ac:dyDescent="0.35">
      <c r="A536">
        <f t="shared" si="10"/>
        <v>527</v>
      </c>
      <c r="B536" s="35" t="s">
        <v>1070</v>
      </c>
      <c r="C536" s="36" t="s">
        <v>1071</v>
      </c>
      <c r="D536" s="20" t="s">
        <v>710</v>
      </c>
      <c r="E536" s="21">
        <v>5879.1200000000008</v>
      </c>
    </row>
    <row r="537" spans="1:5" ht="30" customHeight="1" x14ac:dyDescent="0.35">
      <c r="A537">
        <f t="shared" si="10"/>
        <v>528</v>
      </c>
      <c r="B537" s="32" t="s">
        <v>1072</v>
      </c>
      <c r="C537" s="29" t="s">
        <v>1073</v>
      </c>
      <c r="D537" s="23" t="s">
        <v>710</v>
      </c>
      <c r="E537" s="21">
        <v>5879.1200000000008</v>
      </c>
    </row>
    <row r="538" spans="1:5" ht="30" customHeight="1" x14ac:dyDescent="0.35">
      <c r="A538">
        <f t="shared" si="10"/>
        <v>529</v>
      </c>
      <c r="B538" s="35" t="s">
        <v>1074</v>
      </c>
      <c r="C538" s="36" t="s">
        <v>1075</v>
      </c>
      <c r="D538" s="20" t="s">
        <v>710</v>
      </c>
      <c r="E538" s="21">
        <v>9467.1899999999987</v>
      </c>
    </row>
    <row r="539" spans="1:5" ht="30" customHeight="1" x14ac:dyDescent="0.35">
      <c r="A539">
        <f t="shared" si="10"/>
        <v>530</v>
      </c>
      <c r="B539" s="32" t="s">
        <v>1076</v>
      </c>
      <c r="C539" s="29" t="s">
        <v>1077</v>
      </c>
      <c r="D539" s="23" t="s">
        <v>710</v>
      </c>
      <c r="E539" s="21">
        <v>6452.71</v>
      </c>
    </row>
    <row r="540" spans="1:5" ht="30" customHeight="1" x14ac:dyDescent="0.35">
      <c r="A540">
        <f t="shared" si="10"/>
        <v>531</v>
      </c>
      <c r="B540" s="35" t="s">
        <v>1078</v>
      </c>
      <c r="C540" s="36" t="s">
        <v>1079</v>
      </c>
      <c r="D540" s="20" t="s">
        <v>710</v>
      </c>
      <c r="E540" s="21">
        <v>7121.88</v>
      </c>
    </row>
    <row r="541" spans="1:5" ht="30" customHeight="1" x14ac:dyDescent="0.35">
      <c r="A541">
        <f t="shared" si="10"/>
        <v>532</v>
      </c>
      <c r="B541" s="32" t="s">
        <v>1080</v>
      </c>
      <c r="C541" s="29" t="s">
        <v>1081</v>
      </c>
      <c r="D541" s="23" t="s">
        <v>710</v>
      </c>
      <c r="E541" s="21">
        <v>5305.5599999999995</v>
      </c>
    </row>
    <row r="542" spans="1:5" ht="30" customHeight="1" x14ac:dyDescent="0.35">
      <c r="A542">
        <f t="shared" si="10"/>
        <v>533</v>
      </c>
      <c r="B542" s="35" t="s">
        <v>1082</v>
      </c>
      <c r="C542" s="36" t="s">
        <v>1083</v>
      </c>
      <c r="D542" s="20" t="s">
        <v>710</v>
      </c>
      <c r="E542" s="21">
        <v>2724.48</v>
      </c>
    </row>
    <row r="543" spans="1:5" ht="30" customHeight="1" x14ac:dyDescent="0.35">
      <c r="A543">
        <f t="shared" si="10"/>
        <v>534</v>
      </c>
      <c r="B543" s="32" t="s">
        <v>1084</v>
      </c>
      <c r="C543" s="29" t="s">
        <v>1085</v>
      </c>
      <c r="D543" s="23" t="s">
        <v>710</v>
      </c>
      <c r="E543" s="21">
        <v>2820.0699999999997</v>
      </c>
    </row>
    <row r="544" spans="1:5" ht="30" customHeight="1" x14ac:dyDescent="0.35">
      <c r="A544">
        <f t="shared" si="10"/>
        <v>535</v>
      </c>
      <c r="B544" s="35" t="s">
        <v>1086</v>
      </c>
      <c r="C544" s="36" t="s">
        <v>1087</v>
      </c>
      <c r="D544" s="20" t="s">
        <v>710</v>
      </c>
      <c r="E544" s="21">
        <v>8555.81</v>
      </c>
    </row>
    <row r="545" spans="1:5" ht="30" customHeight="1" x14ac:dyDescent="0.35">
      <c r="A545">
        <f t="shared" si="10"/>
        <v>536</v>
      </c>
      <c r="B545" s="32" t="s">
        <v>1088</v>
      </c>
      <c r="C545" s="29" t="s">
        <v>1089</v>
      </c>
      <c r="D545" s="23" t="s">
        <v>710</v>
      </c>
      <c r="E545" s="21">
        <v>4254.0099999999993</v>
      </c>
    </row>
    <row r="546" spans="1:5" ht="30" customHeight="1" x14ac:dyDescent="0.35">
      <c r="A546">
        <f t="shared" si="10"/>
        <v>537</v>
      </c>
      <c r="B546" s="35" t="s">
        <v>1090</v>
      </c>
      <c r="C546" s="36" t="s">
        <v>1091</v>
      </c>
      <c r="D546" s="20" t="s">
        <v>710</v>
      </c>
      <c r="E546" s="21">
        <v>4827.57</v>
      </c>
    </row>
    <row r="547" spans="1:5" ht="30" customHeight="1" x14ac:dyDescent="0.35">
      <c r="A547">
        <f t="shared" si="10"/>
        <v>538</v>
      </c>
      <c r="B547" s="32" t="s">
        <v>1092</v>
      </c>
      <c r="C547" s="29" t="s">
        <v>1093</v>
      </c>
      <c r="D547" s="23" t="s">
        <v>710</v>
      </c>
      <c r="E547" s="21">
        <v>10993.49</v>
      </c>
    </row>
    <row r="548" spans="1:5" ht="30" customHeight="1" x14ac:dyDescent="0.35">
      <c r="A548">
        <f t="shared" si="10"/>
        <v>539</v>
      </c>
      <c r="B548" s="35" t="s">
        <v>1094</v>
      </c>
      <c r="C548" s="36" t="s">
        <v>1095</v>
      </c>
      <c r="D548" s="20" t="s">
        <v>710</v>
      </c>
      <c r="E548" s="21">
        <v>10993.49</v>
      </c>
    </row>
    <row r="549" spans="1:5" ht="30" customHeight="1" x14ac:dyDescent="0.35">
      <c r="A549">
        <f t="shared" si="10"/>
        <v>540</v>
      </c>
      <c r="B549" s="32" t="s">
        <v>1096</v>
      </c>
      <c r="C549" s="29" t="s">
        <v>1097</v>
      </c>
      <c r="D549" s="23" t="s">
        <v>710</v>
      </c>
      <c r="E549" s="21">
        <v>7081.15</v>
      </c>
    </row>
    <row r="550" spans="1:5" ht="30" customHeight="1" x14ac:dyDescent="0.35">
      <c r="A550">
        <f t="shared" si="10"/>
        <v>541</v>
      </c>
      <c r="B550" s="35" t="s">
        <v>1098</v>
      </c>
      <c r="C550" s="36" t="s">
        <v>1099</v>
      </c>
      <c r="D550" s="20" t="s">
        <v>710</v>
      </c>
      <c r="E550" s="21">
        <v>2676.6800000000003</v>
      </c>
    </row>
    <row r="551" spans="1:5" ht="30" customHeight="1" x14ac:dyDescent="0.35">
      <c r="A551">
        <f t="shared" si="10"/>
        <v>542</v>
      </c>
      <c r="B551" s="32" t="s">
        <v>1100</v>
      </c>
      <c r="C551" s="29" t="s">
        <v>1101</v>
      </c>
      <c r="D551" s="23" t="s">
        <v>710</v>
      </c>
      <c r="E551" s="21">
        <v>17971.96</v>
      </c>
    </row>
    <row r="552" spans="1:5" ht="30" customHeight="1" x14ac:dyDescent="0.35">
      <c r="A552">
        <f t="shared" si="10"/>
        <v>543</v>
      </c>
      <c r="B552" s="32" t="s">
        <v>1102</v>
      </c>
      <c r="C552" s="29" t="s">
        <v>1103</v>
      </c>
      <c r="D552" s="53" t="s">
        <v>710</v>
      </c>
      <c r="E552" s="21">
        <v>461.82</v>
      </c>
    </row>
    <row r="553" spans="1:5" ht="30" customHeight="1" x14ac:dyDescent="0.35">
      <c r="A553">
        <f t="shared" si="10"/>
        <v>544</v>
      </c>
      <c r="B553" s="32" t="s">
        <v>1104</v>
      </c>
      <c r="C553" s="29" t="s">
        <v>1105</v>
      </c>
      <c r="D553" s="53" t="s">
        <v>710</v>
      </c>
      <c r="E553" s="21">
        <v>461.82</v>
      </c>
    </row>
    <row r="554" spans="1:5" ht="30" customHeight="1" x14ac:dyDescent="0.35">
      <c r="A554">
        <f t="shared" si="10"/>
        <v>545</v>
      </c>
      <c r="B554" s="32" t="s">
        <v>1106</v>
      </c>
      <c r="C554" s="29" t="s">
        <v>1107</v>
      </c>
      <c r="D554" s="53" t="s">
        <v>710</v>
      </c>
      <c r="E554" s="21">
        <v>692.73</v>
      </c>
    </row>
    <row r="555" spans="1:5" ht="30" customHeight="1" x14ac:dyDescent="0.35">
      <c r="A555">
        <f t="shared" si="10"/>
        <v>546</v>
      </c>
      <c r="B555" s="32" t="s">
        <v>1108</v>
      </c>
      <c r="C555" s="29" t="s">
        <v>1109</v>
      </c>
      <c r="D555" s="53" t="s">
        <v>710</v>
      </c>
      <c r="E555" s="21">
        <v>692.73</v>
      </c>
    </row>
    <row r="556" spans="1:5" ht="30" customHeight="1" x14ac:dyDescent="0.35">
      <c r="A556">
        <f t="shared" si="10"/>
        <v>547</v>
      </c>
      <c r="B556" s="32" t="s">
        <v>1110</v>
      </c>
      <c r="C556" s="29" t="s">
        <v>1111</v>
      </c>
      <c r="D556" s="53" t="s">
        <v>710</v>
      </c>
      <c r="E556" s="21">
        <v>692.73</v>
      </c>
    </row>
    <row r="557" spans="1:5" ht="30" customHeight="1" x14ac:dyDescent="0.35">
      <c r="A557">
        <f t="shared" si="10"/>
        <v>548</v>
      </c>
      <c r="B557" s="32" t="s">
        <v>1112</v>
      </c>
      <c r="C557" s="29" t="s">
        <v>1113</v>
      </c>
      <c r="D557" s="53" t="s">
        <v>710</v>
      </c>
      <c r="E557" s="21">
        <v>254.92000000000002</v>
      </c>
    </row>
    <row r="558" spans="1:5" ht="30" customHeight="1" x14ac:dyDescent="0.35">
      <c r="A558">
        <f t="shared" si="10"/>
        <v>549</v>
      </c>
      <c r="B558" s="32" t="s">
        <v>1114</v>
      </c>
      <c r="C558" s="29" t="s">
        <v>1115</v>
      </c>
      <c r="D558" s="53" t="s">
        <v>710</v>
      </c>
      <c r="E558" s="21">
        <v>276.18</v>
      </c>
    </row>
    <row r="559" spans="1:5" ht="30" customHeight="1" x14ac:dyDescent="0.35">
      <c r="A559">
        <f t="shared" si="10"/>
        <v>550</v>
      </c>
      <c r="B559" s="47" t="s">
        <v>1116</v>
      </c>
      <c r="C559" s="22" t="s">
        <v>1117</v>
      </c>
      <c r="D559" s="23" t="s">
        <v>48</v>
      </c>
      <c r="E559" s="21">
        <v>2030.16</v>
      </c>
    </row>
    <row r="560" spans="1:5" ht="30" customHeight="1" x14ac:dyDescent="0.35">
      <c r="A560">
        <f t="shared" si="10"/>
        <v>551</v>
      </c>
      <c r="B560" s="47" t="s">
        <v>1118</v>
      </c>
      <c r="C560" s="22" t="s">
        <v>1119</v>
      </c>
      <c r="D560" s="23" t="s">
        <v>48</v>
      </c>
      <c r="E560" s="21">
        <v>2254.19</v>
      </c>
    </row>
    <row r="561" spans="1:5" ht="30" customHeight="1" x14ac:dyDescent="0.35">
      <c r="A561">
        <f t="shared" si="10"/>
        <v>552</v>
      </c>
      <c r="B561" s="47" t="s">
        <v>1120</v>
      </c>
      <c r="C561" s="22" t="s">
        <v>1121</v>
      </c>
      <c r="D561" s="54" t="s">
        <v>710</v>
      </c>
      <c r="E561" s="21">
        <v>2437.86</v>
      </c>
    </row>
    <row r="562" spans="1:5" ht="30" customHeight="1" x14ac:dyDescent="0.35">
      <c r="A562">
        <f t="shared" si="10"/>
        <v>553</v>
      </c>
      <c r="B562" s="47" t="s">
        <v>1122</v>
      </c>
      <c r="C562" s="22" t="s">
        <v>1123</v>
      </c>
      <c r="D562" s="54" t="s">
        <v>710</v>
      </c>
      <c r="E562" s="21">
        <v>2437.86</v>
      </c>
    </row>
    <row r="563" spans="1:5" ht="30" customHeight="1" x14ac:dyDescent="0.35">
      <c r="A563">
        <f t="shared" si="10"/>
        <v>554</v>
      </c>
      <c r="B563" s="47" t="s">
        <v>1124</v>
      </c>
      <c r="C563" s="22" t="s">
        <v>1125</v>
      </c>
      <c r="D563" s="54" t="s">
        <v>710</v>
      </c>
      <c r="E563" s="21">
        <v>2278.2900000000004</v>
      </c>
    </row>
    <row r="564" spans="1:5" ht="30" customHeight="1" x14ac:dyDescent="0.35">
      <c r="A564">
        <f t="shared" si="10"/>
        <v>555</v>
      </c>
      <c r="B564" s="47" t="s">
        <v>1126</v>
      </c>
      <c r="C564" s="22" t="s">
        <v>1127</v>
      </c>
      <c r="D564" s="54" t="s">
        <v>710</v>
      </c>
      <c r="E564" s="21">
        <v>3701.4399999999996</v>
      </c>
    </row>
    <row r="565" spans="1:5" ht="30" customHeight="1" x14ac:dyDescent="0.35">
      <c r="A565">
        <f t="shared" si="10"/>
        <v>556</v>
      </c>
      <c r="B565" s="47" t="s">
        <v>1128</v>
      </c>
      <c r="C565" s="22" t="s">
        <v>1129</v>
      </c>
      <c r="D565" s="23" t="s">
        <v>48</v>
      </c>
      <c r="E565" s="21">
        <v>2718.3900000000003</v>
      </c>
    </row>
    <row r="566" spans="1:5" ht="30" customHeight="1" x14ac:dyDescent="0.35">
      <c r="A566">
        <f t="shared" si="10"/>
        <v>557</v>
      </c>
      <c r="B566" s="47" t="s">
        <v>1130</v>
      </c>
      <c r="C566" s="22" t="s">
        <v>1131</v>
      </c>
      <c r="D566" s="23" t="s">
        <v>48</v>
      </c>
      <c r="E566" s="21">
        <v>3324.5099999999998</v>
      </c>
    </row>
    <row r="567" spans="1:5" ht="30" customHeight="1" x14ac:dyDescent="0.35">
      <c r="A567">
        <f t="shared" si="10"/>
        <v>558</v>
      </c>
      <c r="B567" s="47" t="s">
        <v>1132</v>
      </c>
      <c r="C567" s="22" t="s">
        <v>1133</v>
      </c>
      <c r="D567" s="23" t="s">
        <v>48</v>
      </c>
      <c r="E567" s="21">
        <v>924.79</v>
      </c>
    </row>
    <row r="568" spans="1:5" ht="30" customHeight="1" x14ac:dyDescent="0.35">
      <c r="A568">
        <f t="shared" si="10"/>
        <v>559</v>
      </c>
      <c r="B568" s="47" t="s">
        <v>1134</v>
      </c>
      <c r="C568" s="22" t="s">
        <v>1135</v>
      </c>
      <c r="D568" s="23" t="s">
        <v>48</v>
      </c>
      <c r="E568" s="21">
        <v>357.54999999999995</v>
      </c>
    </row>
    <row r="569" spans="1:5" ht="30" customHeight="1" x14ac:dyDescent="0.35">
      <c r="A569">
        <f t="shared" si="10"/>
        <v>560</v>
      </c>
      <c r="B569" s="47" t="s">
        <v>1136</v>
      </c>
      <c r="C569" s="22" t="s">
        <v>1137</v>
      </c>
      <c r="D569" s="23" t="s">
        <v>48</v>
      </c>
      <c r="E569" s="21">
        <v>1269.8599999999999</v>
      </c>
    </row>
    <row r="570" spans="1:5" ht="30" customHeight="1" x14ac:dyDescent="0.35">
      <c r="A570">
        <f t="shared" si="10"/>
        <v>561</v>
      </c>
      <c r="B570" s="29" t="s">
        <v>1138</v>
      </c>
      <c r="C570" s="29" t="s">
        <v>1139</v>
      </c>
      <c r="D570" s="23" t="s">
        <v>48</v>
      </c>
      <c r="E570" s="21">
        <v>1315.98</v>
      </c>
    </row>
    <row r="571" spans="1:5" ht="30" customHeight="1" x14ac:dyDescent="0.35">
      <c r="A571">
        <f t="shared" si="10"/>
        <v>562</v>
      </c>
      <c r="B571" s="29" t="s">
        <v>1140</v>
      </c>
      <c r="C571" s="29" t="s">
        <v>1141</v>
      </c>
      <c r="D571" s="23" t="s">
        <v>48</v>
      </c>
      <c r="E571" s="21">
        <v>657.58</v>
      </c>
    </row>
    <row r="572" spans="1:5" ht="30" customHeight="1" x14ac:dyDescent="0.35">
      <c r="A572">
        <f t="shared" si="10"/>
        <v>563</v>
      </c>
      <c r="B572" s="29" t="s">
        <v>1142</v>
      </c>
      <c r="C572" s="29" t="s">
        <v>1143</v>
      </c>
      <c r="D572" s="39" t="s">
        <v>31</v>
      </c>
      <c r="E572" s="21">
        <v>64786.369999999995</v>
      </c>
    </row>
    <row r="573" spans="1:5" ht="30" customHeight="1" x14ac:dyDescent="0.35">
      <c r="A573">
        <f t="shared" si="10"/>
        <v>564</v>
      </c>
      <c r="B573" s="29" t="s">
        <v>1144</v>
      </c>
      <c r="C573" s="29" t="s">
        <v>1145</v>
      </c>
      <c r="D573" s="39" t="s">
        <v>31</v>
      </c>
      <c r="E573" s="21">
        <v>1619.67</v>
      </c>
    </row>
    <row r="574" spans="1:5" ht="30" customHeight="1" x14ac:dyDescent="0.35">
      <c r="A574">
        <f t="shared" si="10"/>
        <v>565</v>
      </c>
      <c r="B574" s="29" t="s">
        <v>1146</v>
      </c>
      <c r="C574" s="29" t="s">
        <v>1147</v>
      </c>
      <c r="D574" s="23" t="s">
        <v>48</v>
      </c>
      <c r="E574" s="21">
        <v>783.92</v>
      </c>
    </row>
    <row r="575" spans="1:5" ht="30" customHeight="1" x14ac:dyDescent="0.35">
      <c r="A575">
        <f t="shared" si="10"/>
        <v>566</v>
      </c>
      <c r="B575" s="29" t="s">
        <v>1148</v>
      </c>
      <c r="C575" s="29" t="s">
        <v>1149</v>
      </c>
      <c r="D575" s="23" t="s">
        <v>48</v>
      </c>
      <c r="E575" s="21">
        <v>391.96999999999997</v>
      </c>
    </row>
    <row r="576" spans="1:5" ht="30" customHeight="1" x14ac:dyDescent="0.35">
      <c r="A576">
        <f t="shared" si="10"/>
        <v>567</v>
      </c>
      <c r="B576" s="29" t="s">
        <v>1150</v>
      </c>
      <c r="C576" s="29" t="s">
        <v>1151</v>
      </c>
      <c r="D576" s="39" t="s">
        <v>31</v>
      </c>
      <c r="E576" s="21">
        <v>44540.630000000005</v>
      </c>
    </row>
    <row r="577" spans="1:5" ht="30" customHeight="1" x14ac:dyDescent="0.35">
      <c r="A577">
        <f t="shared" si="10"/>
        <v>568</v>
      </c>
      <c r="B577" s="29" t="s">
        <v>1152</v>
      </c>
      <c r="C577" s="29" t="s">
        <v>1153</v>
      </c>
      <c r="D577" s="39" t="s">
        <v>31</v>
      </c>
      <c r="E577" s="21">
        <v>1417.1999999999998</v>
      </c>
    </row>
    <row r="578" spans="1:5" ht="30" customHeight="1" x14ac:dyDescent="0.35">
      <c r="A578">
        <f t="shared" si="10"/>
        <v>569</v>
      </c>
      <c r="B578" s="29" t="s">
        <v>1154</v>
      </c>
      <c r="C578" s="29" t="s">
        <v>1155</v>
      </c>
      <c r="D578" s="23" t="s">
        <v>48</v>
      </c>
      <c r="E578" s="21">
        <v>951.56000000000006</v>
      </c>
    </row>
    <row r="579" spans="1:5" ht="30" customHeight="1" x14ac:dyDescent="0.35">
      <c r="A579">
        <f t="shared" si="10"/>
        <v>570</v>
      </c>
      <c r="B579" s="29" t="s">
        <v>1156</v>
      </c>
      <c r="C579" s="29" t="s">
        <v>1157</v>
      </c>
      <c r="D579" s="23" t="s">
        <v>48</v>
      </c>
      <c r="E579" s="21">
        <v>475.36</v>
      </c>
    </row>
    <row r="580" spans="1:5" ht="30" customHeight="1" x14ac:dyDescent="0.35">
      <c r="A580">
        <f t="shared" si="10"/>
        <v>571</v>
      </c>
      <c r="B580" s="29" t="s">
        <v>1158</v>
      </c>
      <c r="C580" s="29" t="s">
        <v>1159</v>
      </c>
      <c r="D580" s="39" t="s">
        <v>31</v>
      </c>
      <c r="E580" s="21">
        <v>72884.67</v>
      </c>
    </row>
    <row r="581" spans="1:5" ht="30" customHeight="1" x14ac:dyDescent="0.35">
      <c r="A581">
        <f t="shared" si="10"/>
        <v>572</v>
      </c>
      <c r="B581" s="29" t="s">
        <v>1160</v>
      </c>
      <c r="C581" s="29" t="s">
        <v>1161</v>
      </c>
      <c r="D581" s="39" t="s">
        <v>31</v>
      </c>
      <c r="E581" s="21">
        <v>1619.67</v>
      </c>
    </row>
    <row r="582" spans="1:5" ht="30" customHeight="1" x14ac:dyDescent="0.35">
      <c r="A582">
        <f t="shared" si="10"/>
        <v>573</v>
      </c>
      <c r="B582" s="29" t="s">
        <v>1162</v>
      </c>
      <c r="C582" s="29" t="s">
        <v>1163</v>
      </c>
      <c r="D582" s="23" t="s">
        <v>48</v>
      </c>
      <c r="E582" s="21">
        <v>1012.3000000000001</v>
      </c>
    </row>
    <row r="583" spans="1:5" ht="30" customHeight="1" x14ac:dyDescent="0.35">
      <c r="A583">
        <f t="shared" si="10"/>
        <v>574</v>
      </c>
      <c r="B583" s="29" t="s">
        <v>1164</v>
      </c>
      <c r="C583" s="29" t="s">
        <v>1165</v>
      </c>
      <c r="D583" s="39" t="s">
        <v>31</v>
      </c>
      <c r="E583" s="21">
        <v>1417.1999999999998</v>
      </c>
    </row>
    <row r="584" spans="1:5" ht="30" customHeight="1" x14ac:dyDescent="0.35">
      <c r="A584">
        <f t="shared" si="10"/>
        <v>575</v>
      </c>
      <c r="B584" s="29" t="s">
        <v>1166</v>
      </c>
      <c r="C584" s="29" t="s">
        <v>1167</v>
      </c>
      <c r="D584" s="23" t="s">
        <v>48</v>
      </c>
      <c r="E584" s="21">
        <v>1518.44</v>
      </c>
    </row>
    <row r="585" spans="1:5" ht="30" customHeight="1" x14ac:dyDescent="0.35">
      <c r="A585">
        <f t="shared" si="10"/>
        <v>576</v>
      </c>
      <c r="B585" s="29" t="s">
        <v>1168</v>
      </c>
      <c r="C585" s="29" t="s">
        <v>1169</v>
      </c>
      <c r="D585" s="39" t="s">
        <v>31</v>
      </c>
      <c r="E585" s="21">
        <v>76933.829999999987</v>
      </c>
    </row>
    <row r="586" spans="1:5" ht="30" customHeight="1" x14ac:dyDescent="0.35">
      <c r="A586">
        <f t="shared" si="10"/>
        <v>577</v>
      </c>
      <c r="B586" s="29" t="s">
        <v>1170</v>
      </c>
      <c r="C586" s="29" t="s">
        <v>1171</v>
      </c>
      <c r="D586" s="39" t="s">
        <v>31</v>
      </c>
      <c r="E586" s="21">
        <v>1619.67</v>
      </c>
    </row>
    <row r="587" spans="1:5" ht="30" customHeight="1" x14ac:dyDescent="0.35">
      <c r="A587">
        <f t="shared" si="10"/>
        <v>578</v>
      </c>
      <c r="B587" s="29" t="s">
        <v>1172</v>
      </c>
      <c r="C587" s="29" t="s">
        <v>1173</v>
      </c>
      <c r="D587" s="39" t="s">
        <v>1174</v>
      </c>
      <c r="E587" s="21">
        <v>1675.7</v>
      </c>
    </row>
    <row r="588" spans="1:5" ht="30" customHeight="1" x14ac:dyDescent="0.35">
      <c r="A588">
        <f t="shared" si="10"/>
        <v>579</v>
      </c>
      <c r="B588" s="29" t="s">
        <v>1175</v>
      </c>
      <c r="C588" s="29" t="s">
        <v>1176</v>
      </c>
      <c r="D588" s="39" t="s">
        <v>1174</v>
      </c>
      <c r="E588" s="21">
        <v>2154.71</v>
      </c>
    </row>
    <row r="589" spans="1:5" ht="30" customHeight="1" x14ac:dyDescent="0.35">
      <c r="A589">
        <f t="shared" si="10"/>
        <v>580</v>
      </c>
      <c r="B589" s="29" t="s">
        <v>1177</v>
      </c>
      <c r="C589" s="29" t="s">
        <v>1178</v>
      </c>
      <c r="D589" s="39" t="s">
        <v>1174</v>
      </c>
      <c r="E589" s="21">
        <v>3062.86</v>
      </c>
    </row>
    <row r="590" spans="1:5" ht="30" customHeight="1" x14ac:dyDescent="0.35">
      <c r="A590">
        <f t="shared" si="10"/>
        <v>581</v>
      </c>
      <c r="B590" s="29" t="s">
        <v>1179</v>
      </c>
      <c r="C590" s="29" t="s">
        <v>1180</v>
      </c>
      <c r="D590" s="39" t="s">
        <v>710</v>
      </c>
      <c r="E590" s="21">
        <v>2255.39</v>
      </c>
    </row>
    <row r="591" spans="1:5" ht="30" customHeight="1" x14ac:dyDescent="0.35">
      <c r="A591">
        <f t="shared" si="10"/>
        <v>582</v>
      </c>
      <c r="B591" s="29" t="s">
        <v>1181</v>
      </c>
      <c r="C591" s="29" t="s">
        <v>1182</v>
      </c>
      <c r="D591" s="39" t="s">
        <v>31</v>
      </c>
      <c r="E591" s="21">
        <v>3973.8399999999997</v>
      </c>
    </row>
    <row r="592" spans="1:5" ht="30" customHeight="1" x14ac:dyDescent="0.35">
      <c r="A592">
        <f t="shared" si="10"/>
        <v>583</v>
      </c>
      <c r="B592" s="29" t="s">
        <v>1183</v>
      </c>
      <c r="C592" s="29" t="s">
        <v>1184</v>
      </c>
      <c r="D592" s="39" t="s">
        <v>31</v>
      </c>
      <c r="E592" s="21">
        <v>5165.91</v>
      </c>
    </row>
    <row r="593" spans="1:5" ht="30" customHeight="1" x14ac:dyDescent="0.35">
      <c r="A593">
        <f t="shared" ref="A593:A656" si="11">A592+1</f>
        <v>584</v>
      </c>
      <c r="B593" s="29" t="s">
        <v>1185</v>
      </c>
      <c r="C593" s="29" t="s">
        <v>1186</v>
      </c>
      <c r="D593" s="39" t="s">
        <v>31</v>
      </c>
      <c r="E593" s="21">
        <v>6954.01</v>
      </c>
    </row>
    <row r="594" spans="1:5" ht="30" customHeight="1" x14ac:dyDescent="0.35">
      <c r="A594">
        <f t="shared" si="11"/>
        <v>585</v>
      </c>
      <c r="B594" s="29" t="s">
        <v>1187</v>
      </c>
      <c r="C594" s="29" t="s">
        <v>1188</v>
      </c>
      <c r="D594" s="23" t="s">
        <v>48</v>
      </c>
      <c r="E594" s="21">
        <v>261.91000000000003</v>
      </c>
    </row>
    <row r="595" spans="1:5" ht="30" customHeight="1" x14ac:dyDescent="0.35">
      <c r="A595">
        <f t="shared" si="11"/>
        <v>586</v>
      </c>
      <c r="B595" s="29" t="s">
        <v>1189</v>
      </c>
      <c r="C595" s="29" t="s">
        <v>1190</v>
      </c>
      <c r="D595" s="23" t="s">
        <v>48</v>
      </c>
      <c r="E595" s="21">
        <v>314.05</v>
      </c>
    </row>
    <row r="596" spans="1:5" ht="30" customHeight="1" x14ac:dyDescent="0.35">
      <c r="A596">
        <f t="shared" si="11"/>
        <v>587</v>
      </c>
      <c r="B596" s="29" t="s">
        <v>1191</v>
      </c>
      <c r="C596" s="29" t="s">
        <v>1192</v>
      </c>
      <c r="D596" s="23" t="s">
        <v>48</v>
      </c>
      <c r="E596" s="21">
        <v>323.7</v>
      </c>
    </row>
    <row r="597" spans="1:5" ht="30" customHeight="1" x14ac:dyDescent="0.35">
      <c r="A597">
        <f t="shared" si="11"/>
        <v>588</v>
      </c>
      <c r="B597" s="29" t="s">
        <v>1193</v>
      </c>
      <c r="C597" s="29" t="s">
        <v>1194</v>
      </c>
      <c r="D597" s="23" t="s">
        <v>48</v>
      </c>
      <c r="E597" s="21">
        <v>359.40000000000003</v>
      </c>
    </row>
    <row r="598" spans="1:5" ht="30" customHeight="1" x14ac:dyDescent="0.35">
      <c r="A598">
        <f t="shared" si="11"/>
        <v>589</v>
      </c>
      <c r="B598" s="29" t="s">
        <v>1195</v>
      </c>
      <c r="C598" s="29" t="s">
        <v>1196</v>
      </c>
      <c r="D598" s="23" t="s">
        <v>48</v>
      </c>
      <c r="E598" s="21">
        <v>394.55</v>
      </c>
    </row>
    <row r="599" spans="1:5" ht="30" customHeight="1" x14ac:dyDescent="0.35">
      <c r="A599">
        <f t="shared" si="11"/>
        <v>590</v>
      </c>
      <c r="B599" s="29" t="s">
        <v>1197</v>
      </c>
      <c r="C599" s="29" t="s">
        <v>1198</v>
      </c>
      <c r="D599" s="23" t="s">
        <v>48</v>
      </c>
      <c r="E599" s="21">
        <v>409.28999999999996</v>
      </c>
    </row>
    <row r="600" spans="1:5" ht="30" customHeight="1" x14ac:dyDescent="0.35">
      <c r="A600">
        <f t="shared" si="11"/>
        <v>591</v>
      </c>
      <c r="B600" s="29" t="s">
        <v>1199</v>
      </c>
      <c r="C600" s="29" t="s">
        <v>1200</v>
      </c>
      <c r="D600" s="39" t="s">
        <v>31</v>
      </c>
      <c r="E600" s="21">
        <v>8079.6599999999989</v>
      </c>
    </row>
    <row r="601" spans="1:5" ht="30" customHeight="1" x14ac:dyDescent="0.35">
      <c r="A601">
        <f t="shared" si="11"/>
        <v>592</v>
      </c>
      <c r="B601" s="29" t="s">
        <v>1201</v>
      </c>
      <c r="C601" s="29" t="s">
        <v>1202</v>
      </c>
      <c r="D601" s="39" t="s">
        <v>31</v>
      </c>
      <c r="E601" s="21">
        <v>8306.42</v>
      </c>
    </row>
    <row r="602" spans="1:5" ht="30" customHeight="1" x14ac:dyDescent="0.35">
      <c r="A602">
        <f t="shared" si="11"/>
        <v>593</v>
      </c>
      <c r="B602" s="29" t="s">
        <v>1203</v>
      </c>
      <c r="C602" s="29" t="s">
        <v>1204</v>
      </c>
      <c r="D602" s="39" t="s">
        <v>31</v>
      </c>
      <c r="E602" s="21">
        <v>9665.31</v>
      </c>
    </row>
    <row r="603" spans="1:5" ht="30" customHeight="1" x14ac:dyDescent="0.35">
      <c r="A603">
        <f t="shared" si="11"/>
        <v>594</v>
      </c>
      <c r="B603" s="29" t="s">
        <v>1205</v>
      </c>
      <c r="C603" s="29" t="s">
        <v>1206</v>
      </c>
      <c r="D603" s="23" t="s">
        <v>48</v>
      </c>
      <c r="E603" s="21">
        <v>32.879999999999995</v>
      </c>
    </row>
    <row r="604" spans="1:5" ht="30" customHeight="1" x14ac:dyDescent="0.35">
      <c r="A604">
        <f t="shared" si="11"/>
        <v>595</v>
      </c>
      <c r="B604" s="29" t="s">
        <v>1207</v>
      </c>
      <c r="C604" s="29" t="s">
        <v>1208</v>
      </c>
      <c r="D604" s="23" t="s">
        <v>48</v>
      </c>
      <c r="E604" s="21">
        <v>39.690000000000005</v>
      </c>
    </row>
    <row r="605" spans="1:5" ht="30" customHeight="1" x14ac:dyDescent="0.35">
      <c r="A605">
        <f t="shared" si="11"/>
        <v>596</v>
      </c>
      <c r="B605" s="29" t="s">
        <v>1209</v>
      </c>
      <c r="C605" s="29" t="s">
        <v>1210</v>
      </c>
      <c r="D605" s="23" t="s">
        <v>48</v>
      </c>
      <c r="E605" s="21">
        <v>42.11</v>
      </c>
    </row>
    <row r="606" spans="1:5" ht="30" customHeight="1" x14ac:dyDescent="0.35">
      <c r="A606">
        <f t="shared" si="11"/>
        <v>597</v>
      </c>
      <c r="B606" s="29" t="s">
        <v>1211</v>
      </c>
      <c r="C606" s="29" t="s">
        <v>1212</v>
      </c>
      <c r="D606" s="23" t="s">
        <v>48</v>
      </c>
      <c r="E606" s="21">
        <v>57.260000000000005</v>
      </c>
    </row>
    <row r="607" spans="1:5" ht="30" customHeight="1" x14ac:dyDescent="0.35">
      <c r="A607">
        <f t="shared" si="11"/>
        <v>598</v>
      </c>
      <c r="B607" s="29" t="s">
        <v>1213</v>
      </c>
      <c r="C607" s="29" t="s">
        <v>1214</v>
      </c>
      <c r="D607" s="23" t="s">
        <v>48</v>
      </c>
      <c r="E607" s="21">
        <v>63.49</v>
      </c>
    </row>
    <row r="608" spans="1:5" ht="30" customHeight="1" x14ac:dyDescent="0.35">
      <c r="A608">
        <f t="shared" si="11"/>
        <v>599</v>
      </c>
      <c r="B608" s="29" t="s">
        <v>1215</v>
      </c>
      <c r="C608" s="29" t="s">
        <v>1216</v>
      </c>
      <c r="D608" s="23" t="s">
        <v>48</v>
      </c>
      <c r="E608" s="21">
        <v>91.839999999999989</v>
      </c>
    </row>
    <row r="609" spans="1:5" ht="30" customHeight="1" x14ac:dyDescent="0.35">
      <c r="A609">
        <f t="shared" si="11"/>
        <v>600</v>
      </c>
      <c r="B609" s="29" t="s">
        <v>1217</v>
      </c>
      <c r="C609" s="29" t="s">
        <v>1218</v>
      </c>
      <c r="D609" s="23" t="s">
        <v>48</v>
      </c>
      <c r="E609" s="21">
        <v>425.74</v>
      </c>
    </row>
    <row r="610" spans="1:5" ht="30" customHeight="1" x14ac:dyDescent="0.35">
      <c r="A610">
        <f t="shared" si="11"/>
        <v>601</v>
      </c>
      <c r="B610" s="29" t="s">
        <v>1219</v>
      </c>
      <c r="C610" s="29" t="s">
        <v>1220</v>
      </c>
      <c r="D610" s="23" t="s">
        <v>48</v>
      </c>
      <c r="E610" s="21">
        <v>502.83000000000004</v>
      </c>
    </row>
    <row r="611" spans="1:5" ht="30" customHeight="1" x14ac:dyDescent="0.35">
      <c r="A611">
        <f t="shared" si="11"/>
        <v>602</v>
      </c>
      <c r="B611" s="29" t="s">
        <v>1221</v>
      </c>
      <c r="C611" s="29" t="s">
        <v>1222</v>
      </c>
      <c r="D611" s="23" t="s">
        <v>48</v>
      </c>
      <c r="E611" s="21">
        <v>609.9799999999999</v>
      </c>
    </row>
    <row r="612" spans="1:5" ht="30" customHeight="1" x14ac:dyDescent="0.35">
      <c r="A612">
        <f t="shared" si="11"/>
        <v>603</v>
      </c>
      <c r="B612" s="29" t="s">
        <v>1223</v>
      </c>
      <c r="C612" s="29" t="s">
        <v>1224</v>
      </c>
      <c r="D612" s="39" t="s">
        <v>31</v>
      </c>
      <c r="E612" s="21">
        <v>2681.34</v>
      </c>
    </row>
    <row r="613" spans="1:5" ht="30" customHeight="1" x14ac:dyDescent="0.35">
      <c r="A613">
        <f t="shared" si="11"/>
        <v>604</v>
      </c>
      <c r="B613" s="29" t="s">
        <v>1225</v>
      </c>
      <c r="C613" s="29" t="s">
        <v>1226</v>
      </c>
      <c r="D613" s="39" t="s">
        <v>31</v>
      </c>
      <c r="E613" s="21">
        <v>5281.71</v>
      </c>
    </row>
    <row r="614" spans="1:5" ht="30" customHeight="1" x14ac:dyDescent="0.35">
      <c r="A614">
        <f t="shared" si="11"/>
        <v>605</v>
      </c>
      <c r="B614" s="29" t="s">
        <v>1227</v>
      </c>
      <c r="C614" s="29" t="s">
        <v>1228</v>
      </c>
      <c r="D614" s="39" t="s">
        <v>31</v>
      </c>
      <c r="E614" s="21">
        <v>4937.53</v>
      </c>
    </row>
    <row r="615" spans="1:5" ht="30" customHeight="1" x14ac:dyDescent="0.35">
      <c r="A615">
        <f t="shared" si="11"/>
        <v>606</v>
      </c>
      <c r="B615" s="29" t="s">
        <v>1229</v>
      </c>
      <c r="C615" s="29" t="s">
        <v>1230</v>
      </c>
      <c r="D615" s="39" t="s">
        <v>31</v>
      </c>
      <c r="E615" s="21">
        <v>6429.25</v>
      </c>
    </row>
    <row r="616" spans="1:5" ht="30" customHeight="1" x14ac:dyDescent="0.35">
      <c r="A616">
        <f t="shared" si="11"/>
        <v>607</v>
      </c>
      <c r="B616" s="29" t="s">
        <v>1231</v>
      </c>
      <c r="C616" s="29" t="s">
        <v>1232</v>
      </c>
      <c r="D616" s="39" t="s">
        <v>1174</v>
      </c>
      <c r="E616" s="21">
        <v>507.36</v>
      </c>
    </row>
    <row r="617" spans="1:5" ht="30" customHeight="1" x14ac:dyDescent="0.35">
      <c r="A617">
        <f t="shared" si="11"/>
        <v>608</v>
      </c>
      <c r="B617" s="29" t="s">
        <v>1233</v>
      </c>
      <c r="C617" s="29" t="s">
        <v>1234</v>
      </c>
      <c r="D617" s="39" t="s">
        <v>1174</v>
      </c>
      <c r="E617" s="21">
        <v>711.45</v>
      </c>
    </row>
    <row r="618" spans="1:5" ht="30" customHeight="1" x14ac:dyDescent="0.35">
      <c r="A618">
        <f t="shared" si="11"/>
        <v>609</v>
      </c>
      <c r="B618" s="29" t="s">
        <v>1235</v>
      </c>
      <c r="C618" s="29" t="s">
        <v>1236</v>
      </c>
      <c r="D618" s="39" t="s">
        <v>1174</v>
      </c>
      <c r="E618" s="21">
        <v>708.04</v>
      </c>
    </row>
    <row r="619" spans="1:5" ht="30" customHeight="1" x14ac:dyDescent="0.35">
      <c r="A619">
        <f t="shared" si="11"/>
        <v>610</v>
      </c>
      <c r="B619" s="29" t="s">
        <v>1237</v>
      </c>
      <c r="C619" s="29" t="s">
        <v>1238</v>
      </c>
      <c r="D619" s="39" t="s">
        <v>1174</v>
      </c>
      <c r="E619" s="21">
        <v>880.38</v>
      </c>
    </row>
    <row r="620" spans="1:5" ht="30" customHeight="1" x14ac:dyDescent="0.35">
      <c r="A620">
        <f t="shared" si="11"/>
        <v>611</v>
      </c>
      <c r="B620" s="29" t="s">
        <v>1239</v>
      </c>
      <c r="C620" s="29" t="s">
        <v>1240</v>
      </c>
      <c r="D620" s="39" t="s">
        <v>1174</v>
      </c>
      <c r="E620" s="21">
        <v>970.5</v>
      </c>
    </row>
    <row r="621" spans="1:5" ht="30" customHeight="1" x14ac:dyDescent="0.35">
      <c r="A621">
        <f t="shared" si="11"/>
        <v>612</v>
      </c>
      <c r="B621" s="29" t="s">
        <v>1241</v>
      </c>
      <c r="C621" s="29" t="s">
        <v>1242</v>
      </c>
      <c r="D621" s="39" t="s">
        <v>31</v>
      </c>
      <c r="E621" s="21">
        <v>40.5</v>
      </c>
    </row>
    <row r="622" spans="1:5" ht="30" customHeight="1" x14ac:dyDescent="0.35">
      <c r="A622" s="12">
        <f t="shared" si="11"/>
        <v>613</v>
      </c>
      <c r="B622" s="27" t="s">
        <v>1243</v>
      </c>
      <c r="C622" s="27" t="s">
        <v>1244</v>
      </c>
      <c r="D622" s="15" t="s">
        <v>8</v>
      </c>
      <c r="E622" s="16">
        <v>2.66</v>
      </c>
    </row>
    <row r="623" spans="1:5" ht="30" customHeight="1" x14ac:dyDescent="0.35">
      <c r="A623" s="12">
        <f t="shared" si="11"/>
        <v>614</v>
      </c>
      <c r="B623" s="27" t="s">
        <v>1245</v>
      </c>
      <c r="C623" s="27" t="s">
        <v>1246</v>
      </c>
      <c r="D623" s="15" t="s">
        <v>8</v>
      </c>
      <c r="E623" s="16">
        <v>3.15</v>
      </c>
    </row>
    <row r="624" spans="1:5" ht="30" customHeight="1" x14ac:dyDescent="0.35">
      <c r="A624">
        <f t="shared" si="11"/>
        <v>615</v>
      </c>
      <c r="B624" s="29" t="s">
        <v>1247</v>
      </c>
      <c r="C624" s="29" t="s">
        <v>1248</v>
      </c>
      <c r="D624" s="23" t="s">
        <v>48</v>
      </c>
      <c r="E624" s="21">
        <v>1197.8799999999999</v>
      </c>
    </row>
    <row r="625" spans="1:5" ht="30" customHeight="1" x14ac:dyDescent="0.35">
      <c r="A625">
        <f t="shared" si="11"/>
        <v>616</v>
      </c>
      <c r="B625" s="29" t="s">
        <v>1249</v>
      </c>
      <c r="C625" s="29" t="s">
        <v>1250</v>
      </c>
      <c r="D625" s="54" t="s">
        <v>31</v>
      </c>
      <c r="E625" s="21">
        <v>1760.52</v>
      </c>
    </row>
    <row r="626" spans="1:5" ht="30" customHeight="1" x14ac:dyDescent="0.35">
      <c r="A626">
        <f t="shared" si="11"/>
        <v>617</v>
      </c>
      <c r="B626" s="29" t="s">
        <v>1251</v>
      </c>
      <c r="C626" s="29" t="s">
        <v>1252</v>
      </c>
      <c r="D626" s="23" t="s">
        <v>48</v>
      </c>
      <c r="E626" s="21">
        <v>296.56</v>
      </c>
    </row>
    <row r="627" spans="1:5" ht="30" customHeight="1" x14ac:dyDescent="0.35">
      <c r="A627">
        <f t="shared" si="11"/>
        <v>618</v>
      </c>
      <c r="B627" s="29" t="s">
        <v>1253</v>
      </c>
      <c r="C627" s="29" t="s">
        <v>1254</v>
      </c>
      <c r="D627" s="54" t="s">
        <v>31</v>
      </c>
      <c r="E627" s="21">
        <v>1233.28</v>
      </c>
    </row>
    <row r="628" spans="1:5" ht="30" customHeight="1" x14ac:dyDescent="0.35">
      <c r="A628">
        <f t="shared" si="11"/>
        <v>619</v>
      </c>
      <c r="B628" s="29" t="s">
        <v>1255</v>
      </c>
      <c r="C628" s="29" t="s">
        <v>1256</v>
      </c>
      <c r="D628" s="23" t="s">
        <v>48</v>
      </c>
      <c r="E628" s="21">
        <v>900.22</v>
      </c>
    </row>
    <row r="629" spans="1:5" ht="30" customHeight="1" x14ac:dyDescent="0.35">
      <c r="A629">
        <f t="shared" si="11"/>
        <v>620</v>
      </c>
      <c r="B629" s="29" t="s">
        <v>1257</v>
      </c>
      <c r="C629" s="29" t="s">
        <v>1258</v>
      </c>
      <c r="D629" s="54" t="s">
        <v>31</v>
      </c>
      <c r="E629" s="21">
        <v>1633.8700000000001</v>
      </c>
    </row>
    <row r="630" spans="1:5" ht="30" customHeight="1" x14ac:dyDescent="0.35">
      <c r="A630">
        <f t="shared" si="11"/>
        <v>621</v>
      </c>
      <c r="B630" s="29" t="s">
        <v>1259</v>
      </c>
      <c r="C630" s="29" t="s">
        <v>1260</v>
      </c>
      <c r="D630" s="54" t="s">
        <v>1174</v>
      </c>
      <c r="E630" s="21">
        <v>2404.8399999999997</v>
      </c>
    </row>
    <row r="631" spans="1:5" ht="30" customHeight="1" x14ac:dyDescent="0.35">
      <c r="A631">
        <f t="shared" si="11"/>
        <v>622</v>
      </c>
      <c r="B631" s="29" t="s">
        <v>1261</v>
      </c>
      <c r="C631" s="29" t="s">
        <v>1262</v>
      </c>
      <c r="D631" s="54" t="s">
        <v>1174</v>
      </c>
      <c r="E631" s="21">
        <v>2859.48</v>
      </c>
    </row>
    <row r="632" spans="1:5" ht="30" customHeight="1" x14ac:dyDescent="0.35">
      <c r="A632">
        <f t="shared" si="11"/>
        <v>623</v>
      </c>
      <c r="B632" s="29" t="s">
        <v>1263</v>
      </c>
      <c r="C632" s="29" t="s">
        <v>1264</v>
      </c>
      <c r="D632" s="54" t="s">
        <v>1174</v>
      </c>
      <c r="E632" s="21">
        <v>4038.3</v>
      </c>
    </row>
    <row r="633" spans="1:5" ht="30" customHeight="1" x14ac:dyDescent="0.35">
      <c r="A633">
        <f t="shared" si="11"/>
        <v>624</v>
      </c>
      <c r="B633" s="29" t="s">
        <v>1265</v>
      </c>
      <c r="C633" s="29" t="s">
        <v>1266</v>
      </c>
      <c r="D633" s="39" t="s">
        <v>1174</v>
      </c>
      <c r="E633" s="21">
        <v>3028.05</v>
      </c>
    </row>
    <row r="634" spans="1:5" ht="30" customHeight="1" x14ac:dyDescent="0.35">
      <c r="A634">
        <f t="shared" si="11"/>
        <v>625</v>
      </c>
      <c r="B634" s="29" t="s">
        <v>1267</v>
      </c>
      <c r="C634" s="29" t="s">
        <v>1268</v>
      </c>
      <c r="D634" s="39" t="s">
        <v>1174</v>
      </c>
      <c r="E634" s="21">
        <v>3633.67</v>
      </c>
    </row>
    <row r="635" spans="1:5" ht="30" customHeight="1" x14ac:dyDescent="0.35">
      <c r="A635">
        <f t="shared" si="11"/>
        <v>626</v>
      </c>
      <c r="B635" s="29" t="s">
        <v>1269</v>
      </c>
      <c r="C635" s="29" t="s">
        <v>1270</v>
      </c>
      <c r="D635" s="39" t="s">
        <v>1174</v>
      </c>
      <c r="E635" s="21">
        <v>5614.66</v>
      </c>
    </row>
    <row r="636" spans="1:5" ht="30" customHeight="1" x14ac:dyDescent="0.35">
      <c r="A636">
        <f t="shared" si="11"/>
        <v>627</v>
      </c>
      <c r="B636" s="29" t="s">
        <v>1271</v>
      </c>
      <c r="C636" s="29" t="s">
        <v>1272</v>
      </c>
      <c r="D636" s="39" t="s">
        <v>31</v>
      </c>
      <c r="E636" s="21">
        <v>320.12</v>
      </c>
    </row>
    <row r="637" spans="1:5" ht="30" customHeight="1" x14ac:dyDescent="0.35">
      <c r="A637">
        <f t="shared" si="11"/>
        <v>628</v>
      </c>
      <c r="B637" s="29" t="s">
        <v>1273</v>
      </c>
      <c r="C637" s="29" t="s">
        <v>1274</v>
      </c>
      <c r="D637" s="39" t="s">
        <v>31</v>
      </c>
      <c r="E637" s="21">
        <v>577.17000000000007</v>
      </c>
    </row>
    <row r="638" spans="1:5" ht="30" customHeight="1" x14ac:dyDescent="0.35">
      <c r="A638">
        <f t="shared" si="11"/>
        <v>629</v>
      </c>
      <c r="B638" s="29" t="s">
        <v>1275</v>
      </c>
      <c r="C638" s="29" t="s">
        <v>1276</v>
      </c>
      <c r="D638" s="39" t="s">
        <v>31</v>
      </c>
      <c r="E638" s="21">
        <v>821.27</v>
      </c>
    </row>
    <row r="639" spans="1:5" ht="30" customHeight="1" x14ac:dyDescent="0.35">
      <c r="A639">
        <f t="shared" si="11"/>
        <v>630</v>
      </c>
      <c r="B639" s="29" t="s">
        <v>1277</v>
      </c>
      <c r="C639" s="29" t="s">
        <v>1278</v>
      </c>
      <c r="D639" s="54" t="s">
        <v>1174</v>
      </c>
      <c r="E639" s="21">
        <v>2781.79</v>
      </c>
    </row>
    <row r="640" spans="1:5" ht="30" customHeight="1" x14ac:dyDescent="0.35">
      <c r="A640">
        <f t="shared" si="11"/>
        <v>631</v>
      </c>
      <c r="B640" s="29" t="s">
        <v>1279</v>
      </c>
      <c r="C640" s="29" t="s">
        <v>1280</v>
      </c>
      <c r="D640" s="54" t="s">
        <v>1174</v>
      </c>
      <c r="E640" s="21">
        <v>3720.6800000000003</v>
      </c>
    </row>
    <row r="641" spans="1:5" ht="30" customHeight="1" x14ac:dyDescent="0.35">
      <c r="A641">
        <f t="shared" si="11"/>
        <v>632</v>
      </c>
      <c r="B641" s="29" t="s">
        <v>1281</v>
      </c>
      <c r="C641" s="29" t="s">
        <v>1282</v>
      </c>
      <c r="D641" s="54" t="s">
        <v>1174</v>
      </c>
      <c r="E641" s="21">
        <v>4865.28</v>
      </c>
    </row>
    <row r="642" spans="1:5" ht="30" customHeight="1" x14ac:dyDescent="0.35">
      <c r="A642">
        <f t="shared" si="11"/>
        <v>633</v>
      </c>
      <c r="B642" s="29" t="s">
        <v>1283</v>
      </c>
      <c r="C642" s="29" t="s">
        <v>1284</v>
      </c>
      <c r="D642" s="54" t="s">
        <v>1174</v>
      </c>
      <c r="E642" s="21">
        <v>3003.96</v>
      </c>
    </row>
    <row r="643" spans="1:5" ht="30" customHeight="1" x14ac:dyDescent="0.35">
      <c r="A643">
        <f t="shared" si="11"/>
        <v>634</v>
      </c>
      <c r="B643" s="29" t="s">
        <v>1285</v>
      </c>
      <c r="C643" s="29" t="s">
        <v>1286</v>
      </c>
      <c r="D643" s="54" t="s">
        <v>1174</v>
      </c>
      <c r="E643" s="21">
        <v>3904.81</v>
      </c>
    </row>
    <row r="644" spans="1:5" ht="30" customHeight="1" x14ac:dyDescent="0.35">
      <c r="A644">
        <f t="shared" si="11"/>
        <v>635</v>
      </c>
      <c r="B644" s="29" t="s">
        <v>1287</v>
      </c>
      <c r="C644" s="29" t="s">
        <v>1288</v>
      </c>
      <c r="D644" s="54" t="s">
        <v>1174</v>
      </c>
      <c r="E644" s="21">
        <v>5254.87</v>
      </c>
    </row>
    <row r="645" spans="1:5" ht="30" customHeight="1" x14ac:dyDescent="0.35">
      <c r="A645">
        <f t="shared" si="11"/>
        <v>636</v>
      </c>
      <c r="B645" s="29" t="s">
        <v>1289</v>
      </c>
      <c r="C645" s="29" t="s">
        <v>1290</v>
      </c>
      <c r="D645" s="54" t="s">
        <v>31</v>
      </c>
      <c r="E645" s="21">
        <v>302.81</v>
      </c>
    </row>
    <row r="646" spans="1:5" ht="30" customHeight="1" x14ac:dyDescent="0.35">
      <c r="A646">
        <f t="shared" si="11"/>
        <v>637</v>
      </c>
      <c r="B646" s="29" t="s">
        <v>1291</v>
      </c>
      <c r="C646" s="29" t="s">
        <v>1292</v>
      </c>
      <c r="D646" s="54" t="s">
        <v>31</v>
      </c>
      <c r="E646" s="21">
        <v>577.17000000000007</v>
      </c>
    </row>
    <row r="647" spans="1:5" ht="30" customHeight="1" x14ac:dyDescent="0.35">
      <c r="A647">
        <f t="shared" si="11"/>
        <v>638</v>
      </c>
      <c r="B647" s="29" t="s">
        <v>1293</v>
      </c>
      <c r="C647" s="29" t="s">
        <v>1294</v>
      </c>
      <c r="D647" s="54" t="s">
        <v>31</v>
      </c>
      <c r="E647" s="21">
        <v>739.15</v>
      </c>
    </row>
    <row r="648" spans="1:5" ht="30" customHeight="1" x14ac:dyDescent="0.35">
      <c r="A648">
        <f t="shared" si="11"/>
        <v>639</v>
      </c>
      <c r="B648" s="29" t="s">
        <v>1295</v>
      </c>
      <c r="C648" s="29" t="s">
        <v>1296</v>
      </c>
      <c r="D648" s="54" t="s">
        <v>1174</v>
      </c>
      <c r="E648" s="21">
        <v>304.29000000000002</v>
      </c>
    </row>
    <row r="649" spans="1:5" ht="30" customHeight="1" x14ac:dyDescent="0.35">
      <c r="A649">
        <f t="shared" si="11"/>
        <v>640</v>
      </c>
      <c r="B649" s="29" t="s">
        <v>1297</v>
      </c>
      <c r="C649" s="29" t="s">
        <v>1298</v>
      </c>
      <c r="D649" s="54" t="s">
        <v>1174</v>
      </c>
      <c r="E649" s="21">
        <v>378.7</v>
      </c>
    </row>
    <row r="650" spans="1:5" ht="30" customHeight="1" x14ac:dyDescent="0.35">
      <c r="A650">
        <f t="shared" si="11"/>
        <v>641</v>
      </c>
      <c r="B650" s="29" t="s">
        <v>1299</v>
      </c>
      <c r="C650" s="29" t="s">
        <v>1300</v>
      </c>
      <c r="D650" s="23" t="s">
        <v>48</v>
      </c>
      <c r="E650" s="21">
        <v>172.43</v>
      </c>
    </row>
    <row r="651" spans="1:5" ht="30" customHeight="1" x14ac:dyDescent="0.35">
      <c r="A651">
        <f t="shared" si="11"/>
        <v>642</v>
      </c>
      <c r="B651" s="29" t="s">
        <v>1301</v>
      </c>
      <c r="C651" s="29" t="s">
        <v>1302</v>
      </c>
      <c r="D651" s="23" t="s">
        <v>48</v>
      </c>
      <c r="E651" s="21">
        <v>182.29</v>
      </c>
    </row>
    <row r="652" spans="1:5" ht="30" customHeight="1" x14ac:dyDescent="0.35">
      <c r="A652">
        <f t="shared" si="11"/>
        <v>643</v>
      </c>
      <c r="B652" s="29" t="s">
        <v>1303</v>
      </c>
      <c r="C652" s="29" t="s">
        <v>1304</v>
      </c>
      <c r="D652" s="23" t="s">
        <v>48</v>
      </c>
      <c r="E652" s="21">
        <v>205.32</v>
      </c>
    </row>
    <row r="653" spans="1:5" ht="30" customHeight="1" x14ac:dyDescent="0.35">
      <c r="A653">
        <f t="shared" si="11"/>
        <v>644</v>
      </c>
      <c r="B653" s="29" t="s">
        <v>1305</v>
      </c>
      <c r="C653" s="29" t="s">
        <v>1306</v>
      </c>
      <c r="D653" s="23" t="s">
        <v>48</v>
      </c>
      <c r="E653" s="21">
        <v>319.26</v>
      </c>
    </row>
    <row r="654" spans="1:5" ht="30" customHeight="1" x14ac:dyDescent="0.35">
      <c r="A654">
        <f t="shared" si="11"/>
        <v>645</v>
      </c>
      <c r="B654" s="29" t="s">
        <v>1307</v>
      </c>
      <c r="C654" s="29" t="s">
        <v>1308</v>
      </c>
      <c r="D654" s="23" t="s">
        <v>48</v>
      </c>
      <c r="E654" s="21">
        <v>241.20000000000002</v>
      </c>
    </row>
    <row r="655" spans="1:5" ht="30" customHeight="1" x14ac:dyDescent="0.35">
      <c r="A655">
        <f t="shared" si="11"/>
        <v>646</v>
      </c>
      <c r="B655" s="29" t="s">
        <v>1309</v>
      </c>
      <c r="C655" s="29" t="s">
        <v>1310</v>
      </c>
      <c r="D655" s="23" t="s">
        <v>48</v>
      </c>
      <c r="E655" s="21">
        <v>329.12</v>
      </c>
    </row>
    <row r="656" spans="1:5" ht="30" customHeight="1" x14ac:dyDescent="0.35">
      <c r="A656">
        <f t="shared" si="11"/>
        <v>647</v>
      </c>
      <c r="B656" s="29" t="s">
        <v>1311</v>
      </c>
      <c r="C656" s="29" t="s">
        <v>1312</v>
      </c>
      <c r="D656" s="23" t="s">
        <v>48</v>
      </c>
      <c r="E656" s="21">
        <v>335.95</v>
      </c>
    </row>
    <row r="657" spans="1:5" ht="30" customHeight="1" x14ac:dyDescent="0.35">
      <c r="A657">
        <f t="shared" ref="A657:A720" si="12">A656+1</f>
        <v>648</v>
      </c>
      <c r="B657" s="29" t="s">
        <v>1313</v>
      </c>
      <c r="C657" s="29" t="s">
        <v>1314</v>
      </c>
      <c r="D657" s="23" t="s">
        <v>48</v>
      </c>
      <c r="E657" s="21">
        <v>515.33000000000004</v>
      </c>
    </row>
    <row r="658" spans="1:5" ht="30" customHeight="1" x14ac:dyDescent="0.35">
      <c r="A658">
        <f t="shared" si="12"/>
        <v>649</v>
      </c>
      <c r="B658" s="36" t="s">
        <v>1315</v>
      </c>
      <c r="C658" s="29" t="s">
        <v>1316</v>
      </c>
      <c r="D658" s="36" t="s">
        <v>1174</v>
      </c>
      <c r="E658" s="21">
        <v>1263.5899999999999</v>
      </c>
    </row>
    <row r="659" spans="1:5" ht="30" customHeight="1" x14ac:dyDescent="0.35">
      <c r="A659">
        <f t="shared" si="12"/>
        <v>650</v>
      </c>
      <c r="B659" s="29" t="s">
        <v>1317</v>
      </c>
      <c r="C659" s="29" t="s">
        <v>1318</v>
      </c>
      <c r="D659" s="29" t="s">
        <v>1174</v>
      </c>
      <c r="E659" s="21">
        <v>1919.62</v>
      </c>
    </row>
    <row r="660" spans="1:5" ht="30" customHeight="1" x14ac:dyDescent="0.35">
      <c r="A660">
        <f t="shared" si="12"/>
        <v>651</v>
      </c>
      <c r="B660" s="36" t="s">
        <v>1319</v>
      </c>
      <c r="C660" s="29" t="s">
        <v>1320</v>
      </c>
      <c r="D660" s="23" t="s">
        <v>48</v>
      </c>
      <c r="E660" s="21">
        <v>28.89</v>
      </c>
    </row>
    <row r="661" spans="1:5" ht="30" customHeight="1" x14ac:dyDescent="0.35">
      <c r="A661">
        <f t="shared" si="12"/>
        <v>652</v>
      </c>
      <c r="B661" s="29" t="s">
        <v>1321</v>
      </c>
      <c r="C661" s="29" t="s">
        <v>1322</v>
      </c>
      <c r="D661" s="23" t="s">
        <v>48</v>
      </c>
      <c r="E661" s="21">
        <v>154.71</v>
      </c>
    </row>
    <row r="662" spans="1:5" ht="30" customHeight="1" x14ac:dyDescent="0.35">
      <c r="A662">
        <f t="shared" si="12"/>
        <v>653</v>
      </c>
      <c r="B662" s="36" t="s">
        <v>1323</v>
      </c>
      <c r="C662" s="36" t="s">
        <v>1324</v>
      </c>
      <c r="D662" s="23" t="s">
        <v>48</v>
      </c>
      <c r="E662" s="21">
        <v>893.06999999999994</v>
      </c>
    </row>
    <row r="663" spans="1:5" ht="30" customHeight="1" x14ac:dyDescent="0.35">
      <c r="A663">
        <f t="shared" si="12"/>
        <v>654</v>
      </c>
      <c r="B663" s="29" t="s">
        <v>1325</v>
      </c>
      <c r="C663" s="29" t="s">
        <v>1326</v>
      </c>
      <c r="D663" s="23" t="s">
        <v>48</v>
      </c>
      <c r="E663" s="21">
        <v>1809.31</v>
      </c>
    </row>
    <row r="664" spans="1:5" ht="30" customHeight="1" x14ac:dyDescent="0.35">
      <c r="A664">
        <f t="shared" si="12"/>
        <v>655</v>
      </c>
      <c r="B664" s="36" t="s">
        <v>1327</v>
      </c>
      <c r="C664" s="36" t="s">
        <v>1328</v>
      </c>
      <c r="D664" s="23" t="s">
        <v>48</v>
      </c>
      <c r="E664" s="21">
        <v>1664.12</v>
      </c>
    </row>
    <row r="665" spans="1:5" ht="30" customHeight="1" x14ac:dyDescent="0.35">
      <c r="A665">
        <f t="shared" si="12"/>
        <v>656</v>
      </c>
      <c r="B665" s="29" t="s">
        <v>1329</v>
      </c>
      <c r="C665" s="29" t="s">
        <v>1330</v>
      </c>
      <c r="D665" s="23" t="s">
        <v>48</v>
      </c>
      <c r="E665" s="21">
        <v>199.14</v>
      </c>
    </row>
    <row r="666" spans="1:5" ht="30" customHeight="1" x14ac:dyDescent="0.35">
      <c r="A666">
        <f t="shared" si="12"/>
        <v>657</v>
      </c>
      <c r="B666" s="36" t="s">
        <v>1331</v>
      </c>
      <c r="C666" s="36" t="s">
        <v>1332</v>
      </c>
      <c r="D666" s="23" t="s">
        <v>48</v>
      </c>
      <c r="E666" s="21">
        <v>304.03000000000003</v>
      </c>
    </row>
    <row r="667" spans="1:5" ht="30" customHeight="1" x14ac:dyDescent="0.35">
      <c r="A667">
        <f t="shared" si="12"/>
        <v>658</v>
      </c>
      <c r="B667" s="29" t="s">
        <v>1333</v>
      </c>
      <c r="C667" s="29" t="s">
        <v>1334</v>
      </c>
      <c r="D667" s="23" t="s">
        <v>48</v>
      </c>
      <c r="E667" s="21">
        <v>199.14</v>
      </c>
    </row>
    <row r="668" spans="1:5" ht="30" customHeight="1" x14ac:dyDescent="0.35">
      <c r="A668">
        <f t="shared" si="12"/>
        <v>659</v>
      </c>
      <c r="B668" s="36" t="s">
        <v>1335</v>
      </c>
      <c r="C668" s="36" t="s">
        <v>1336</v>
      </c>
      <c r="D668" s="23" t="s">
        <v>48</v>
      </c>
      <c r="E668" s="21">
        <v>294.14</v>
      </c>
    </row>
    <row r="669" spans="1:5" ht="30" customHeight="1" x14ac:dyDescent="0.35">
      <c r="A669">
        <f t="shared" si="12"/>
        <v>660</v>
      </c>
      <c r="B669" s="29" t="s">
        <v>1337</v>
      </c>
      <c r="C669" s="29" t="s">
        <v>1338</v>
      </c>
      <c r="D669" s="23" t="s">
        <v>48</v>
      </c>
      <c r="E669" s="21">
        <v>581.91999999999996</v>
      </c>
    </row>
    <row r="670" spans="1:5" ht="30" customHeight="1" x14ac:dyDescent="0.35">
      <c r="A670">
        <f t="shared" si="12"/>
        <v>661</v>
      </c>
      <c r="B670" s="36" t="s">
        <v>1339</v>
      </c>
      <c r="C670" s="36" t="s">
        <v>1340</v>
      </c>
      <c r="D670" s="23" t="s">
        <v>48</v>
      </c>
      <c r="E670" s="21">
        <v>821.53</v>
      </c>
    </row>
    <row r="671" spans="1:5" ht="30" customHeight="1" x14ac:dyDescent="0.35">
      <c r="A671">
        <f t="shared" si="12"/>
        <v>662</v>
      </c>
      <c r="B671" s="36" t="s">
        <v>1341</v>
      </c>
      <c r="C671" s="36" t="s">
        <v>1342</v>
      </c>
      <c r="D671" s="23" t="s">
        <v>48</v>
      </c>
      <c r="E671" s="21">
        <v>898.17</v>
      </c>
    </row>
    <row r="672" spans="1:5" ht="30" customHeight="1" x14ac:dyDescent="0.35">
      <c r="A672">
        <f t="shared" si="12"/>
        <v>663</v>
      </c>
      <c r="B672" s="29" t="s">
        <v>1343</v>
      </c>
      <c r="C672" s="29" t="s">
        <v>1344</v>
      </c>
      <c r="D672" s="23" t="s">
        <v>48</v>
      </c>
      <c r="E672" s="21">
        <v>397.47999999999996</v>
      </c>
    </row>
    <row r="673" spans="1:5" ht="30" customHeight="1" x14ac:dyDescent="0.35">
      <c r="A673">
        <f t="shared" si="12"/>
        <v>664</v>
      </c>
      <c r="B673" s="36" t="s">
        <v>1345</v>
      </c>
      <c r="C673" s="36" t="s">
        <v>1346</v>
      </c>
      <c r="D673" s="23" t="s">
        <v>48</v>
      </c>
      <c r="E673" s="21">
        <v>309.08</v>
      </c>
    </row>
    <row r="674" spans="1:5" ht="30" customHeight="1" x14ac:dyDescent="0.35">
      <c r="A674">
        <f t="shared" si="12"/>
        <v>665</v>
      </c>
      <c r="B674" s="36" t="s">
        <v>1347</v>
      </c>
      <c r="C674" s="36" t="s">
        <v>1348</v>
      </c>
      <c r="D674" s="36" t="s">
        <v>31</v>
      </c>
      <c r="E674" s="21">
        <v>3014.2099999999996</v>
      </c>
    </row>
    <row r="675" spans="1:5" ht="30" customHeight="1" x14ac:dyDescent="0.35">
      <c r="A675">
        <f t="shared" si="12"/>
        <v>666</v>
      </c>
      <c r="B675" s="29" t="s">
        <v>1349</v>
      </c>
      <c r="C675" s="29" t="s">
        <v>1350</v>
      </c>
      <c r="D675" s="29" t="s">
        <v>31</v>
      </c>
      <c r="E675" s="21">
        <v>3399.55</v>
      </c>
    </row>
    <row r="676" spans="1:5" ht="30" customHeight="1" x14ac:dyDescent="0.35">
      <c r="A676">
        <f t="shared" si="12"/>
        <v>667</v>
      </c>
      <c r="B676" s="36" t="s">
        <v>1351</v>
      </c>
      <c r="C676" s="36" t="s">
        <v>1352</v>
      </c>
      <c r="D676" s="36" t="s">
        <v>31</v>
      </c>
      <c r="E676" s="21">
        <v>902.5</v>
      </c>
    </row>
    <row r="677" spans="1:5" ht="30" customHeight="1" x14ac:dyDescent="0.35">
      <c r="A677">
        <f t="shared" si="12"/>
        <v>668</v>
      </c>
      <c r="B677" s="29" t="s">
        <v>1353</v>
      </c>
      <c r="C677" s="29" t="s">
        <v>1354</v>
      </c>
      <c r="D677" s="29" t="s">
        <v>31</v>
      </c>
      <c r="E677" s="21">
        <v>2308.2800000000002</v>
      </c>
    </row>
    <row r="678" spans="1:5" ht="30" customHeight="1" x14ac:dyDescent="0.35">
      <c r="A678">
        <f t="shared" si="12"/>
        <v>669</v>
      </c>
      <c r="B678" s="36" t="s">
        <v>1355</v>
      </c>
      <c r="C678" s="36" t="s">
        <v>1356</v>
      </c>
      <c r="D678" s="36" t="s">
        <v>31</v>
      </c>
      <c r="E678" s="21">
        <v>5103.2299999999996</v>
      </c>
    </row>
    <row r="679" spans="1:5" ht="30" customHeight="1" x14ac:dyDescent="0.35">
      <c r="A679">
        <f t="shared" si="12"/>
        <v>670</v>
      </c>
      <c r="B679" s="29" t="s">
        <v>1357</v>
      </c>
      <c r="C679" s="29" t="s">
        <v>1358</v>
      </c>
      <c r="D679" s="23" t="s">
        <v>48</v>
      </c>
      <c r="E679" s="21">
        <v>383.83000000000004</v>
      </c>
    </row>
    <row r="680" spans="1:5" ht="30" customHeight="1" x14ac:dyDescent="0.35">
      <c r="A680">
        <f t="shared" si="12"/>
        <v>671</v>
      </c>
      <c r="B680" s="36" t="s">
        <v>1359</v>
      </c>
      <c r="C680" s="36" t="s">
        <v>1360</v>
      </c>
      <c r="D680" s="23" t="s">
        <v>48</v>
      </c>
      <c r="E680" s="21">
        <v>415</v>
      </c>
    </row>
    <row r="681" spans="1:5" ht="30" customHeight="1" x14ac:dyDescent="0.35">
      <c r="A681">
        <f t="shared" si="12"/>
        <v>672</v>
      </c>
      <c r="B681" s="29" t="s">
        <v>1361</v>
      </c>
      <c r="C681" s="29" t="s">
        <v>1362</v>
      </c>
      <c r="D681" s="23" t="s">
        <v>48</v>
      </c>
      <c r="E681" s="21">
        <v>559.4</v>
      </c>
    </row>
    <row r="682" spans="1:5" ht="30" customHeight="1" x14ac:dyDescent="0.35">
      <c r="A682">
        <f t="shared" si="12"/>
        <v>673</v>
      </c>
      <c r="B682" s="36" t="s">
        <v>1363</v>
      </c>
      <c r="C682" s="36" t="s">
        <v>1364</v>
      </c>
      <c r="D682" s="23" t="s">
        <v>48</v>
      </c>
      <c r="E682" s="21">
        <v>689.76</v>
      </c>
    </row>
    <row r="683" spans="1:5" ht="30" customHeight="1" x14ac:dyDescent="0.35">
      <c r="A683">
        <f t="shared" si="12"/>
        <v>674</v>
      </c>
      <c r="B683" s="29" t="s">
        <v>1365</v>
      </c>
      <c r="C683" s="29" t="s">
        <v>1366</v>
      </c>
      <c r="D683" s="23" t="s">
        <v>48</v>
      </c>
      <c r="E683" s="21">
        <v>68.41</v>
      </c>
    </row>
    <row r="684" spans="1:5" ht="30" customHeight="1" x14ac:dyDescent="0.35">
      <c r="A684">
        <f t="shared" si="12"/>
        <v>675</v>
      </c>
      <c r="B684" s="36" t="s">
        <v>1367</v>
      </c>
      <c r="C684" s="36" t="s">
        <v>1368</v>
      </c>
      <c r="D684" s="23" t="s">
        <v>48</v>
      </c>
      <c r="E684" s="21">
        <v>100.33</v>
      </c>
    </row>
    <row r="685" spans="1:5" ht="30" customHeight="1" x14ac:dyDescent="0.35">
      <c r="A685">
        <f t="shared" si="12"/>
        <v>676</v>
      </c>
      <c r="B685" s="29" t="s">
        <v>1369</v>
      </c>
      <c r="C685" s="29" t="s">
        <v>1370</v>
      </c>
      <c r="D685" s="23" t="s">
        <v>48</v>
      </c>
      <c r="E685" s="21">
        <v>136.04999999999998</v>
      </c>
    </row>
    <row r="686" spans="1:5" ht="30" customHeight="1" x14ac:dyDescent="0.35">
      <c r="A686">
        <f t="shared" si="12"/>
        <v>677</v>
      </c>
      <c r="B686" s="36" t="s">
        <v>1371</v>
      </c>
      <c r="C686" s="36" t="s">
        <v>1372</v>
      </c>
      <c r="D686" s="23" t="s">
        <v>48</v>
      </c>
      <c r="E686" s="21">
        <v>173.3</v>
      </c>
    </row>
    <row r="687" spans="1:5" ht="30" customHeight="1" x14ac:dyDescent="0.35">
      <c r="A687">
        <f t="shared" si="12"/>
        <v>678</v>
      </c>
      <c r="B687" s="29" t="s">
        <v>1373</v>
      </c>
      <c r="C687" s="29" t="s">
        <v>1374</v>
      </c>
      <c r="D687" s="23" t="s">
        <v>48</v>
      </c>
      <c r="E687" s="21">
        <v>262.21999999999997</v>
      </c>
    </row>
    <row r="688" spans="1:5" ht="30" customHeight="1" x14ac:dyDescent="0.35">
      <c r="A688">
        <f t="shared" si="12"/>
        <v>679</v>
      </c>
      <c r="B688" s="36" t="s">
        <v>1375</v>
      </c>
      <c r="C688" s="36" t="s">
        <v>1376</v>
      </c>
      <c r="D688" s="23" t="s">
        <v>48</v>
      </c>
      <c r="E688" s="21">
        <v>2249.1799999999998</v>
      </c>
    </row>
    <row r="689" spans="1:5" ht="30" customHeight="1" x14ac:dyDescent="0.35">
      <c r="A689">
        <f t="shared" si="12"/>
        <v>680</v>
      </c>
      <c r="B689" s="29" t="s">
        <v>1377</v>
      </c>
      <c r="C689" s="29" t="s">
        <v>1378</v>
      </c>
      <c r="D689" s="23" t="s">
        <v>48</v>
      </c>
      <c r="E689" s="21">
        <v>1085.3499999999999</v>
      </c>
    </row>
    <row r="690" spans="1:5" ht="30" customHeight="1" x14ac:dyDescent="0.35">
      <c r="A690">
        <f t="shared" si="12"/>
        <v>681</v>
      </c>
      <c r="B690" s="36" t="s">
        <v>1379</v>
      </c>
      <c r="C690" s="36" t="s">
        <v>1380</v>
      </c>
      <c r="D690" s="23" t="s">
        <v>48</v>
      </c>
      <c r="E690" s="21">
        <v>2720.0499999999997</v>
      </c>
    </row>
    <row r="691" spans="1:5" ht="30" customHeight="1" x14ac:dyDescent="0.35">
      <c r="A691">
        <f t="shared" si="12"/>
        <v>682</v>
      </c>
      <c r="B691" s="29" t="s">
        <v>1381</v>
      </c>
      <c r="C691" s="29" t="s">
        <v>1382</v>
      </c>
      <c r="D691" s="23" t="s">
        <v>48</v>
      </c>
      <c r="E691" s="21">
        <v>1377.5600000000002</v>
      </c>
    </row>
    <row r="692" spans="1:5" ht="30" customHeight="1" x14ac:dyDescent="0.35">
      <c r="A692">
        <f t="shared" si="12"/>
        <v>683</v>
      </c>
      <c r="B692" s="36" t="s">
        <v>1383</v>
      </c>
      <c r="C692" s="36" t="s">
        <v>1384</v>
      </c>
      <c r="D692" s="23" t="s">
        <v>48</v>
      </c>
      <c r="E692" s="21">
        <v>163.41999999999999</v>
      </c>
    </row>
    <row r="693" spans="1:5" ht="30" customHeight="1" x14ac:dyDescent="0.35">
      <c r="A693">
        <f t="shared" si="12"/>
        <v>684</v>
      </c>
      <c r="B693" s="29" t="s">
        <v>1385</v>
      </c>
      <c r="C693" s="29" t="s">
        <v>1386</v>
      </c>
      <c r="D693" s="23" t="s">
        <v>48</v>
      </c>
      <c r="E693" s="21">
        <v>393.71000000000004</v>
      </c>
    </row>
    <row r="694" spans="1:5" ht="30" customHeight="1" x14ac:dyDescent="0.35">
      <c r="A694">
        <f t="shared" si="12"/>
        <v>685</v>
      </c>
      <c r="B694" s="36" t="s">
        <v>1387</v>
      </c>
      <c r="C694" s="36" t="s">
        <v>1388</v>
      </c>
      <c r="D694" s="23" t="s">
        <v>48</v>
      </c>
      <c r="E694" s="21">
        <v>525.96</v>
      </c>
    </row>
    <row r="695" spans="1:5" ht="30" customHeight="1" x14ac:dyDescent="0.35">
      <c r="A695">
        <f t="shared" si="12"/>
        <v>686</v>
      </c>
      <c r="B695" s="29" t="s">
        <v>1389</v>
      </c>
      <c r="C695" s="29" t="s">
        <v>1390</v>
      </c>
      <c r="D695" s="23" t="s">
        <v>48</v>
      </c>
      <c r="E695" s="21">
        <v>997.96</v>
      </c>
    </row>
    <row r="696" spans="1:5" ht="30" customHeight="1" x14ac:dyDescent="0.35">
      <c r="A696">
        <f t="shared" si="12"/>
        <v>687</v>
      </c>
      <c r="B696" s="36" t="s">
        <v>1391</v>
      </c>
      <c r="C696" s="29" t="s">
        <v>1392</v>
      </c>
      <c r="D696" s="24" t="s">
        <v>1174</v>
      </c>
      <c r="E696" s="21">
        <v>4773.87</v>
      </c>
    </row>
    <row r="697" spans="1:5" ht="30" customHeight="1" x14ac:dyDescent="0.35">
      <c r="A697">
        <f t="shared" si="12"/>
        <v>688</v>
      </c>
      <c r="B697" s="29" t="s">
        <v>1393</v>
      </c>
      <c r="C697" s="29" t="s">
        <v>1394</v>
      </c>
      <c r="D697" s="22" t="s">
        <v>1174</v>
      </c>
      <c r="E697" s="21">
        <v>5354.11</v>
      </c>
    </row>
    <row r="698" spans="1:5" ht="30" customHeight="1" x14ac:dyDescent="0.35">
      <c r="A698">
        <f t="shared" si="12"/>
        <v>689</v>
      </c>
      <c r="B698" s="29" t="s">
        <v>1395</v>
      </c>
      <c r="C698" s="29" t="s">
        <v>1396</v>
      </c>
      <c r="D698" s="22" t="s">
        <v>710</v>
      </c>
      <c r="E698" s="21">
        <v>12105.820000000002</v>
      </c>
    </row>
    <row r="699" spans="1:5" ht="30" customHeight="1" x14ac:dyDescent="0.35">
      <c r="A699">
        <f t="shared" si="12"/>
        <v>690</v>
      </c>
      <c r="B699" s="36" t="s">
        <v>1397</v>
      </c>
      <c r="C699" s="29" t="s">
        <v>1398</v>
      </c>
      <c r="D699" s="24" t="s">
        <v>1174</v>
      </c>
      <c r="E699" s="21">
        <v>1285.73</v>
      </c>
    </row>
    <row r="700" spans="1:5" ht="30" customHeight="1" x14ac:dyDescent="0.35">
      <c r="A700">
        <f t="shared" si="12"/>
        <v>691</v>
      </c>
      <c r="B700" s="29" t="s">
        <v>1399</v>
      </c>
      <c r="C700" s="29" t="s">
        <v>1400</v>
      </c>
      <c r="D700" s="22" t="s">
        <v>1174</v>
      </c>
      <c r="E700" s="21">
        <v>239.76000000000002</v>
      </c>
    </row>
    <row r="701" spans="1:5" ht="30" customHeight="1" x14ac:dyDescent="0.35">
      <c r="A701">
        <f t="shared" si="12"/>
        <v>692</v>
      </c>
      <c r="B701" s="36" t="s">
        <v>1401</v>
      </c>
      <c r="C701" s="29" t="s">
        <v>1402</v>
      </c>
      <c r="D701" s="24" t="s">
        <v>1174</v>
      </c>
      <c r="E701" s="21">
        <v>254.09999999999997</v>
      </c>
    </row>
    <row r="702" spans="1:5" ht="30" customHeight="1" x14ac:dyDescent="0.35">
      <c r="A702">
        <f t="shared" si="12"/>
        <v>693</v>
      </c>
      <c r="B702" s="36" t="s">
        <v>1403</v>
      </c>
      <c r="C702" s="36" t="s">
        <v>1404</v>
      </c>
      <c r="D702" s="23" t="s">
        <v>48</v>
      </c>
      <c r="E702" s="21">
        <v>472.76</v>
      </c>
    </row>
    <row r="703" spans="1:5" ht="30" customHeight="1" x14ac:dyDescent="0.35">
      <c r="A703">
        <f t="shared" si="12"/>
        <v>694</v>
      </c>
      <c r="B703" s="29" t="s">
        <v>1405</v>
      </c>
      <c r="C703" s="29" t="s">
        <v>1406</v>
      </c>
      <c r="D703" s="22" t="s">
        <v>1174</v>
      </c>
      <c r="E703" s="21">
        <v>2859.26</v>
      </c>
    </row>
    <row r="704" spans="1:5" ht="30" customHeight="1" x14ac:dyDescent="0.35">
      <c r="A704">
        <f t="shared" si="12"/>
        <v>695</v>
      </c>
      <c r="B704" s="36" t="s">
        <v>1407</v>
      </c>
      <c r="C704" s="36" t="s">
        <v>1408</v>
      </c>
      <c r="D704" s="23" t="s">
        <v>48</v>
      </c>
      <c r="E704" s="21">
        <v>1950.98</v>
      </c>
    </row>
    <row r="705" spans="1:5" ht="30" customHeight="1" x14ac:dyDescent="0.35">
      <c r="A705">
        <f t="shared" si="12"/>
        <v>696</v>
      </c>
      <c r="B705" s="29" t="s">
        <v>1409</v>
      </c>
      <c r="C705" s="29" t="s">
        <v>1410</v>
      </c>
      <c r="D705" s="23" t="s">
        <v>48</v>
      </c>
      <c r="E705" s="21">
        <v>81.680000000000007</v>
      </c>
    </row>
    <row r="706" spans="1:5" ht="30" customHeight="1" x14ac:dyDescent="0.35">
      <c r="A706">
        <f t="shared" si="12"/>
        <v>697</v>
      </c>
      <c r="B706" s="36" t="s">
        <v>1411</v>
      </c>
      <c r="C706" s="36" t="s">
        <v>1412</v>
      </c>
      <c r="D706" s="23" t="s">
        <v>48</v>
      </c>
      <c r="E706" s="21">
        <v>2588.9900000000002</v>
      </c>
    </row>
    <row r="707" spans="1:5" ht="30" customHeight="1" x14ac:dyDescent="0.35">
      <c r="A707">
        <f t="shared" si="12"/>
        <v>698</v>
      </c>
      <c r="B707" s="29" t="s">
        <v>1413</v>
      </c>
      <c r="C707" s="29" t="s">
        <v>1414</v>
      </c>
      <c r="D707" s="23" t="s">
        <v>48</v>
      </c>
      <c r="E707" s="21">
        <v>152.41999999999999</v>
      </c>
    </row>
    <row r="708" spans="1:5" ht="30" customHeight="1" x14ac:dyDescent="0.35">
      <c r="A708">
        <f t="shared" si="12"/>
        <v>699</v>
      </c>
      <c r="B708" s="36" t="s">
        <v>1415</v>
      </c>
      <c r="C708" s="36" t="s">
        <v>1416</v>
      </c>
      <c r="D708" s="24" t="s">
        <v>1174</v>
      </c>
      <c r="E708" s="21">
        <v>3183.1</v>
      </c>
    </row>
    <row r="709" spans="1:5" ht="30" customHeight="1" x14ac:dyDescent="0.35">
      <c r="A709">
        <f t="shared" si="12"/>
        <v>700</v>
      </c>
      <c r="B709" s="29" t="s">
        <v>1417</v>
      </c>
      <c r="C709" s="29" t="s">
        <v>1418</v>
      </c>
      <c r="D709" s="22" t="s">
        <v>1174</v>
      </c>
      <c r="E709" s="21">
        <v>4244.1400000000003</v>
      </c>
    </row>
    <row r="710" spans="1:5" ht="30" customHeight="1" x14ac:dyDescent="0.35">
      <c r="A710">
        <f t="shared" si="12"/>
        <v>701</v>
      </c>
      <c r="B710" s="36" t="s">
        <v>1419</v>
      </c>
      <c r="C710" s="36" t="s">
        <v>1420</v>
      </c>
      <c r="D710" s="24" t="s">
        <v>31</v>
      </c>
      <c r="E710" s="21">
        <v>545.73</v>
      </c>
    </row>
    <row r="711" spans="1:5" ht="30" customHeight="1" x14ac:dyDescent="0.35">
      <c r="A711">
        <f t="shared" si="12"/>
        <v>702</v>
      </c>
      <c r="B711" s="29" t="s">
        <v>1421</v>
      </c>
      <c r="C711" s="29" t="s">
        <v>1422</v>
      </c>
      <c r="D711" s="22" t="s">
        <v>31</v>
      </c>
      <c r="E711" s="21">
        <v>8423.67</v>
      </c>
    </row>
    <row r="712" spans="1:5" ht="30" customHeight="1" x14ac:dyDescent="0.35">
      <c r="A712">
        <f t="shared" si="12"/>
        <v>703</v>
      </c>
      <c r="B712" s="36" t="s">
        <v>1423</v>
      </c>
      <c r="C712" s="36" t="s">
        <v>1424</v>
      </c>
      <c r="D712" s="24" t="s">
        <v>31</v>
      </c>
      <c r="E712" s="21">
        <v>779.06000000000006</v>
      </c>
    </row>
    <row r="713" spans="1:5" ht="30" customHeight="1" x14ac:dyDescent="0.35">
      <c r="A713">
        <f t="shared" si="12"/>
        <v>704</v>
      </c>
      <c r="B713" s="29" t="s">
        <v>1425</v>
      </c>
      <c r="C713" s="29" t="s">
        <v>1426</v>
      </c>
      <c r="D713" s="22" t="s">
        <v>31</v>
      </c>
      <c r="E713" s="21">
        <v>10025.1</v>
      </c>
    </row>
    <row r="714" spans="1:5" ht="30" customHeight="1" x14ac:dyDescent="0.35">
      <c r="A714">
        <f t="shared" si="12"/>
        <v>705</v>
      </c>
      <c r="B714" s="36" t="s">
        <v>1427</v>
      </c>
      <c r="C714" s="36" t="s">
        <v>1428</v>
      </c>
      <c r="D714" s="24" t="s">
        <v>31</v>
      </c>
      <c r="E714" s="21">
        <v>934.87</v>
      </c>
    </row>
    <row r="715" spans="1:5" ht="30" customHeight="1" x14ac:dyDescent="0.35">
      <c r="A715">
        <f t="shared" si="12"/>
        <v>706</v>
      </c>
      <c r="B715" s="29" t="s">
        <v>1429</v>
      </c>
      <c r="C715" s="29" t="s">
        <v>1430</v>
      </c>
      <c r="D715" s="22" t="s">
        <v>31</v>
      </c>
      <c r="E715" s="21">
        <v>10395.25</v>
      </c>
    </row>
    <row r="716" spans="1:5" ht="30" customHeight="1" x14ac:dyDescent="0.35">
      <c r="A716">
        <f t="shared" si="12"/>
        <v>707</v>
      </c>
      <c r="B716" s="36" t="s">
        <v>1431</v>
      </c>
      <c r="C716" s="36" t="s">
        <v>1432</v>
      </c>
      <c r="D716" s="23" t="s">
        <v>48</v>
      </c>
      <c r="E716" s="21">
        <v>84.320000000000007</v>
      </c>
    </row>
    <row r="717" spans="1:5" ht="30" customHeight="1" x14ac:dyDescent="0.35">
      <c r="A717">
        <f t="shared" si="12"/>
        <v>708</v>
      </c>
      <c r="B717" s="29" t="s">
        <v>1433</v>
      </c>
      <c r="C717" s="29" t="s">
        <v>1434</v>
      </c>
      <c r="D717" s="23" t="s">
        <v>48</v>
      </c>
      <c r="E717" s="21">
        <v>102.7</v>
      </c>
    </row>
    <row r="718" spans="1:5" ht="30" customHeight="1" x14ac:dyDescent="0.35">
      <c r="A718">
        <f t="shared" si="12"/>
        <v>709</v>
      </c>
      <c r="B718" s="36" t="s">
        <v>1435</v>
      </c>
      <c r="C718" s="36" t="s">
        <v>1436</v>
      </c>
      <c r="D718" s="23" t="s">
        <v>48</v>
      </c>
      <c r="E718" s="21">
        <v>125.24000000000001</v>
      </c>
    </row>
    <row r="719" spans="1:5" ht="30" customHeight="1" x14ac:dyDescent="0.35">
      <c r="A719" s="12">
        <f t="shared" si="12"/>
        <v>710</v>
      </c>
      <c r="B719" s="27" t="s">
        <v>1437</v>
      </c>
      <c r="C719" s="27" t="s">
        <v>1438</v>
      </c>
      <c r="D719" s="26" t="s">
        <v>48</v>
      </c>
      <c r="E719" s="16">
        <v>835.72</v>
      </c>
    </row>
    <row r="720" spans="1:5" ht="30" customHeight="1" x14ac:dyDescent="0.35">
      <c r="A720">
        <f t="shared" si="12"/>
        <v>711</v>
      </c>
      <c r="B720" s="36" t="s">
        <v>1439</v>
      </c>
      <c r="C720" s="36" t="s">
        <v>1440</v>
      </c>
      <c r="D720" s="23" t="s">
        <v>48</v>
      </c>
      <c r="E720" s="21">
        <v>609.55999999999995</v>
      </c>
    </row>
    <row r="721" spans="1:5" ht="30" customHeight="1" x14ac:dyDescent="0.35">
      <c r="A721">
        <f t="shared" ref="A721:A784" si="13">A720+1</f>
        <v>712</v>
      </c>
      <c r="B721" s="29" t="s">
        <v>1441</v>
      </c>
      <c r="C721" s="29" t="s">
        <v>1442</v>
      </c>
      <c r="D721" s="23" t="s">
        <v>48</v>
      </c>
      <c r="E721" s="21">
        <v>79.66</v>
      </c>
    </row>
    <row r="722" spans="1:5" ht="30" customHeight="1" x14ac:dyDescent="0.35">
      <c r="A722">
        <f t="shared" si="13"/>
        <v>713</v>
      </c>
      <c r="B722" s="36" t="s">
        <v>1443</v>
      </c>
      <c r="C722" s="36" t="s">
        <v>1444</v>
      </c>
      <c r="D722" s="23" t="s">
        <v>48</v>
      </c>
      <c r="E722" s="21">
        <v>67.92</v>
      </c>
    </row>
    <row r="723" spans="1:5" ht="30" customHeight="1" x14ac:dyDescent="0.35">
      <c r="A723">
        <f t="shared" si="13"/>
        <v>714</v>
      </c>
      <c r="B723" s="29" t="s">
        <v>1445</v>
      </c>
      <c r="C723" s="29" t="s">
        <v>1446</v>
      </c>
      <c r="D723" s="23" t="s">
        <v>48</v>
      </c>
      <c r="E723" s="21">
        <v>58.05</v>
      </c>
    </row>
    <row r="724" spans="1:5" ht="30" customHeight="1" x14ac:dyDescent="0.35">
      <c r="A724">
        <f t="shared" si="13"/>
        <v>715</v>
      </c>
      <c r="B724" s="36" t="s">
        <v>1447</v>
      </c>
      <c r="C724" s="36" t="s">
        <v>1448</v>
      </c>
      <c r="D724" s="23" t="s">
        <v>48</v>
      </c>
      <c r="E724" s="21">
        <v>60.42</v>
      </c>
    </row>
    <row r="725" spans="1:5" ht="30" customHeight="1" x14ac:dyDescent="0.35">
      <c r="A725">
        <f t="shared" si="13"/>
        <v>716</v>
      </c>
      <c r="B725" s="29" t="s">
        <v>1449</v>
      </c>
      <c r="C725" s="29" t="s">
        <v>1450</v>
      </c>
      <c r="D725" s="23" t="s">
        <v>48</v>
      </c>
      <c r="E725" s="21">
        <v>236.38</v>
      </c>
    </row>
    <row r="726" spans="1:5" ht="30" customHeight="1" x14ac:dyDescent="0.35">
      <c r="A726">
        <f t="shared" si="13"/>
        <v>717</v>
      </c>
      <c r="B726" s="36" t="s">
        <v>1451</v>
      </c>
      <c r="C726" s="36" t="s">
        <v>1452</v>
      </c>
      <c r="D726" s="23" t="s">
        <v>48</v>
      </c>
      <c r="E726" s="21">
        <v>367.87</v>
      </c>
    </row>
    <row r="727" spans="1:5" ht="30" customHeight="1" x14ac:dyDescent="0.35">
      <c r="A727">
        <f t="shared" si="13"/>
        <v>718</v>
      </c>
      <c r="B727" s="36" t="s">
        <v>1453</v>
      </c>
      <c r="C727" s="36" t="s">
        <v>1454</v>
      </c>
      <c r="D727" s="23" t="s">
        <v>48</v>
      </c>
      <c r="E727" s="21">
        <v>2922.1</v>
      </c>
    </row>
    <row r="728" spans="1:5" ht="30" customHeight="1" x14ac:dyDescent="0.35">
      <c r="A728">
        <f t="shared" si="13"/>
        <v>719</v>
      </c>
      <c r="B728" s="29" t="s">
        <v>1455</v>
      </c>
      <c r="C728" s="29" t="s">
        <v>1456</v>
      </c>
      <c r="D728" s="23" t="s">
        <v>48</v>
      </c>
      <c r="E728" s="21">
        <v>102.94000000000001</v>
      </c>
    </row>
    <row r="729" spans="1:5" ht="30" customHeight="1" x14ac:dyDescent="0.35">
      <c r="A729">
        <f t="shared" si="13"/>
        <v>720</v>
      </c>
      <c r="B729" s="29" t="s">
        <v>1457</v>
      </c>
      <c r="C729" s="29" t="s">
        <v>1458</v>
      </c>
      <c r="D729" s="29" t="s">
        <v>31</v>
      </c>
      <c r="E729" s="21">
        <v>54444.42</v>
      </c>
    </row>
    <row r="730" spans="1:5" ht="30" customHeight="1" x14ac:dyDescent="0.35">
      <c r="A730">
        <f t="shared" si="13"/>
        <v>721</v>
      </c>
      <c r="B730" s="36" t="s">
        <v>1459</v>
      </c>
      <c r="C730" s="36" t="s">
        <v>1460</v>
      </c>
      <c r="D730" s="36" t="s">
        <v>1174</v>
      </c>
      <c r="E730" s="21">
        <v>13535.97</v>
      </c>
    </row>
    <row r="731" spans="1:5" ht="30" customHeight="1" x14ac:dyDescent="0.35">
      <c r="A731">
        <f t="shared" si="13"/>
        <v>722</v>
      </c>
      <c r="B731" s="29" t="s">
        <v>1461</v>
      </c>
      <c r="C731" s="29" t="s">
        <v>1462</v>
      </c>
      <c r="D731" s="29" t="s">
        <v>31</v>
      </c>
      <c r="E731" s="21">
        <v>40668.85</v>
      </c>
    </row>
    <row r="732" spans="1:5" ht="30" customHeight="1" x14ac:dyDescent="0.35">
      <c r="A732">
        <f t="shared" si="13"/>
        <v>723</v>
      </c>
      <c r="B732" s="36" t="s">
        <v>1463</v>
      </c>
      <c r="C732" s="36" t="s">
        <v>1464</v>
      </c>
      <c r="D732" s="36" t="s">
        <v>1174</v>
      </c>
      <c r="E732" s="21">
        <v>11948.859999999999</v>
      </c>
    </row>
    <row r="733" spans="1:5" ht="30" customHeight="1" x14ac:dyDescent="0.35">
      <c r="A733" s="12">
        <f t="shared" si="13"/>
        <v>724</v>
      </c>
      <c r="B733" s="27" t="s">
        <v>1465</v>
      </c>
      <c r="C733" s="27" t="s">
        <v>1466</v>
      </c>
      <c r="D733" s="26" t="s">
        <v>48</v>
      </c>
      <c r="E733" s="16">
        <v>1192.69</v>
      </c>
    </row>
    <row r="734" spans="1:5" ht="30" customHeight="1" x14ac:dyDescent="0.35">
      <c r="A734">
        <f t="shared" si="13"/>
        <v>725</v>
      </c>
      <c r="B734" s="36" t="s">
        <v>1467</v>
      </c>
      <c r="C734" s="36" t="s">
        <v>1468</v>
      </c>
      <c r="D734" s="36" t="s">
        <v>11</v>
      </c>
      <c r="E734" s="21">
        <v>1001.8699999999999</v>
      </c>
    </row>
    <row r="735" spans="1:5" ht="30" customHeight="1" x14ac:dyDescent="0.35">
      <c r="A735">
        <f t="shared" si="13"/>
        <v>726</v>
      </c>
      <c r="B735" s="29" t="s">
        <v>1469</v>
      </c>
      <c r="C735" s="29" t="s">
        <v>1470</v>
      </c>
      <c r="D735" s="22" t="s">
        <v>710</v>
      </c>
      <c r="E735" s="21">
        <v>2045.47</v>
      </c>
    </row>
    <row r="736" spans="1:5" ht="30" customHeight="1" x14ac:dyDescent="0.35">
      <c r="A736">
        <f t="shared" si="13"/>
        <v>727</v>
      </c>
      <c r="B736" s="36" t="s">
        <v>1471</v>
      </c>
      <c r="C736" s="29" t="s">
        <v>1472</v>
      </c>
      <c r="D736" s="22" t="s">
        <v>710</v>
      </c>
      <c r="E736" s="21">
        <v>2588.15</v>
      </c>
    </row>
    <row r="737" spans="1:5" ht="30" customHeight="1" x14ac:dyDescent="0.35">
      <c r="A737">
        <f t="shared" si="13"/>
        <v>728</v>
      </c>
      <c r="B737" s="29" t="s">
        <v>1473</v>
      </c>
      <c r="C737" s="29" t="s">
        <v>1474</v>
      </c>
      <c r="D737" s="29" t="s">
        <v>11</v>
      </c>
      <c r="E737" s="21">
        <v>793.15000000000009</v>
      </c>
    </row>
    <row r="738" spans="1:5" ht="30" customHeight="1" x14ac:dyDescent="0.35">
      <c r="A738">
        <f t="shared" si="13"/>
        <v>729</v>
      </c>
      <c r="B738" s="39" t="s">
        <v>1475</v>
      </c>
      <c r="C738" s="39" t="s">
        <v>1476</v>
      </c>
      <c r="D738" s="39" t="s">
        <v>710</v>
      </c>
      <c r="E738" s="21">
        <v>10412.5</v>
      </c>
    </row>
    <row r="739" spans="1:5" ht="30" customHeight="1" x14ac:dyDescent="0.35">
      <c r="A739">
        <f t="shared" si="13"/>
        <v>730</v>
      </c>
      <c r="B739" s="39" t="s">
        <v>1477</v>
      </c>
      <c r="C739" s="39" t="s">
        <v>1478</v>
      </c>
      <c r="D739" s="39" t="s">
        <v>710</v>
      </c>
      <c r="E739" s="21">
        <v>5125.2</v>
      </c>
    </row>
    <row r="740" spans="1:5" ht="30" customHeight="1" x14ac:dyDescent="0.35">
      <c r="A740">
        <f t="shared" si="13"/>
        <v>731</v>
      </c>
      <c r="B740" s="39" t="s">
        <v>1479</v>
      </c>
      <c r="C740" s="39" t="s">
        <v>1480</v>
      </c>
      <c r="D740" s="39" t="s">
        <v>710</v>
      </c>
      <c r="E740" s="21">
        <v>2979.1</v>
      </c>
    </row>
    <row r="741" spans="1:5" ht="30" customHeight="1" x14ac:dyDescent="0.35">
      <c r="A741">
        <f t="shared" si="13"/>
        <v>732</v>
      </c>
      <c r="B741" s="47" t="s">
        <v>1481</v>
      </c>
      <c r="C741" s="22" t="s">
        <v>1482</v>
      </c>
      <c r="D741" s="23" t="s">
        <v>710</v>
      </c>
      <c r="E741" s="21">
        <v>6400.59</v>
      </c>
    </row>
    <row r="742" spans="1:5" ht="30" customHeight="1" x14ac:dyDescent="0.35">
      <c r="A742">
        <f t="shared" si="13"/>
        <v>733</v>
      </c>
      <c r="B742" s="47" t="s">
        <v>1483</v>
      </c>
      <c r="C742" s="22" t="s">
        <v>1484</v>
      </c>
      <c r="D742" s="23" t="s">
        <v>710</v>
      </c>
      <c r="E742" s="21">
        <v>6400.59</v>
      </c>
    </row>
    <row r="743" spans="1:5" ht="30" customHeight="1" x14ac:dyDescent="0.35">
      <c r="A743">
        <f t="shared" si="13"/>
        <v>734</v>
      </c>
      <c r="B743" s="47" t="s">
        <v>1485</v>
      </c>
      <c r="C743" s="22" t="s">
        <v>1486</v>
      </c>
      <c r="D743" s="23" t="s">
        <v>48</v>
      </c>
      <c r="E743" s="21">
        <v>169.95999999999998</v>
      </c>
    </row>
    <row r="744" spans="1:5" ht="30" customHeight="1" x14ac:dyDescent="0.35">
      <c r="A744">
        <f t="shared" si="13"/>
        <v>735</v>
      </c>
      <c r="B744" s="47" t="s">
        <v>1487</v>
      </c>
      <c r="C744" s="22" t="s">
        <v>1488</v>
      </c>
      <c r="D744" s="23" t="s">
        <v>48</v>
      </c>
      <c r="E744" s="21">
        <v>1539.3799999999999</v>
      </c>
    </row>
    <row r="745" spans="1:5" ht="30" customHeight="1" x14ac:dyDescent="0.35">
      <c r="A745">
        <f t="shared" si="13"/>
        <v>736</v>
      </c>
      <c r="B745" s="47" t="s">
        <v>1489</v>
      </c>
      <c r="C745" s="22" t="s">
        <v>1490</v>
      </c>
      <c r="D745" s="23" t="s">
        <v>48</v>
      </c>
      <c r="E745" s="21">
        <v>1924.23</v>
      </c>
    </row>
    <row r="746" spans="1:5" ht="30" customHeight="1" x14ac:dyDescent="0.35">
      <c r="A746">
        <f t="shared" si="13"/>
        <v>737</v>
      </c>
      <c r="B746" s="47" t="s">
        <v>1491</v>
      </c>
      <c r="C746" s="22" t="s">
        <v>1492</v>
      </c>
      <c r="D746" s="23" t="s">
        <v>48</v>
      </c>
      <c r="E746" s="21">
        <v>322.91000000000003</v>
      </c>
    </row>
    <row r="747" spans="1:5" ht="30" customHeight="1" x14ac:dyDescent="0.35">
      <c r="A747">
        <f t="shared" si="13"/>
        <v>738</v>
      </c>
      <c r="B747" s="47" t="s">
        <v>1493</v>
      </c>
      <c r="C747" s="22" t="s">
        <v>1494</v>
      </c>
      <c r="D747" s="23" t="s">
        <v>48</v>
      </c>
      <c r="E747" s="21">
        <v>2124.35</v>
      </c>
    </row>
    <row r="748" spans="1:5" ht="30" customHeight="1" x14ac:dyDescent="0.35">
      <c r="A748">
        <f t="shared" si="13"/>
        <v>739</v>
      </c>
      <c r="B748" s="47" t="s">
        <v>1495</v>
      </c>
      <c r="C748" s="22" t="s">
        <v>1496</v>
      </c>
      <c r="D748" s="23" t="s">
        <v>48</v>
      </c>
      <c r="E748" s="21">
        <v>2124.35</v>
      </c>
    </row>
    <row r="749" spans="1:5" ht="30" customHeight="1" x14ac:dyDescent="0.35">
      <c r="A749">
        <f t="shared" si="13"/>
        <v>740</v>
      </c>
      <c r="B749" s="47" t="s">
        <v>1497</v>
      </c>
      <c r="C749" s="22" t="s">
        <v>1498</v>
      </c>
      <c r="D749" s="23" t="s">
        <v>48</v>
      </c>
      <c r="E749" s="21">
        <v>2124.35</v>
      </c>
    </row>
    <row r="750" spans="1:5" ht="30" customHeight="1" x14ac:dyDescent="0.35">
      <c r="A750">
        <f t="shared" si="13"/>
        <v>741</v>
      </c>
      <c r="B750" s="47" t="s">
        <v>1499</v>
      </c>
      <c r="C750" s="22" t="s">
        <v>1500</v>
      </c>
      <c r="D750" s="23" t="s">
        <v>48</v>
      </c>
      <c r="E750" s="21">
        <v>1885.74</v>
      </c>
    </row>
    <row r="751" spans="1:5" ht="30" customHeight="1" x14ac:dyDescent="0.35">
      <c r="A751">
        <f t="shared" si="13"/>
        <v>742</v>
      </c>
      <c r="B751" s="47" t="s">
        <v>1501</v>
      </c>
      <c r="C751" s="22" t="s">
        <v>1502</v>
      </c>
      <c r="D751" s="23" t="s">
        <v>48</v>
      </c>
      <c r="E751" s="21">
        <v>1423.93</v>
      </c>
    </row>
    <row r="752" spans="1:5" ht="30" customHeight="1" x14ac:dyDescent="0.35">
      <c r="A752">
        <f t="shared" si="13"/>
        <v>743</v>
      </c>
      <c r="B752" s="47" t="s">
        <v>1503</v>
      </c>
      <c r="C752" s="22" t="s">
        <v>1504</v>
      </c>
      <c r="D752" s="23" t="s">
        <v>48</v>
      </c>
      <c r="E752" s="21">
        <v>1423.93</v>
      </c>
    </row>
    <row r="753" spans="1:5" ht="30" customHeight="1" x14ac:dyDescent="0.35">
      <c r="A753">
        <f t="shared" si="13"/>
        <v>744</v>
      </c>
      <c r="B753" s="47" t="s">
        <v>1505</v>
      </c>
      <c r="C753" s="22" t="s">
        <v>1506</v>
      </c>
      <c r="D753" s="23" t="s">
        <v>48</v>
      </c>
      <c r="E753" s="21">
        <v>1924.23</v>
      </c>
    </row>
    <row r="754" spans="1:5" ht="30" customHeight="1" x14ac:dyDescent="0.35">
      <c r="A754">
        <f t="shared" si="13"/>
        <v>745</v>
      </c>
      <c r="B754" s="47" t="s">
        <v>1507</v>
      </c>
      <c r="C754" s="22" t="s">
        <v>1508</v>
      </c>
      <c r="D754" s="23" t="s">
        <v>48</v>
      </c>
      <c r="E754" s="21">
        <v>2693.92</v>
      </c>
    </row>
    <row r="755" spans="1:5" ht="30" customHeight="1" x14ac:dyDescent="0.35">
      <c r="A755">
        <f t="shared" si="13"/>
        <v>746</v>
      </c>
      <c r="B755" s="47" t="s">
        <v>1509</v>
      </c>
      <c r="C755" s="22" t="s">
        <v>1510</v>
      </c>
      <c r="D755" s="23" t="s">
        <v>48</v>
      </c>
      <c r="E755" s="21">
        <v>2719.1600000000003</v>
      </c>
    </row>
    <row r="756" spans="1:5" ht="30" customHeight="1" x14ac:dyDescent="0.35">
      <c r="A756">
        <f t="shared" si="13"/>
        <v>747</v>
      </c>
      <c r="B756" s="47" t="s">
        <v>1511</v>
      </c>
      <c r="C756" s="22" t="s">
        <v>1512</v>
      </c>
      <c r="D756" s="23" t="s">
        <v>48</v>
      </c>
      <c r="E756" s="21">
        <v>509.85</v>
      </c>
    </row>
    <row r="757" spans="1:5" ht="30" customHeight="1" x14ac:dyDescent="0.35">
      <c r="A757">
        <f t="shared" si="13"/>
        <v>748</v>
      </c>
      <c r="B757" s="47" t="s">
        <v>1513</v>
      </c>
      <c r="C757" s="22" t="s">
        <v>1514</v>
      </c>
      <c r="D757" s="23" t="s">
        <v>48</v>
      </c>
      <c r="E757" s="21">
        <v>1385.44</v>
      </c>
    </row>
    <row r="758" spans="1:5" ht="30" customHeight="1" x14ac:dyDescent="0.35">
      <c r="A758">
        <f t="shared" si="13"/>
        <v>749</v>
      </c>
      <c r="B758" s="48" t="s">
        <v>1515</v>
      </c>
      <c r="C758" s="49" t="s">
        <v>1516</v>
      </c>
      <c r="D758" s="50" t="s">
        <v>48</v>
      </c>
      <c r="E758" s="51">
        <v>2427.8200000000002</v>
      </c>
    </row>
    <row r="759" spans="1:5" ht="30" customHeight="1" x14ac:dyDescent="0.35">
      <c r="A759">
        <f t="shared" si="13"/>
        <v>750</v>
      </c>
      <c r="B759" s="47" t="s">
        <v>1517</v>
      </c>
      <c r="C759" s="22" t="s">
        <v>1518</v>
      </c>
      <c r="D759" s="23" t="s">
        <v>48</v>
      </c>
      <c r="E759" s="21">
        <v>2974.09</v>
      </c>
    </row>
    <row r="760" spans="1:5" ht="30" customHeight="1" x14ac:dyDescent="0.35">
      <c r="A760">
        <f t="shared" si="13"/>
        <v>751</v>
      </c>
      <c r="B760" s="47" t="s">
        <v>1519</v>
      </c>
      <c r="C760" s="22" t="s">
        <v>1520</v>
      </c>
      <c r="D760" s="23" t="s">
        <v>48</v>
      </c>
      <c r="E760" s="21">
        <v>2294.29</v>
      </c>
    </row>
    <row r="761" spans="1:5" ht="30" customHeight="1" x14ac:dyDescent="0.35">
      <c r="A761">
        <f t="shared" si="13"/>
        <v>752</v>
      </c>
      <c r="B761" s="47" t="s">
        <v>1521</v>
      </c>
      <c r="C761" s="22" t="s">
        <v>1522</v>
      </c>
      <c r="D761" s="23" t="s">
        <v>48</v>
      </c>
      <c r="E761" s="21">
        <v>339.9</v>
      </c>
    </row>
    <row r="762" spans="1:5" ht="30" customHeight="1" x14ac:dyDescent="0.35">
      <c r="A762">
        <f t="shared" si="13"/>
        <v>753</v>
      </c>
      <c r="B762" s="47" t="s">
        <v>1523</v>
      </c>
      <c r="C762" s="22" t="s">
        <v>1524</v>
      </c>
      <c r="D762" s="23" t="s">
        <v>48</v>
      </c>
      <c r="E762" s="21">
        <v>692.73</v>
      </c>
    </row>
    <row r="763" spans="1:5" ht="30" customHeight="1" x14ac:dyDescent="0.35">
      <c r="A763">
        <f t="shared" si="13"/>
        <v>754</v>
      </c>
      <c r="B763" s="47" t="s">
        <v>1525</v>
      </c>
      <c r="C763" s="22" t="s">
        <v>1526</v>
      </c>
      <c r="D763" s="23" t="s">
        <v>48</v>
      </c>
      <c r="E763" s="21">
        <v>2974.09</v>
      </c>
    </row>
    <row r="764" spans="1:5" ht="30" customHeight="1" x14ac:dyDescent="0.35">
      <c r="A764">
        <f t="shared" si="13"/>
        <v>755</v>
      </c>
      <c r="B764" s="47" t="s">
        <v>1527</v>
      </c>
      <c r="C764" s="22" t="s">
        <v>1528</v>
      </c>
      <c r="D764" s="23" t="s">
        <v>48</v>
      </c>
      <c r="E764" s="21">
        <v>2924.82</v>
      </c>
    </row>
    <row r="765" spans="1:5" ht="30" customHeight="1" x14ac:dyDescent="0.35">
      <c r="A765">
        <f t="shared" si="13"/>
        <v>756</v>
      </c>
      <c r="B765" s="47" t="s">
        <v>1529</v>
      </c>
      <c r="C765" s="22" t="s">
        <v>1530</v>
      </c>
      <c r="D765" s="23" t="s">
        <v>48</v>
      </c>
      <c r="E765" s="21">
        <v>1062.1799999999998</v>
      </c>
    </row>
    <row r="766" spans="1:5" ht="30" customHeight="1" x14ac:dyDescent="0.35">
      <c r="A766">
        <f t="shared" si="13"/>
        <v>757</v>
      </c>
      <c r="B766" s="47" t="s">
        <v>1531</v>
      </c>
      <c r="C766" s="22" t="s">
        <v>1532</v>
      </c>
      <c r="D766" s="23" t="s">
        <v>48</v>
      </c>
      <c r="E766" s="21">
        <v>594.83000000000004</v>
      </c>
    </row>
    <row r="767" spans="1:5" ht="30" customHeight="1" x14ac:dyDescent="0.35">
      <c r="A767">
        <f t="shared" si="13"/>
        <v>758</v>
      </c>
      <c r="B767" s="47" t="s">
        <v>1533</v>
      </c>
      <c r="C767" s="22" t="s">
        <v>1534</v>
      </c>
      <c r="D767" s="23" t="s">
        <v>48</v>
      </c>
      <c r="E767" s="21">
        <v>679.79</v>
      </c>
    </row>
    <row r="768" spans="1:5" ht="30" customHeight="1" x14ac:dyDescent="0.35">
      <c r="A768">
        <f t="shared" si="13"/>
        <v>759</v>
      </c>
      <c r="B768" s="47" t="s">
        <v>1535</v>
      </c>
      <c r="C768" s="22" t="s">
        <v>1536</v>
      </c>
      <c r="D768" s="23" t="s">
        <v>48</v>
      </c>
      <c r="E768" s="21">
        <v>263.43</v>
      </c>
    </row>
    <row r="769" spans="1:5" ht="30" customHeight="1" x14ac:dyDescent="0.35">
      <c r="A769">
        <f t="shared" si="13"/>
        <v>760</v>
      </c>
      <c r="B769" s="47" t="s">
        <v>1537</v>
      </c>
      <c r="C769" s="22" t="s">
        <v>1538</v>
      </c>
      <c r="D769" s="23" t="s">
        <v>48</v>
      </c>
      <c r="E769" s="21">
        <v>467.37</v>
      </c>
    </row>
    <row r="770" spans="1:5" ht="30" customHeight="1" x14ac:dyDescent="0.35">
      <c r="A770">
        <f t="shared" si="13"/>
        <v>761</v>
      </c>
      <c r="B770" s="47" t="s">
        <v>1539</v>
      </c>
      <c r="C770" s="22" t="s">
        <v>1540</v>
      </c>
      <c r="D770" s="23" t="s">
        <v>48</v>
      </c>
      <c r="E770" s="21">
        <v>654.24</v>
      </c>
    </row>
    <row r="771" spans="1:5" ht="30" customHeight="1" x14ac:dyDescent="0.35">
      <c r="A771">
        <f t="shared" si="13"/>
        <v>762</v>
      </c>
      <c r="B771" s="47" t="s">
        <v>1541</v>
      </c>
      <c r="C771" s="22" t="s">
        <v>1542</v>
      </c>
      <c r="D771" s="23" t="s">
        <v>48</v>
      </c>
      <c r="E771" s="21">
        <v>552.33000000000004</v>
      </c>
    </row>
    <row r="772" spans="1:5" ht="30" customHeight="1" x14ac:dyDescent="0.35">
      <c r="A772">
        <f t="shared" si="13"/>
        <v>763</v>
      </c>
      <c r="B772" s="47" t="s">
        <v>1543</v>
      </c>
      <c r="C772" s="22" t="s">
        <v>1544</v>
      </c>
      <c r="D772" s="23" t="s">
        <v>48</v>
      </c>
      <c r="E772" s="21">
        <v>254.92000000000002</v>
      </c>
    </row>
    <row r="773" spans="1:5" ht="30" customHeight="1" x14ac:dyDescent="0.35">
      <c r="A773">
        <f t="shared" si="13"/>
        <v>764</v>
      </c>
      <c r="B773" s="47" t="s">
        <v>1545</v>
      </c>
      <c r="C773" s="22" t="s">
        <v>1546</v>
      </c>
      <c r="D773" s="23" t="s">
        <v>48</v>
      </c>
      <c r="E773" s="21">
        <v>307.88000000000005</v>
      </c>
    </row>
    <row r="774" spans="1:5" ht="30" customHeight="1" x14ac:dyDescent="0.35">
      <c r="A774">
        <f t="shared" si="13"/>
        <v>765</v>
      </c>
      <c r="B774" s="47" t="s">
        <v>1547</v>
      </c>
      <c r="C774" s="22" t="s">
        <v>1548</v>
      </c>
      <c r="D774" s="23" t="s">
        <v>48</v>
      </c>
      <c r="E774" s="21">
        <v>1444.55</v>
      </c>
    </row>
    <row r="775" spans="1:5" ht="30" customHeight="1" x14ac:dyDescent="0.35">
      <c r="A775">
        <f t="shared" si="13"/>
        <v>766</v>
      </c>
      <c r="B775" s="47" t="s">
        <v>1549</v>
      </c>
      <c r="C775" s="22" t="s">
        <v>1550</v>
      </c>
      <c r="D775" s="23" t="s">
        <v>48</v>
      </c>
      <c r="E775" s="21">
        <v>692.73</v>
      </c>
    </row>
    <row r="776" spans="1:5" ht="30" customHeight="1" x14ac:dyDescent="0.35">
      <c r="A776">
        <f t="shared" si="13"/>
        <v>767</v>
      </c>
      <c r="B776" s="47" t="s">
        <v>1551</v>
      </c>
      <c r="C776" s="22" t="s">
        <v>1552</v>
      </c>
      <c r="D776" s="23" t="s">
        <v>48</v>
      </c>
      <c r="E776" s="21">
        <v>2209.3200000000002</v>
      </c>
    </row>
    <row r="777" spans="1:5" ht="30" customHeight="1" x14ac:dyDescent="0.35">
      <c r="A777">
        <f t="shared" si="13"/>
        <v>768</v>
      </c>
      <c r="B777" s="47" t="s">
        <v>1553</v>
      </c>
      <c r="C777" s="22" t="s">
        <v>1554</v>
      </c>
      <c r="D777" s="23" t="s">
        <v>48</v>
      </c>
      <c r="E777" s="21">
        <v>269.39999999999998</v>
      </c>
    </row>
    <row r="778" spans="1:5" ht="30" customHeight="1" x14ac:dyDescent="0.35">
      <c r="A778">
        <f t="shared" si="13"/>
        <v>769</v>
      </c>
      <c r="B778" s="47" t="s">
        <v>1555</v>
      </c>
      <c r="C778" s="22" t="s">
        <v>1556</v>
      </c>
      <c r="D778" s="23" t="s">
        <v>48</v>
      </c>
      <c r="E778" s="21">
        <v>7902.57</v>
      </c>
    </row>
    <row r="779" spans="1:5" ht="30" customHeight="1" x14ac:dyDescent="0.35">
      <c r="A779">
        <f t="shared" si="13"/>
        <v>770</v>
      </c>
      <c r="B779" s="47" t="s">
        <v>1557</v>
      </c>
      <c r="C779" s="22" t="s">
        <v>1558</v>
      </c>
      <c r="D779" s="23" t="s">
        <v>48</v>
      </c>
      <c r="E779" s="21">
        <v>11428.98</v>
      </c>
    </row>
    <row r="780" spans="1:5" ht="30" customHeight="1" x14ac:dyDescent="0.35">
      <c r="A780">
        <f t="shared" si="13"/>
        <v>771</v>
      </c>
      <c r="B780" s="47" t="s">
        <v>1559</v>
      </c>
      <c r="C780" s="22" t="s">
        <v>1560</v>
      </c>
      <c r="D780" s="23" t="s">
        <v>48</v>
      </c>
      <c r="E780" s="21">
        <v>15975.06</v>
      </c>
    </row>
    <row r="781" spans="1:5" ht="30" customHeight="1" x14ac:dyDescent="0.35">
      <c r="A781">
        <f t="shared" si="13"/>
        <v>772</v>
      </c>
      <c r="B781" s="47" t="s">
        <v>1561</v>
      </c>
      <c r="C781" s="22" t="s">
        <v>1562</v>
      </c>
      <c r="D781" s="23" t="s">
        <v>48</v>
      </c>
      <c r="E781" s="21">
        <v>977.19999999999993</v>
      </c>
    </row>
    <row r="782" spans="1:5" ht="30" customHeight="1" x14ac:dyDescent="0.35">
      <c r="A782">
        <f t="shared" si="13"/>
        <v>773</v>
      </c>
      <c r="B782" s="47" t="s">
        <v>1563</v>
      </c>
      <c r="C782" s="22" t="s">
        <v>1564</v>
      </c>
      <c r="D782" s="23" t="s">
        <v>48</v>
      </c>
      <c r="E782" s="21">
        <v>2974.09</v>
      </c>
    </row>
    <row r="783" spans="1:5" ht="30" customHeight="1" x14ac:dyDescent="0.35">
      <c r="A783">
        <f t="shared" si="13"/>
        <v>774</v>
      </c>
      <c r="B783" s="47" t="s">
        <v>1565</v>
      </c>
      <c r="C783" s="22" t="s">
        <v>1566</v>
      </c>
      <c r="D783" s="23" t="s">
        <v>48</v>
      </c>
      <c r="E783" s="21">
        <v>6797.9000000000005</v>
      </c>
    </row>
    <row r="784" spans="1:5" ht="30" customHeight="1" x14ac:dyDescent="0.35">
      <c r="A784">
        <f t="shared" si="13"/>
        <v>775</v>
      </c>
      <c r="B784" s="47" t="s">
        <v>1567</v>
      </c>
      <c r="C784" s="22" t="s">
        <v>1568</v>
      </c>
      <c r="D784" s="23" t="s">
        <v>48</v>
      </c>
      <c r="E784" s="21">
        <v>169.33</v>
      </c>
    </row>
    <row r="785" spans="1:5" ht="30" customHeight="1" x14ac:dyDescent="0.35">
      <c r="A785">
        <f t="shared" ref="A785:A813" si="14">A784+1</f>
        <v>776</v>
      </c>
      <c r="B785" s="47" t="s">
        <v>1569</v>
      </c>
      <c r="C785" s="22" t="s">
        <v>1570</v>
      </c>
      <c r="D785" s="23" t="s">
        <v>48</v>
      </c>
      <c r="E785" s="21">
        <v>1924.23</v>
      </c>
    </row>
    <row r="786" spans="1:5" ht="30" customHeight="1" x14ac:dyDescent="0.35">
      <c r="A786">
        <f t="shared" si="14"/>
        <v>777</v>
      </c>
      <c r="B786" s="47" t="s">
        <v>1571</v>
      </c>
      <c r="C786" s="22" t="s">
        <v>1572</v>
      </c>
      <c r="D786" s="23" t="s">
        <v>48</v>
      </c>
      <c r="E786" s="21">
        <v>5387.84</v>
      </c>
    </row>
    <row r="787" spans="1:5" ht="30" customHeight="1" x14ac:dyDescent="0.35">
      <c r="A787">
        <f t="shared" si="14"/>
        <v>778</v>
      </c>
      <c r="B787" s="47" t="s">
        <v>1573</v>
      </c>
      <c r="C787" s="22" t="s">
        <v>1574</v>
      </c>
      <c r="D787" s="23" t="s">
        <v>48</v>
      </c>
      <c r="E787" s="21">
        <v>8466.59</v>
      </c>
    </row>
    <row r="788" spans="1:5" ht="30" customHeight="1" x14ac:dyDescent="0.35">
      <c r="A788">
        <f t="shared" si="14"/>
        <v>779</v>
      </c>
      <c r="B788" s="47" t="s">
        <v>1575</v>
      </c>
      <c r="C788" s="22" t="s">
        <v>1576</v>
      </c>
      <c r="D788" s="23" t="s">
        <v>48</v>
      </c>
      <c r="E788" s="21">
        <v>2693.92</v>
      </c>
    </row>
    <row r="789" spans="1:5" ht="30" customHeight="1" x14ac:dyDescent="0.35">
      <c r="A789">
        <f t="shared" si="14"/>
        <v>780</v>
      </c>
      <c r="B789" s="47" t="s">
        <v>1577</v>
      </c>
      <c r="C789" s="22" t="s">
        <v>1578</v>
      </c>
      <c r="D789" s="23" t="s">
        <v>48</v>
      </c>
      <c r="E789" s="21">
        <v>192.43</v>
      </c>
    </row>
    <row r="790" spans="1:5" ht="30" customHeight="1" x14ac:dyDescent="0.35">
      <c r="A790">
        <f t="shared" si="14"/>
        <v>781</v>
      </c>
      <c r="B790" s="47" t="s">
        <v>1579</v>
      </c>
      <c r="C790" s="22" t="s">
        <v>1580</v>
      </c>
      <c r="D790" s="23" t="s">
        <v>48</v>
      </c>
      <c r="E790" s="21">
        <v>2099.0100000000002</v>
      </c>
    </row>
    <row r="791" spans="1:5" ht="30" customHeight="1" x14ac:dyDescent="0.35">
      <c r="A791">
        <f t="shared" si="14"/>
        <v>782</v>
      </c>
      <c r="B791" s="47" t="s">
        <v>1581</v>
      </c>
      <c r="C791" s="22" t="s">
        <v>1582</v>
      </c>
      <c r="D791" s="23" t="s">
        <v>48</v>
      </c>
      <c r="E791" s="21">
        <v>1994.54</v>
      </c>
    </row>
    <row r="792" spans="1:5" ht="30" customHeight="1" x14ac:dyDescent="0.35">
      <c r="A792">
        <f t="shared" si="14"/>
        <v>783</v>
      </c>
      <c r="B792" s="47" t="s">
        <v>1583</v>
      </c>
      <c r="C792" s="22" t="s">
        <v>1584</v>
      </c>
      <c r="D792" s="20" t="s">
        <v>710</v>
      </c>
      <c r="E792" s="21">
        <v>6400.59</v>
      </c>
    </row>
    <row r="793" spans="1:5" ht="30" customHeight="1" x14ac:dyDescent="0.35">
      <c r="A793">
        <f t="shared" si="14"/>
        <v>784</v>
      </c>
      <c r="B793" s="47" t="s">
        <v>1585</v>
      </c>
      <c r="C793" s="22" t="s">
        <v>1586</v>
      </c>
      <c r="D793" s="23" t="s">
        <v>710</v>
      </c>
      <c r="E793" s="21">
        <v>6400.59</v>
      </c>
    </row>
    <row r="794" spans="1:5" ht="30" customHeight="1" x14ac:dyDescent="0.35">
      <c r="A794">
        <f t="shared" si="14"/>
        <v>785</v>
      </c>
      <c r="B794" s="47" t="s">
        <v>1587</v>
      </c>
      <c r="C794" s="22" t="s">
        <v>1588</v>
      </c>
      <c r="D794" s="20" t="s">
        <v>710</v>
      </c>
      <c r="E794" s="21">
        <v>6400.59</v>
      </c>
    </row>
    <row r="795" spans="1:5" ht="30" customHeight="1" x14ac:dyDescent="0.35">
      <c r="A795">
        <f t="shared" si="14"/>
        <v>786</v>
      </c>
      <c r="B795" s="18" t="s">
        <v>1589</v>
      </c>
      <c r="C795" s="29" t="s">
        <v>1590</v>
      </c>
      <c r="D795" s="32" t="s">
        <v>31</v>
      </c>
      <c r="E795" s="21">
        <v>68.86999999999999</v>
      </c>
    </row>
    <row r="796" spans="1:5" ht="30" customHeight="1" x14ac:dyDescent="0.35">
      <c r="A796">
        <f t="shared" si="14"/>
        <v>787</v>
      </c>
      <c r="B796" s="55" t="s">
        <v>1591</v>
      </c>
      <c r="C796" s="36" t="s">
        <v>1592</v>
      </c>
      <c r="D796" s="35" t="s">
        <v>31</v>
      </c>
      <c r="E796" s="21">
        <v>76.970000000000013</v>
      </c>
    </row>
    <row r="797" spans="1:5" ht="30" customHeight="1" x14ac:dyDescent="0.35">
      <c r="A797">
        <f t="shared" si="14"/>
        <v>788</v>
      </c>
      <c r="B797" s="18" t="s">
        <v>1593</v>
      </c>
      <c r="C797" s="29" t="s">
        <v>1594</v>
      </c>
      <c r="D797" s="32" t="s">
        <v>31</v>
      </c>
      <c r="E797" s="21">
        <v>97.22999999999999</v>
      </c>
    </row>
    <row r="798" spans="1:5" ht="30" customHeight="1" x14ac:dyDescent="0.35">
      <c r="A798">
        <f t="shared" si="14"/>
        <v>789</v>
      </c>
      <c r="B798" s="55" t="s">
        <v>1595</v>
      </c>
      <c r="C798" s="36" t="s">
        <v>1596</v>
      </c>
      <c r="D798" s="35" t="s">
        <v>31</v>
      </c>
      <c r="E798" s="21">
        <v>264.28000000000003</v>
      </c>
    </row>
    <row r="799" spans="1:5" ht="30" customHeight="1" x14ac:dyDescent="0.35">
      <c r="A799">
        <f t="shared" si="14"/>
        <v>790</v>
      </c>
      <c r="B799" s="18" t="s">
        <v>1597</v>
      </c>
      <c r="C799" s="29" t="s">
        <v>1598</v>
      </c>
      <c r="D799" s="32" t="s">
        <v>31</v>
      </c>
      <c r="E799" s="21">
        <v>318.97000000000003</v>
      </c>
    </row>
    <row r="800" spans="1:5" ht="30" customHeight="1" x14ac:dyDescent="0.35">
      <c r="A800">
        <f t="shared" si="14"/>
        <v>791</v>
      </c>
      <c r="B800" s="55" t="s">
        <v>1599</v>
      </c>
      <c r="C800" s="36" t="s">
        <v>1600</v>
      </c>
      <c r="D800" s="35" t="s">
        <v>31</v>
      </c>
      <c r="E800" s="21">
        <v>357.08000000000004</v>
      </c>
    </row>
    <row r="801" spans="1:5" ht="30" customHeight="1" x14ac:dyDescent="0.35">
      <c r="A801">
        <f t="shared" si="14"/>
        <v>792</v>
      </c>
      <c r="B801" s="18" t="s">
        <v>1601</v>
      </c>
      <c r="C801" s="29" t="s">
        <v>1602</v>
      </c>
      <c r="D801" s="32" t="s">
        <v>31</v>
      </c>
      <c r="E801" s="21">
        <v>318.97000000000003</v>
      </c>
    </row>
    <row r="802" spans="1:5" ht="30" customHeight="1" x14ac:dyDescent="0.35">
      <c r="A802">
        <f t="shared" si="14"/>
        <v>793</v>
      </c>
      <c r="B802" s="55" t="s">
        <v>1603</v>
      </c>
      <c r="C802" s="36" t="s">
        <v>1604</v>
      </c>
      <c r="D802" s="35" t="s">
        <v>31</v>
      </c>
      <c r="E802" s="21">
        <v>397.33</v>
      </c>
    </row>
    <row r="803" spans="1:5" ht="30" customHeight="1" x14ac:dyDescent="0.35">
      <c r="A803">
        <f t="shared" si="14"/>
        <v>794</v>
      </c>
      <c r="B803" s="18" t="s">
        <v>1605</v>
      </c>
      <c r="C803" s="29" t="s">
        <v>1606</v>
      </c>
      <c r="D803" s="32" t="s">
        <v>31</v>
      </c>
      <c r="E803" s="21">
        <v>464.77</v>
      </c>
    </row>
    <row r="804" spans="1:5" ht="30" customHeight="1" x14ac:dyDescent="0.35">
      <c r="A804">
        <f t="shared" si="14"/>
        <v>795</v>
      </c>
      <c r="B804" s="55" t="s">
        <v>1607</v>
      </c>
      <c r="C804" s="36" t="s">
        <v>1608</v>
      </c>
      <c r="D804" s="35" t="s">
        <v>31</v>
      </c>
      <c r="E804" s="21">
        <v>504.85999999999996</v>
      </c>
    </row>
    <row r="805" spans="1:5" ht="30" customHeight="1" x14ac:dyDescent="0.35">
      <c r="A805">
        <f t="shared" si="14"/>
        <v>796</v>
      </c>
      <c r="B805" s="18" t="s">
        <v>1609</v>
      </c>
      <c r="C805" s="29" t="s">
        <v>1610</v>
      </c>
      <c r="D805" s="32" t="s">
        <v>31</v>
      </c>
      <c r="E805" s="21">
        <v>643.39</v>
      </c>
    </row>
    <row r="806" spans="1:5" ht="30" customHeight="1" x14ac:dyDescent="0.35">
      <c r="A806">
        <f t="shared" si="14"/>
        <v>797</v>
      </c>
      <c r="B806" s="55" t="s">
        <v>1611</v>
      </c>
      <c r="C806" s="36" t="s">
        <v>1612</v>
      </c>
      <c r="D806" s="35" t="s">
        <v>31</v>
      </c>
      <c r="E806" s="21">
        <v>783.73</v>
      </c>
    </row>
    <row r="807" spans="1:5" ht="30" customHeight="1" x14ac:dyDescent="0.35">
      <c r="A807">
        <f t="shared" si="14"/>
        <v>798</v>
      </c>
      <c r="B807" s="18" t="s">
        <v>1613</v>
      </c>
      <c r="C807" s="29" t="s">
        <v>1614</v>
      </c>
      <c r="D807" s="32" t="s">
        <v>31</v>
      </c>
      <c r="E807" s="21">
        <v>770.06</v>
      </c>
    </row>
    <row r="808" spans="1:5" ht="30" customHeight="1" x14ac:dyDescent="0.35">
      <c r="A808">
        <f t="shared" si="14"/>
        <v>799</v>
      </c>
      <c r="B808" s="55" t="s">
        <v>1615</v>
      </c>
      <c r="C808" s="36" t="s">
        <v>1616</v>
      </c>
      <c r="D808" s="35" t="s">
        <v>31</v>
      </c>
      <c r="E808" s="21">
        <v>979.65</v>
      </c>
    </row>
    <row r="809" spans="1:5" ht="30" customHeight="1" x14ac:dyDescent="0.35">
      <c r="A809">
        <f t="shared" si="14"/>
        <v>800</v>
      </c>
      <c r="B809" s="18" t="s">
        <v>1617</v>
      </c>
      <c r="C809" s="29" t="s">
        <v>1618</v>
      </c>
      <c r="D809" s="32" t="s">
        <v>31</v>
      </c>
      <c r="E809" s="21">
        <v>1184.6999999999998</v>
      </c>
    </row>
    <row r="810" spans="1:5" ht="30" customHeight="1" x14ac:dyDescent="0.35">
      <c r="A810">
        <f t="shared" si="14"/>
        <v>801</v>
      </c>
      <c r="B810" s="55" t="s">
        <v>1619</v>
      </c>
      <c r="C810" s="36" t="s">
        <v>1620</v>
      </c>
      <c r="D810" s="35" t="s">
        <v>31</v>
      </c>
      <c r="E810" s="21">
        <v>1048.01</v>
      </c>
    </row>
    <row r="811" spans="1:5" ht="30" customHeight="1" x14ac:dyDescent="0.35">
      <c r="A811">
        <f t="shared" si="14"/>
        <v>802</v>
      </c>
      <c r="B811" s="18" t="s">
        <v>1621</v>
      </c>
      <c r="C811" s="18" t="s">
        <v>1622</v>
      </c>
      <c r="D811" s="18" t="s">
        <v>710</v>
      </c>
      <c r="E811" s="21">
        <v>4308.01</v>
      </c>
    </row>
    <row r="812" spans="1:5" ht="30" customHeight="1" x14ac:dyDescent="0.35">
      <c r="A812">
        <f t="shared" si="14"/>
        <v>803</v>
      </c>
      <c r="B812" s="18" t="s">
        <v>1623</v>
      </c>
      <c r="C812" s="18" t="s">
        <v>1624</v>
      </c>
      <c r="D812" s="18" t="s">
        <v>710</v>
      </c>
      <c r="E812" s="21">
        <v>5800.78</v>
      </c>
    </row>
    <row r="813" spans="1:5" ht="30" customHeight="1" x14ac:dyDescent="0.35">
      <c r="A813">
        <f t="shared" si="14"/>
        <v>804</v>
      </c>
      <c r="B813" s="56" t="s">
        <v>1625</v>
      </c>
      <c r="C813" s="57" t="s">
        <v>1626</v>
      </c>
      <c r="D813" s="56" t="s">
        <v>710</v>
      </c>
      <c r="E813" s="51">
        <v>2241.64</v>
      </c>
    </row>
    <row r="814" spans="1:5" ht="30" customHeight="1" x14ac:dyDescent="0.35">
      <c r="A814"/>
      <c r="B814" s="10" t="s">
        <v>1627</v>
      </c>
      <c r="C814" s="10"/>
      <c r="D814" s="11"/>
      <c r="E814" s="52"/>
    </row>
    <row r="815" spans="1:5" ht="30" customHeight="1" x14ac:dyDescent="0.35">
      <c r="A815" s="12">
        <f>+A813+1</f>
        <v>805</v>
      </c>
      <c r="B815" s="42" t="s">
        <v>1628</v>
      </c>
      <c r="C815" s="27" t="s">
        <v>1629</v>
      </c>
      <c r="D815" s="26" t="s">
        <v>48</v>
      </c>
      <c r="E815" s="16">
        <v>437.23</v>
      </c>
    </row>
    <row r="816" spans="1:5" ht="30" customHeight="1" x14ac:dyDescent="0.35">
      <c r="A816" s="12">
        <f>+A815+1</f>
        <v>806</v>
      </c>
      <c r="B816" s="28" t="s">
        <v>1630</v>
      </c>
      <c r="C816" s="41" t="s">
        <v>1244</v>
      </c>
      <c r="D816" s="15" t="s">
        <v>8</v>
      </c>
      <c r="E816" s="16">
        <v>2.66</v>
      </c>
    </row>
    <row r="817" spans="1:5" ht="30" customHeight="1" x14ac:dyDescent="0.35">
      <c r="A817" s="12">
        <f t="shared" ref="A817:A876" si="15">+A816+1</f>
        <v>807</v>
      </c>
      <c r="B817" s="42" t="s">
        <v>1631</v>
      </c>
      <c r="C817" s="27" t="s">
        <v>1246</v>
      </c>
      <c r="D817" s="15" t="s">
        <v>8</v>
      </c>
      <c r="E817" s="16">
        <v>3.15</v>
      </c>
    </row>
    <row r="818" spans="1:5" ht="30" customHeight="1" x14ac:dyDescent="0.35">
      <c r="A818">
        <f t="shared" si="15"/>
        <v>808</v>
      </c>
      <c r="B818" s="35" t="s">
        <v>1632</v>
      </c>
      <c r="C818" s="36" t="s">
        <v>1633</v>
      </c>
      <c r="D818" s="35" t="s">
        <v>710</v>
      </c>
      <c r="E818" s="21">
        <v>1976.9</v>
      </c>
    </row>
    <row r="819" spans="1:5" ht="30" customHeight="1" x14ac:dyDescent="0.35">
      <c r="A819">
        <f t="shared" si="15"/>
        <v>809</v>
      </c>
      <c r="B819" s="32" t="s">
        <v>1634</v>
      </c>
      <c r="C819" s="39" t="s">
        <v>1635</v>
      </c>
      <c r="D819" s="32" t="s">
        <v>710</v>
      </c>
      <c r="E819" s="21">
        <v>2142.42</v>
      </c>
    </row>
    <row r="820" spans="1:5" ht="30" customHeight="1" x14ac:dyDescent="0.35">
      <c r="A820">
        <f t="shared" si="15"/>
        <v>810</v>
      </c>
      <c r="B820" s="35" t="s">
        <v>1636</v>
      </c>
      <c r="C820" s="36" t="s">
        <v>1637</v>
      </c>
      <c r="D820" s="35" t="s">
        <v>710</v>
      </c>
      <c r="E820" s="21">
        <v>2356.67</v>
      </c>
    </row>
    <row r="821" spans="1:5" ht="30" customHeight="1" x14ac:dyDescent="0.35">
      <c r="A821">
        <f t="shared" si="15"/>
        <v>811</v>
      </c>
      <c r="B821" s="32" t="s">
        <v>1638</v>
      </c>
      <c r="C821" s="29" t="s">
        <v>1639</v>
      </c>
      <c r="D821" s="32" t="s">
        <v>710</v>
      </c>
      <c r="E821" s="21">
        <v>1285.46</v>
      </c>
    </row>
    <row r="822" spans="1:5" ht="30" customHeight="1" x14ac:dyDescent="0.35">
      <c r="A822">
        <f t="shared" si="15"/>
        <v>812</v>
      </c>
      <c r="B822" s="35" t="s">
        <v>1640</v>
      </c>
      <c r="C822" s="36" t="s">
        <v>1641</v>
      </c>
      <c r="D822" s="35" t="s">
        <v>710</v>
      </c>
      <c r="E822" s="21">
        <v>2999.38</v>
      </c>
    </row>
    <row r="823" spans="1:5" ht="30" customHeight="1" x14ac:dyDescent="0.35">
      <c r="A823">
        <f t="shared" si="15"/>
        <v>813</v>
      </c>
      <c r="B823" s="32" t="s">
        <v>1642</v>
      </c>
      <c r="C823" s="29" t="s">
        <v>1643</v>
      </c>
      <c r="D823" s="32" t="s">
        <v>11</v>
      </c>
      <c r="E823" s="21">
        <v>42.86</v>
      </c>
    </row>
    <row r="824" spans="1:5" ht="30" customHeight="1" x14ac:dyDescent="0.35">
      <c r="A824">
        <f t="shared" si="15"/>
        <v>814</v>
      </c>
      <c r="B824" s="56" t="s">
        <v>1644</v>
      </c>
      <c r="C824" s="58" t="s">
        <v>1645</v>
      </c>
      <c r="D824" s="56" t="s">
        <v>710</v>
      </c>
      <c r="E824" s="51">
        <v>1912.87</v>
      </c>
    </row>
    <row r="825" spans="1:5" ht="30" customHeight="1" x14ac:dyDescent="0.35">
      <c r="A825">
        <f t="shared" si="15"/>
        <v>815</v>
      </c>
      <c r="B825" s="59" t="s">
        <v>1646</v>
      </c>
      <c r="C825" s="57" t="s">
        <v>1647</v>
      </c>
      <c r="D825" s="59" t="s">
        <v>11</v>
      </c>
      <c r="E825" s="51">
        <v>27.98</v>
      </c>
    </row>
    <row r="826" spans="1:5" ht="30" customHeight="1" x14ac:dyDescent="0.35">
      <c r="A826">
        <f t="shared" si="15"/>
        <v>816</v>
      </c>
      <c r="B826" s="35" t="s">
        <v>1648</v>
      </c>
      <c r="C826" s="36" t="s">
        <v>1649</v>
      </c>
      <c r="D826" s="35" t="s">
        <v>710</v>
      </c>
      <c r="E826" s="21">
        <v>2313.8100000000004</v>
      </c>
    </row>
    <row r="827" spans="1:5" ht="30" customHeight="1" x14ac:dyDescent="0.35">
      <c r="A827">
        <f t="shared" si="15"/>
        <v>817</v>
      </c>
      <c r="B827" s="32" t="s">
        <v>1650</v>
      </c>
      <c r="C827" s="29" t="s">
        <v>1651</v>
      </c>
      <c r="D827" s="32" t="s">
        <v>11</v>
      </c>
      <c r="E827" s="21">
        <v>25.72</v>
      </c>
    </row>
    <row r="828" spans="1:5" ht="30" customHeight="1" x14ac:dyDescent="0.35">
      <c r="A828">
        <f t="shared" si="15"/>
        <v>818</v>
      </c>
      <c r="B828" s="35" t="s">
        <v>1652</v>
      </c>
      <c r="C828" s="36" t="s">
        <v>1653</v>
      </c>
      <c r="D828" s="35" t="s">
        <v>710</v>
      </c>
      <c r="E828" s="21">
        <v>402.78</v>
      </c>
    </row>
    <row r="829" spans="1:5" ht="30" customHeight="1" x14ac:dyDescent="0.35">
      <c r="A829">
        <f t="shared" si="15"/>
        <v>819</v>
      </c>
      <c r="B829" s="32" t="s">
        <v>1654</v>
      </c>
      <c r="C829" s="29" t="s">
        <v>1655</v>
      </c>
      <c r="D829" s="23" t="s">
        <v>48</v>
      </c>
      <c r="E829" s="21">
        <v>360.74</v>
      </c>
    </row>
    <row r="830" spans="1:5" ht="30" customHeight="1" x14ac:dyDescent="0.35">
      <c r="A830">
        <f t="shared" si="15"/>
        <v>820</v>
      </c>
      <c r="B830" s="35" t="s">
        <v>1656</v>
      </c>
      <c r="C830" s="36" t="s">
        <v>1657</v>
      </c>
      <c r="D830" s="35" t="s">
        <v>710</v>
      </c>
      <c r="E830" s="21">
        <v>385.64</v>
      </c>
    </row>
    <row r="831" spans="1:5" ht="30" customHeight="1" x14ac:dyDescent="0.35">
      <c r="A831">
        <f t="shared" si="15"/>
        <v>821</v>
      </c>
      <c r="B831" s="32" t="s">
        <v>1658</v>
      </c>
      <c r="C831" s="29" t="s">
        <v>1659</v>
      </c>
      <c r="D831" s="23" t="s">
        <v>48</v>
      </c>
      <c r="E831" s="21">
        <v>343.97</v>
      </c>
    </row>
    <row r="832" spans="1:5" ht="30" customHeight="1" x14ac:dyDescent="0.35">
      <c r="A832" s="12">
        <f t="shared" si="15"/>
        <v>822</v>
      </c>
      <c r="B832" s="28" t="s">
        <v>1660</v>
      </c>
      <c r="C832" s="41" t="s">
        <v>1661</v>
      </c>
      <c r="D832" s="28" t="s">
        <v>31</v>
      </c>
      <c r="E832" s="16">
        <v>961.9</v>
      </c>
    </row>
    <row r="833" spans="1:5" ht="30" customHeight="1" x14ac:dyDescent="0.35">
      <c r="A833">
        <f t="shared" si="15"/>
        <v>823</v>
      </c>
      <c r="B833" s="32" t="s">
        <v>1662</v>
      </c>
      <c r="C833" s="22" t="s">
        <v>1663</v>
      </c>
      <c r="D833" s="22" t="s">
        <v>31</v>
      </c>
      <c r="E833" s="21">
        <v>3775.17</v>
      </c>
    </row>
    <row r="834" spans="1:5" ht="30" customHeight="1" x14ac:dyDescent="0.35">
      <c r="A834">
        <f t="shared" si="15"/>
        <v>824</v>
      </c>
      <c r="B834" s="35" t="s">
        <v>1664</v>
      </c>
      <c r="C834" s="22" t="s">
        <v>1665</v>
      </c>
      <c r="D834" s="36" t="s">
        <v>710</v>
      </c>
      <c r="E834" s="21">
        <v>3737.1299999999997</v>
      </c>
    </row>
    <row r="835" spans="1:5" ht="30" customHeight="1" x14ac:dyDescent="0.35">
      <c r="A835">
        <f t="shared" si="15"/>
        <v>825</v>
      </c>
      <c r="B835" s="32" t="s">
        <v>1666</v>
      </c>
      <c r="C835" s="22" t="s">
        <v>1667</v>
      </c>
      <c r="D835" s="29" t="s">
        <v>11</v>
      </c>
      <c r="E835" s="21">
        <v>34.79</v>
      </c>
    </row>
    <row r="836" spans="1:5" ht="30" customHeight="1" x14ac:dyDescent="0.35">
      <c r="A836">
        <f t="shared" si="15"/>
        <v>826</v>
      </c>
      <c r="B836" s="35" t="s">
        <v>1668</v>
      </c>
      <c r="C836" s="22" t="s">
        <v>1669</v>
      </c>
      <c r="D836" s="36" t="s">
        <v>710</v>
      </c>
      <c r="E836" s="21">
        <v>4373.2300000000005</v>
      </c>
    </row>
    <row r="837" spans="1:5" ht="30" customHeight="1" x14ac:dyDescent="0.35">
      <c r="A837">
        <f t="shared" si="15"/>
        <v>827</v>
      </c>
      <c r="B837" s="32" t="s">
        <v>1670</v>
      </c>
      <c r="C837" s="22" t="s">
        <v>1671</v>
      </c>
      <c r="D837" s="29" t="s">
        <v>11</v>
      </c>
      <c r="E837" s="21">
        <v>55.66</v>
      </c>
    </row>
    <row r="838" spans="1:5" ht="30" customHeight="1" x14ac:dyDescent="0.35">
      <c r="A838">
        <f t="shared" si="15"/>
        <v>828</v>
      </c>
      <c r="B838" s="35" t="s">
        <v>1672</v>
      </c>
      <c r="C838" s="22" t="s">
        <v>1673</v>
      </c>
      <c r="D838" s="22" t="s">
        <v>710</v>
      </c>
      <c r="E838" s="21">
        <v>2535.59</v>
      </c>
    </row>
    <row r="839" spans="1:5" ht="30" customHeight="1" x14ac:dyDescent="0.35">
      <c r="A839">
        <f t="shared" si="15"/>
        <v>829</v>
      </c>
      <c r="B839" s="32" t="s">
        <v>1674</v>
      </c>
      <c r="C839" s="22" t="s">
        <v>1675</v>
      </c>
      <c r="D839" s="22" t="s">
        <v>11</v>
      </c>
      <c r="E839" s="21">
        <v>33.54</v>
      </c>
    </row>
    <row r="840" spans="1:5" ht="30" customHeight="1" x14ac:dyDescent="0.35">
      <c r="A840">
        <f t="shared" si="15"/>
        <v>830</v>
      </c>
      <c r="B840" s="35" t="s">
        <v>1676</v>
      </c>
      <c r="C840" s="22" t="s">
        <v>1677</v>
      </c>
      <c r="D840" s="22" t="s">
        <v>710</v>
      </c>
      <c r="E840" s="21">
        <v>2934.9300000000003</v>
      </c>
    </row>
    <row r="841" spans="1:5" ht="30" customHeight="1" x14ac:dyDescent="0.35">
      <c r="A841">
        <f t="shared" si="15"/>
        <v>831</v>
      </c>
      <c r="B841" s="32" t="s">
        <v>1678</v>
      </c>
      <c r="C841" s="22" t="s">
        <v>1679</v>
      </c>
      <c r="D841" s="22" t="s">
        <v>11</v>
      </c>
      <c r="E841" s="21">
        <v>41.94</v>
      </c>
    </row>
    <row r="842" spans="1:5" ht="30" customHeight="1" x14ac:dyDescent="0.35">
      <c r="A842">
        <f t="shared" si="15"/>
        <v>832</v>
      </c>
      <c r="B842" s="35" t="s">
        <v>1680</v>
      </c>
      <c r="C842" s="22" t="s">
        <v>1681</v>
      </c>
      <c r="D842" s="22" t="s">
        <v>710</v>
      </c>
      <c r="E842" s="21">
        <v>2782.9700000000003</v>
      </c>
    </row>
    <row r="843" spans="1:5" ht="30" customHeight="1" x14ac:dyDescent="0.35">
      <c r="A843">
        <f t="shared" si="15"/>
        <v>833</v>
      </c>
      <c r="B843" s="32" t="s">
        <v>1682</v>
      </c>
      <c r="C843" s="22" t="s">
        <v>1683</v>
      </c>
      <c r="D843" s="22" t="s">
        <v>11</v>
      </c>
      <c r="E843" s="21">
        <v>33.54</v>
      </c>
    </row>
    <row r="844" spans="1:5" ht="30" customHeight="1" x14ac:dyDescent="0.35">
      <c r="A844">
        <f t="shared" si="15"/>
        <v>834</v>
      </c>
      <c r="B844" s="35" t="s">
        <v>1684</v>
      </c>
      <c r="C844" s="22" t="s">
        <v>1685</v>
      </c>
      <c r="D844" s="22" t="s">
        <v>710</v>
      </c>
      <c r="E844" s="21">
        <v>583.1</v>
      </c>
    </row>
    <row r="845" spans="1:5" ht="30" customHeight="1" x14ac:dyDescent="0.35">
      <c r="A845">
        <f t="shared" si="15"/>
        <v>835</v>
      </c>
      <c r="B845" s="32" t="s">
        <v>1686</v>
      </c>
      <c r="C845" s="22" t="s">
        <v>1687</v>
      </c>
      <c r="D845" s="22" t="s">
        <v>710</v>
      </c>
      <c r="E845" s="21">
        <v>3224.7000000000003</v>
      </c>
    </row>
    <row r="846" spans="1:5" ht="30" customHeight="1" x14ac:dyDescent="0.35">
      <c r="A846">
        <f t="shared" si="15"/>
        <v>836</v>
      </c>
      <c r="B846" s="35" t="s">
        <v>1688</v>
      </c>
      <c r="C846" s="22" t="s">
        <v>1689</v>
      </c>
      <c r="D846" s="22" t="s">
        <v>11</v>
      </c>
      <c r="E846" s="21">
        <v>41.94</v>
      </c>
    </row>
    <row r="847" spans="1:5" ht="30" customHeight="1" x14ac:dyDescent="0.35">
      <c r="A847">
        <f t="shared" si="15"/>
        <v>837</v>
      </c>
      <c r="B847" s="32" t="s">
        <v>1690</v>
      </c>
      <c r="C847" s="22" t="s">
        <v>1691</v>
      </c>
      <c r="D847" s="23" t="s">
        <v>48</v>
      </c>
      <c r="E847" s="21">
        <v>1164.8499999999999</v>
      </c>
    </row>
    <row r="848" spans="1:5" ht="30" customHeight="1" x14ac:dyDescent="0.35">
      <c r="A848">
        <f t="shared" si="15"/>
        <v>838</v>
      </c>
      <c r="B848" s="35" t="s">
        <v>1692</v>
      </c>
      <c r="C848" s="22" t="s">
        <v>1693</v>
      </c>
      <c r="D848" s="23" t="s">
        <v>48</v>
      </c>
      <c r="E848" s="21">
        <v>637.61</v>
      </c>
    </row>
    <row r="849" spans="1:5" ht="30" customHeight="1" x14ac:dyDescent="0.35">
      <c r="A849">
        <f t="shared" si="15"/>
        <v>839</v>
      </c>
      <c r="B849" s="32" t="s">
        <v>1694</v>
      </c>
      <c r="C849" s="22" t="s">
        <v>1695</v>
      </c>
      <c r="D849" s="22" t="s">
        <v>710</v>
      </c>
      <c r="E849" s="21">
        <v>2837.7400000000002</v>
      </c>
    </row>
    <row r="850" spans="1:5" ht="30" customHeight="1" x14ac:dyDescent="0.35">
      <c r="A850">
        <f t="shared" si="15"/>
        <v>840</v>
      </c>
      <c r="B850" s="35" t="s">
        <v>1696</v>
      </c>
      <c r="C850" s="22" t="s">
        <v>1697</v>
      </c>
      <c r="D850" s="22" t="s">
        <v>710</v>
      </c>
      <c r="E850" s="21">
        <v>3722.1</v>
      </c>
    </row>
    <row r="851" spans="1:5" ht="30" customHeight="1" x14ac:dyDescent="0.35">
      <c r="A851">
        <f t="shared" si="15"/>
        <v>841</v>
      </c>
      <c r="B851" s="32" t="s">
        <v>1698</v>
      </c>
      <c r="C851" s="22" t="s">
        <v>1699</v>
      </c>
      <c r="D851" s="23" t="s">
        <v>48</v>
      </c>
      <c r="E851" s="21">
        <v>662.61</v>
      </c>
    </row>
    <row r="852" spans="1:5" ht="30" customHeight="1" x14ac:dyDescent="0.35">
      <c r="A852">
        <f t="shared" si="15"/>
        <v>842</v>
      </c>
      <c r="B852" s="35" t="s">
        <v>1700</v>
      </c>
      <c r="C852" s="22" t="s">
        <v>1701</v>
      </c>
      <c r="D852" s="23" t="s">
        <v>48</v>
      </c>
      <c r="E852" s="21">
        <v>873.76</v>
      </c>
    </row>
    <row r="853" spans="1:5" ht="30" customHeight="1" x14ac:dyDescent="0.35">
      <c r="A853">
        <f t="shared" si="15"/>
        <v>843</v>
      </c>
      <c r="B853" s="32" t="s">
        <v>1702</v>
      </c>
      <c r="C853" s="29" t="s">
        <v>1703</v>
      </c>
      <c r="D853" s="32" t="s">
        <v>31</v>
      </c>
      <c r="E853" s="21">
        <v>542.21</v>
      </c>
    </row>
    <row r="854" spans="1:5" ht="30" customHeight="1" x14ac:dyDescent="0.35">
      <c r="A854">
        <f t="shared" si="15"/>
        <v>844</v>
      </c>
      <c r="B854" s="35" t="s">
        <v>1704</v>
      </c>
      <c r="C854" s="36" t="s">
        <v>1705</v>
      </c>
      <c r="D854" s="35" t="s">
        <v>31</v>
      </c>
      <c r="E854" s="21">
        <v>1642.07</v>
      </c>
    </row>
    <row r="855" spans="1:5" ht="30" customHeight="1" x14ac:dyDescent="0.35">
      <c r="A855">
        <f t="shared" si="15"/>
        <v>845</v>
      </c>
      <c r="B855" s="32" t="s">
        <v>1706</v>
      </c>
      <c r="C855" s="29" t="s">
        <v>1707</v>
      </c>
      <c r="D855" s="32" t="s">
        <v>31</v>
      </c>
      <c r="E855" s="21">
        <v>464.04999999999995</v>
      </c>
    </row>
    <row r="856" spans="1:5" ht="30" customHeight="1" x14ac:dyDescent="0.35">
      <c r="A856">
        <f t="shared" si="15"/>
        <v>846</v>
      </c>
      <c r="B856" s="35" t="s">
        <v>1708</v>
      </c>
      <c r="C856" s="36" t="s">
        <v>1709</v>
      </c>
      <c r="D856" s="35" t="s">
        <v>31</v>
      </c>
      <c r="E856" s="21">
        <v>546.1</v>
      </c>
    </row>
    <row r="857" spans="1:5" ht="30" customHeight="1" x14ac:dyDescent="0.35">
      <c r="A857">
        <f t="shared" si="15"/>
        <v>847</v>
      </c>
      <c r="B857" s="32" t="s">
        <v>1710</v>
      </c>
      <c r="C857" s="29" t="s">
        <v>1711</v>
      </c>
      <c r="D857" s="32" t="s">
        <v>31</v>
      </c>
      <c r="E857" s="21">
        <v>1432.4</v>
      </c>
    </row>
    <row r="858" spans="1:5" ht="30" customHeight="1" x14ac:dyDescent="0.35">
      <c r="A858">
        <f t="shared" si="15"/>
        <v>848</v>
      </c>
      <c r="B858" s="35" t="s">
        <v>1712</v>
      </c>
      <c r="C858" s="36" t="s">
        <v>1713</v>
      </c>
      <c r="D858" s="35" t="s">
        <v>31</v>
      </c>
      <c r="E858" s="21">
        <v>539.46</v>
      </c>
    </row>
    <row r="859" spans="1:5" ht="30" customHeight="1" x14ac:dyDescent="0.35">
      <c r="A859">
        <f t="shared" si="15"/>
        <v>849</v>
      </c>
      <c r="B859" s="32" t="s">
        <v>1714</v>
      </c>
      <c r="C859" s="29" t="s">
        <v>1715</v>
      </c>
      <c r="D859" s="32" t="s">
        <v>31</v>
      </c>
      <c r="E859" s="21">
        <v>1363.8300000000002</v>
      </c>
    </row>
    <row r="860" spans="1:5" ht="30" customHeight="1" x14ac:dyDescent="0.35">
      <c r="A860">
        <f t="shared" si="15"/>
        <v>850</v>
      </c>
      <c r="B860" s="35" t="s">
        <v>1716</v>
      </c>
      <c r="C860" s="36" t="s">
        <v>1717</v>
      </c>
      <c r="D860" s="35" t="s">
        <v>31</v>
      </c>
      <c r="E860" s="21">
        <v>2078.2600000000002</v>
      </c>
    </row>
    <row r="861" spans="1:5" ht="30" customHeight="1" x14ac:dyDescent="0.35">
      <c r="A861">
        <f t="shared" si="15"/>
        <v>851</v>
      </c>
      <c r="B861" s="32" t="s">
        <v>1718</v>
      </c>
      <c r="C861" s="29" t="s">
        <v>1719</v>
      </c>
      <c r="D861" s="32" t="s">
        <v>31</v>
      </c>
      <c r="E861" s="21">
        <v>658.75</v>
      </c>
    </row>
    <row r="862" spans="1:5" ht="30" customHeight="1" x14ac:dyDescent="0.35">
      <c r="A862">
        <f t="shared" si="15"/>
        <v>852</v>
      </c>
      <c r="B862" s="35" t="s">
        <v>1720</v>
      </c>
      <c r="C862" s="36" t="s">
        <v>1721</v>
      </c>
      <c r="D862" s="35" t="s">
        <v>31</v>
      </c>
      <c r="E862" s="21">
        <v>2919.02</v>
      </c>
    </row>
    <row r="863" spans="1:5" ht="30" customHeight="1" x14ac:dyDescent="0.35">
      <c r="A863">
        <f t="shared" si="15"/>
        <v>853</v>
      </c>
      <c r="B863" s="32" t="s">
        <v>1722</v>
      </c>
      <c r="C863" s="29" t="s">
        <v>1723</v>
      </c>
      <c r="D863" s="32" t="s">
        <v>31</v>
      </c>
      <c r="E863" s="21">
        <v>2363.31</v>
      </c>
    </row>
    <row r="864" spans="1:5" ht="30" customHeight="1" x14ac:dyDescent="0.35">
      <c r="A864">
        <f t="shared" si="15"/>
        <v>854</v>
      </c>
      <c r="B864" s="35" t="s">
        <v>1724</v>
      </c>
      <c r="C864" s="36" t="s">
        <v>1725</v>
      </c>
      <c r="D864" s="35" t="s">
        <v>31</v>
      </c>
      <c r="E864" s="21">
        <v>3538.34</v>
      </c>
    </row>
    <row r="865" spans="1:5" ht="30" customHeight="1" x14ac:dyDescent="0.35">
      <c r="A865">
        <f t="shared" si="15"/>
        <v>855</v>
      </c>
      <c r="B865" s="32" t="s">
        <v>1726</v>
      </c>
      <c r="C865" s="29" t="s">
        <v>1727</v>
      </c>
      <c r="D865" s="32" t="s">
        <v>31</v>
      </c>
      <c r="E865" s="21">
        <v>3241.49</v>
      </c>
    </row>
    <row r="866" spans="1:5" ht="30" customHeight="1" x14ac:dyDescent="0.35">
      <c r="A866">
        <f t="shared" si="15"/>
        <v>856</v>
      </c>
      <c r="B866" s="35" t="s">
        <v>1728</v>
      </c>
      <c r="C866" s="36" t="s">
        <v>1729</v>
      </c>
      <c r="D866" s="35" t="s">
        <v>31</v>
      </c>
      <c r="E866" s="21">
        <v>5475.14</v>
      </c>
    </row>
    <row r="867" spans="1:5" ht="30" customHeight="1" x14ac:dyDescent="0.35">
      <c r="A867">
        <f t="shared" si="15"/>
        <v>857</v>
      </c>
      <c r="B867" s="32" t="s">
        <v>1730</v>
      </c>
      <c r="C867" s="29" t="s">
        <v>1731</v>
      </c>
      <c r="D867" s="32" t="s">
        <v>31</v>
      </c>
      <c r="E867" s="21">
        <v>5565.61</v>
      </c>
    </row>
    <row r="868" spans="1:5" ht="30" customHeight="1" x14ac:dyDescent="0.35">
      <c r="A868">
        <f t="shared" si="15"/>
        <v>858</v>
      </c>
      <c r="B868" s="35" t="s">
        <v>1732</v>
      </c>
      <c r="C868" s="36" t="s">
        <v>1733</v>
      </c>
      <c r="D868" s="35" t="s">
        <v>31</v>
      </c>
      <c r="E868" s="21">
        <v>4452.74</v>
      </c>
    </row>
    <row r="869" spans="1:5" ht="30" customHeight="1" x14ac:dyDescent="0.35">
      <c r="A869">
        <f t="shared" si="15"/>
        <v>859</v>
      </c>
      <c r="B869" s="32" t="s">
        <v>1734</v>
      </c>
      <c r="C869" s="29" t="s">
        <v>1735</v>
      </c>
      <c r="D869" s="32" t="s">
        <v>31</v>
      </c>
      <c r="E869" s="21">
        <v>3638.8799999999997</v>
      </c>
    </row>
    <row r="870" spans="1:5" ht="30" customHeight="1" x14ac:dyDescent="0.35">
      <c r="A870">
        <f t="shared" si="15"/>
        <v>860</v>
      </c>
      <c r="B870" s="35" t="s">
        <v>1736</v>
      </c>
      <c r="C870" s="36" t="s">
        <v>1737</v>
      </c>
      <c r="D870" s="35" t="s">
        <v>31</v>
      </c>
      <c r="E870" s="21">
        <v>5448.5300000000007</v>
      </c>
    </row>
    <row r="871" spans="1:5" ht="30" customHeight="1" x14ac:dyDescent="0.35">
      <c r="A871">
        <f t="shared" si="15"/>
        <v>861</v>
      </c>
      <c r="B871" s="32" t="s">
        <v>1738</v>
      </c>
      <c r="C871" s="29" t="s">
        <v>1739</v>
      </c>
      <c r="D871" s="32" t="s">
        <v>31</v>
      </c>
      <c r="E871" s="21">
        <v>5402.48</v>
      </c>
    </row>
    <row r="872" spans="1:5" ht="30" customHeight="1" x14ac:dyDescent="0.35">
      <c r="A872">
        <f t="shared" si="15"/>
        <v>862</v>
      </c>
      <c r="B872" s="35" t="s">
        <v>1740</v>
      </c>
      <c r="C872" s="36" t="s">
        <v>1741</v>
      </c>
      <c r="D872" s="35" t="s">
        <v>31</v>
      </c>
      <c r="E872" s="21">
        <v>10211.26</v>
      </c>
    </row>
    <row r="873" spans="1:5" ht="30" customHeight="1" x14ac:dyDescent="0.35">
      <c r="A873">
        <f t="shared" si="15"/>
        <v>863</v>
      </c>
      <c r="B873" s="32" t="s">
        <v>1742</v>
      </c>
      <c r="C873" s="29" t="s">
        <v>1743</v>
      </c>
      <c r="D873" s="32" t="s">
        <v>31</v>
      </c>
      <c r="E873" s="21">
        <v>8579.4699999999993</v>
      </c>
    </row>
    <row r="874" spans="1:5" ht="30" customHeight="1" x14ac:dyDescent="0.35">
      <c r="A874">
        <f t="shared" si="15"/>
        <v>864</v>
      </c>
      <c r="B874" s="35" t="s">
        <v>1744</v>
      </c>
      <c r="C874" s="36" t="s">
        <v>1745</v>
      </c>
      <c r="D874" s="35" t="s">
        <v>31</v>
      </c>
      <c r="E874" s="21">
        <v>1148.53</v>
      </c>
    </row>
    <row r="875" spans="1:5" ht="30" customHeight="1" x14ac:dyDescent="0.35">
      <c r="A875">
        <f t="shared" si="15"/>
        <v>865</v>
      </c>
      <c r="B875" s="32" t="s">
        <v>1746</v>
      </c>
      <c r="C875" s="29" t="s">
        <v>1747</v>
      </c>
      <c r="D875" s="32" t="s">
        <v>31</v>
      </c>
      <c r="E875" s="21">
        <v>1339.3600000000001</v>
      </c>
    </row>
    <row r="876" spans="1:5" ht="30" customHeight="1" x14ac:dyDescent="0.35">
      <c r="A876">
        <f t="shared" si="15"/>
        <v>866</v>
      </c>
      <c r="B876" s="35" t="s">
        <v>1748</v>
      </c>
      <c r="C876" s="36" t="s">
        <v>1749</v>
      </c>
      <c r="D876" s="35" t="s">
        <v>31</v>
      </c>
      <c r="E876" s="21">
        <v>1408.27</v>
      </c>
    </row>
    <row r="877" spans="1:5" ht="30" customHeight="1" x14ac:dyDescent="0.35">
      <c r="A877"/>
      <c r="B877" s="10" t="s">
        <v>1750</v>
      </c>
      <c r="C877" s="10"/>
      <c r="D877" s="11"/>
      <c r="E877" s="52"/>
    </row>
    <row r="878" spans="1:5" ht="30" customHeight="1" x14ac:dyDescent="0.35">
      <c r="A878" s="12">
        <f>+A876+1</f>
        <v>867</v>
      </c>
      <c r="B878" s="28" t="s">
        <v>1751</v>
      </c>
      <c r="C878" s="41" t="s">
        <v>1752</v>
      </c>
      <c r="D878" s="15" t="s">
        <v>8</v>
      </c>
      <c r="E878" s="16">
        <v>3.15</v>
      </c>
    </row>
    <row r="879" spans="1:5" ht="30" customHeight="1" x14ac:dyDescent="0.35">
      <c r="A879">
        <f t="shared" ref="A879:A942" si="16">A878+1</f>
        <v>868</v>
      </c>
      <c r="B879" s="32" t="s">
        <v>1753</v>
      </c>
      <c r="C879" s="29" t="s">
        <v>1754</v>
      </c>
      <c r="D879" s="32" t="s">
        <v>31</v>
      </c>
      <c r="E879" s="21">
        <v>3420.87</v>
      </c>
    </row>
    <row r="880" spans="1:5" ht="30" customHeight="1" x14ac:dyDescent="0.35">
      <c r="A880">
        <f t="shared" si="16"/>
        <v>869</v>
      </c>
      <c r="B880" s="35" t="s">
        <v>1755</v>
      </c>
      <c r="C880" s="36" t="s">
        <v>1756</v>
      </c>
      <c r="D880" s="35" t="s">
        <v>11</v>
      </c>
      <c r="E880" s="21">
        <v>183.05</v>
      </c>
    </row>
    <row r="881" spans="1:5" ht="30" customHeight="1" x14ac:dyDescent="0.35">
      <c r="A881">
        <f t="shared" si="16"/>
        <v>870</v>
      </c>
      <c r="B881" s="32" t="s">
        <v>1757</v>
      </c>
      <c r="C881" s="29" t="s">
        <v>1758</v>
      </c>
      <c r="D881" s="32" t="s">
        <v>14</v>
      </c>
      <c r="E881" s="21">
        <v>0.33999999999999997</v>
      </c>
    </row>
    <row r="882" spans="1:5" ht="30" customHeight="1" x14ac:dyDescent="0.35">
      <c r="A882">
        <f t="shared" si="16"/>
        <v>871</v>
      </c>
      <c r="B882" s="35" t="s">
        <v>1759</v>
      </c>
      <c r="C882" s="36" t="s">
        <v>1760</v>
      </c>
      <c r="D882" s="35" t="s">
        <v>14</v>
      </c>
      <c r="E882" s="21">
        <v>0.42</v>
      </c>
    </row>
    <row r="883" spans="1:5" ht="30" customHeight="1" x14ac:dyDescent="0.35">
      <c r="A883">
        <f t="shared" si="16"/>
        <v>872</v>
      </c>
      <c r="B883" s="32" t="s">
        <v>1761</v>
      </c>
      <c r="C883" s="29" t="s">
        <v>1762</v>
      </c>
      <c r="D883" s="32" t="s">
        <v>14</v>
      </c>
      <c r="E883" s="21">
        <v>0.33999999999999997</v>
      </c>
    </row>
    <row r="884" spans="1:5" ht="30" customHeight="1" x14ac:dyDescent="0.35">
      <c r="A884">
        <f t="shared" si="16"/>
        <v>873</v>
      </c>
      <c r="B884" s="35" t="s">
        <v>1763</v>
      </c>
      <c r="C884" s="36" t="s">
        <v>1764</v>
      </c>
      <c r="D884" s="35" t="s">
        <v>14</v>
      </c>
      <c r="E884" s="21">
        <v>0.41</v>
      </c>
    </row>
    <row r="885" spans="1:5" ht="30" customHeight="1" x14ac:dyDescent="0.35">
      <c r="A885">
        <f t="shared" si="16"/>
        <v>874</v>
      </c>
      <c r="B885" s="32" t="s">
        <v>1765</v>
      </c>
      <c r="C885" s="29" t="s">
        <v>1766</v>
      </c>
      <c r="D885" s="32" t="s">
        <v>14</v>
      </c>
      <c r="E885" s="21">
        <v>0.45</v>
      </c>
    </row>
    <row r="886" spans="1:5" ht="30" customHeight="1" x14ac:dyDescent="0.35">
      <c r="A886">
        <f t="shared" si="16"/>
        <v>875</v>
      </c>
      <c r="B886" s="35" t="s">
        <v>1767</v>
      </c>
      <c r="C886" s="36" t="s">
        <v>1768</v>
      </c>
      <c r="D886" s="35" t="s">
        <v>14</v>
      </c>
      <c r="E886" s="21">
        <v>0.33999999999999997</v>
      </c>
    </row>
    <row r="887" spans="1:5" ht="30" customHeight="1" x14ac:dyDescent="0.35">
      <c r="A887">
        <f t="shared" si="16"/>
        <v>876</v>
      </c>
      <c r="B887" s="32" t="s">
        <v>1769</v>
      </c>
      <c r="C887" s="29" t="s">
        <v>1770</v>
      </c>
      <c r="D887" s="32" t="s">
        <v>14</v>
      </c>
      <c r="E887" s="21">
        <v>0.38</v>
      </c>
    </row>
    <row r="888" spans="1:5" ht="30" customHeight="1" x14ac:dyDescent="0.35">
      <c r="A888">
        <f t="shared" si="16"/>
        <v>877</v>
      </c>
      <c r="B888" s="35" t="s">
        <v>1771</v>
      </c>
      <c r="C888" s="36" t="s">
        <v>1772</v>
      </c>
      <c r="D888" s="35" t="s">
        <v>14</v>
      </c>
      <c r="E888" s="21">
        <v>0.41</v>
      </c>
    </row>
    <row r="889" spans="1:5" ht="30" customHeight="1" x14ac:dyDescent="0.35">
      <c r="A889">
        <f t="shared" si="16"/>
        <v>878</v>
      </c>
      <c r="B889" s="32" t="s">
        <v>1773</v>
      </c>
      <c r="C889" s="29" t="s">
        <v>30</v>
      </c>
      <c r="D889" s="23" t="s">
        <v>48</v>
      </c>
      <c r="E889" s="21">
        <v>257.09999999999997</v>
      </c>
    </row>
    <row r="890" spans="1:5" ht="30" customHeight="1" x14ac:dyDescent="0.35">
      <c r="A890">
        <f t="shared" si="16"/>
        <v>879</v>
      </c>
      <c r="B890" s="35" t="s">
        <v>1774</v>
      </c>
      <c r="C890" s="36" t="s">
        <v>1775</v>
      </c>
      <c r="D890" s="23" t="s">
        <v>48</v>
      </c>
      <c r="E890" s="21">
        <v>373.74</v>
      </c>
    </row>
    <row r="891" spans="1:5" ht="30" customHeight="1" x14ac:dyDescent="0.35">
      <c r="A891">
        <f t="shared" si="16"/>
        <v>880</v>
      </c>
      <c r="B891" s="32" t="s">
        <v>1776</v>
      </c>
      <c r="C891" s="29" t="s">
        <v>1777</v>
      </c>
      <c r="D891" s="32" t="s">
        <v>31</v>
      </c>
      <c r="E891" s="21">
        <v>3148.5</v>
      </c>
    </row>
    <row r="892" spans="1:5" ht="30" customHeight="1" x14ac:dyDescent="0.35">
      <c r="A892" s="12">
        <f t="shared" si="16"/>
        <v>881</v>
      </c>
      <c r="B892" s="28" t="s">
        <v>1778</v>
      </c>
      <c r="C892" s="41" t="s">
        <v>1779</v>
      </c>
      <c r="D892" s="26" t="s">
        <v>48</v>
      </c>
      <c r="E892" s="16">
        <v>437.23</v>
      </c>
    </row>
    <row r="893" spans="1:5" ht="30" customHeight="1" x14ac:dyDescent="0.35">
      <c r="A893" s="12">
        <f t="shared" si="16"/>
        <v>882</v>
      </c>
      <c r="B893" s="42" t="s">
        <v>1780</v>
      </c>
      <c r="C893" s="27" t="s">
        <v>1781</v>
      </c>
      <c r="D893" s="26" t="s">
        <v>48</v>
      </c>
      <c r="E893" s="16">
        <v>349.78</v>
      </c>
    </row>
    <row r="894" spans="1:5" ht="30" customHeight="1" x14ac:dyDescent="0.35">
      <c r="A894" s="12">
        <f t="shared" si="16"/>
        <v>883</v>
      </c>
      <c r="B894" s="28" t="s">
        <v>1782</v>
      </c>
      <c r="C894" s="41" t="s">
        <v>1783</v>
      </c>
      <c r="D894" s="26" t="s">
        <v>48</v>
      </c>
      <c r="E894" s="16">
        <v>109.31</v>
      </c>
    </row>
    <row r="895" spans="1:5" ht="30" customHeight="1" x14ac:dyDescent="0.35">
      <c r="A895">
        <f t="shared" si="16"/>
        <v>884</v>
      </c>
      <c r="B895" s="32" t="s">
        <v>1784</v>
      </c>
      <c r="C895" s="29" t="s">
        <v>1785</v>
      </c>
      <c r="D895" s="32" t="s">
        <v>31</v>
      </c>
      <c r="E895" s="21">
        <v>495.04999999999995</v>
      </c>
    </row>
    <row r="896" spans="1:5" ht="30" customHeight="1" x14ac:dyDescent="0.35">
      <c r="A896">
        <f t="shared" si="16"/>
        <v>885</v>
      </c>
      <c r="B896" s="35" t="s">
        <v>1786</v>
      </c>
      <c r="C896" s="36" t="s">
        <v>1787</v>
      </c>
      <c r="D896" s="35" t="s">
        <v>31</v>
      </c>
      <c r="E896" s="21">
        <v>678.36</v>
      </c>
    </row>
    <row r="897" spans="1:5" ht="30" customHeight="1" x14ac:dyDescent="0.35">
      <c r="A897">
        <f t="shared" si="16"/>
        <v>886</v>
      </c>
      <c r="B897" s="32" t="s">
        <v>1788</v>
      </c>
      <c r="C897" s="29" t="s">
        <v>56</v>
      </c>
      <c r="D897" s="23" t="s">
        <v>48</v>
      </c>
      <c r="E897" s="21">
        <v>1506.81</v>
      </c>
    </row>
    <row r="898" spans="1:5" ht="30" customHeight="1" x14ac:dyDescent="0.35">
      <c r="A898">
        <f t="shared" si="16"/>
        <v>887</v>
      </c>
      <c r="B898" s="35" t="s">
        <v>1789</v>
      </c>
      <c r="C898" s="36" t="s">
        <v>1790</v>
      </c>
      <c r="D898" s="35" t="s">
        <v>59</v>
      </c>
      <c r="E898" s="21">
        <v>1747.2199999999998</v>
      </c>
    </row>
    <row r="899" spans="1:5" ht="30" customHeight="1" x14ac:dyDescent="0.35">
      <c r="A899">
        <f t="shared" si="16"/>
        <v>888</v>
      </c>
      <c r="B899" s="32" t="s">
        <v>1791</v>
      </c>
      <c r="C899" s="29" t="s">
        <v>1792</v>
      </c>
      <c r="D899" s="32" t="s">
        <v>31</v>
      </c>
      <c r="E899" s="21">
        <v>773.77</v>
      </c>
    </row>
    <row r="900" spans="1:5" ht="30" customHeight="1" x14ac:dyDescent="0.35">
      <c r="A900">
        <f t="shared" si="16"/>
        <v>889</v>
      </c>
      <c r="B900" s="35" t="s">
        <v>1793</v>
      </c>
      <c r="C900" s="36" t="s">
        <v>61</v>
      </c>
      <c r="D900" s="35" t="s">
        <v>31</v>
      </c>
      <c r="E900" s="21">
        <v>2076.96</v>
      </c>
    </row>
    <row r="901" spans="1:5" ht="30" customHeight="1" x14ac:dyDescent="0.35">
      <c r="A901" s="12">
        <f t="shared" si="16"/>
        <v>890</v>
      </c>
      <c r="B901" s="42" t="s">
        <v>1794</v>
      </c>
      <c r="C901" s="27" t="s">
        <v>63</v>
      </c>
      <c r="D901" s="15" t="s">
        <v>8</v>
      </c>
      <c r="E901" s="16">
        <v>2.66</v>
      </c>
    </row>
    <row r="902" spans="1:5" ht="30" customHeight="1" x14ac:dyDescent="0.35">
      <c r="A902" s="12">
        <f t="shared" si="16"/>
        <v>891</v>
      </c>
      <c r="B902" s="28" t="s">
        <v>1795</v>
      </c>
      <c r="C902" s="41" t="s">
        <v>65</v>
      </c>
      <c r="D902" s="15" t="s">
        <v>8</v>
      </c>
      <c r="E902" s="16">
        <v>3.15</v>
      </c>
    </row>
    <row r="903" spans="1:5" ht="30" customHeight="1" x14ac:dyDescent="0.35">
      <c r="A903">
        <f t="shared" si="16"/>
        <v>892</v>
      </c>
      <c r="B903" s="32" t="s">
        <v>1796</v>
      </c>
      <c r="C903" s="29" t="s">
        <v>1797</v>
      </c>
      <c r="D903" s="32" t="s">
        <v>31</v>
      </c>
      <c r="E903" s="21">
        <v>342.96</v>
      </c>
    </row>
    <row r="904" spans="1:5" ht="30" customHeight="1" x14ac:dyDescent="0.35">
      <c r="A904">
        <f t="shared" si="16"/>
        <v>893</v>
      </c>
      <c r="B904" s="35" t="s">
        <v>1798</v>
      </c>
      <c r="C904" s="36" t="s">
        <v>1799</v>
      </c>
      <c r="D904" s="35" t="s">
        <v>11</v>
      </c>
      <c r="E904" s="21">
        <v>54.08</v>
      </c>
    </row>
    <row r="905" spans="1:5" ht="30" customHeight="1" x14ac:dyDescent="0.35">
      <c r="A905">
        <f t="shared" si="16"/>
        <v>894</v>
      </c>
      <c r="B905" s="32" t="s">
        <v>1800</v>
      </c>
      <c r="C905" s="29" t="s">
        <v>71</v>
      </c>
      <c r="D905" s="32" t="s">
        <v>31</v>
      </c>
      <c r="E905" s="21">
        <v>342.96</v>
      </c>
    </row>
    <row r="906" spans="1:5" ht="30" customHeight="1" x14ac:dyDescent="0.35">
      <c r="A906">
        <f t="shared" si="16"/>
        <v>895</v>
      </c>
      <c r="B906" s="35" t="s">
        <v>1801</v>
      </c>
      <c r="C906" s="36" t="s">
        <v>73</v>
      </c>
      <c r="D906" s="35" t="s">
        <v>11</v>
      </c>
      <c r="E906" s="21">
        <v>67.39</v>
      </c>
    </row>
    <row r="907" spans="1:5" ht="30" customHeight="1" x14ac:dyDescent="0.35">
      <c r="A907" s="12">
        <f t="shared" si="16"/>
        <v>896</v>
      </c>
      <c r="B907" s="42" t="s">
        <v>1802</v>
      </c>
      <c r="C907" s="27" t="s">
        <v>1803</v>
      </c>
      <c r="D907" s="26" t="s">
        <v>48</v>
      </c>
      <c r="E907" s="16">
        <v>833.41</v>
      </c>
    </row>
    <row r="908" spans="1:5" ht="30" customHeight="1" x14ac:dyDescent="0.35">
      <c r="A908">
        <f t="shared" si="16"/>
        <v>897</v>
      </c>
      <c r="B908" s="18" t="s">
        <v>1804</v>
      </c>
      <c r="C908" s="24" t="s">
        <v>1805</v>
      </c>
      <c r="D908" s="23" t="s">
        <v>31</v>
      </c>
      <c r="E908" s="21">
        <v>3180.54</v>
      </c>
    </row>
    <row r="909" spans="1:5" ht="30" customHeight="1" x14ac:dyDescent="0.35">
      <c r="A909">
        <f t="shared" si="16"/>
        <v>898</v>
      </c>
      <c r="B909" s="32" t="s">
        <v>1806</v>
      </c>
      <c r="C909" s="29" t="s">
        <v>1807</v>
      </c>
      <c r="D909" s="32" t="s">
        <v>11</v>
      </c>
      <c r="E909" s="21">
        <v>166.18</v>
      </c>
    </row>
    <row r="910" spans="1:5" ht="30" customHeight="1" x14ac:dyDescent="0.35">
      <c r="A910">
        <f t="shared" si="16"/>
        <v>899</v>
      </c>
      <c r="B910" s="18" t="s">
        <v>1808</v>
      </c>
      <c r="C910" s="29" t="s">
        <v>1809</v>
      </c>
      <c r="D910" s="23" t="s">
        <v>48</v>
      </c>
      <c r="E910" s="21">
        <v>9.2900000000000009</v>
      </c>
    </row>
    <row r="911" spans="1:5" ht="30" customHeight="1" x14ac:dyDescent="0.35">
      <c r="A911" s="12">
        <f t="shared" si="16"/>
        <v>900</v>
      </c>
      <c r="B911" s="13" t="s">
        <v>1810</v>
      </c>
      <c r="C911" s="27" t="s">
        <v>1811</v>
      </c>
      <c r="D911" s="26" t="s">
        <v>48</v>
      </c>
      <c r="E911" s="16">
        <v>766.73</v>
      </c>
    </row>
    <row r="912" spans="1:5" ht="30" customHeight="1" x14ac:dyDescent="0.35">
      <c r="A912">
        <f t="shared" si="16"/>
        <v>901</v>
      </c>
      <c r="B912" s="18" t="s">
        <v>1812</v>
      </c>
      <c r="C912" s="29" t="s">
        <v>1813</v>
      </c>
      <c r="D912" s="32" t="s">
        <v>31</v>
      </c>
      <c r="E912" s="21">
        <v>574.27</v>
      </c>
    </row>
    <row r="913" spans="1:5" ht="30" customHeight="1" x14ac:dyDescent="0.35">
      <c r="A913">
        <f t="shared" si="16"/>
        <v>902</v>
      </c>
      <c r="B913" s="18" t="s">
        <v>1814</v>
      </c>
      <c r="C913" s="29" t="s">
        <v>1815</v>
      </c>
      <c r="D913" s="32" t="s">
        <v>31</v>
      </c>
      <c r="E913" s="21">
        <v>122.77</v>
      </c>
    </row>
    <row r="914" spans="1:5" ht="30" customHeight="1" x14ac:dyDescent="0.35">
      <c r="A914" s="12">
        <f t="shared" si="16"/>
        <v>903</v>
      </c>
      <c r="B914" s="13" t="s">
        <v>1816</v>
      </c>
      <c r="C914" s="25" t="s">
        <v>1817</v>
      </c>
      <c r="D914" s="26" t="s">
        <v>48</v>
      </c>
      <c r="E914" s="16">
        <v>752.56</v>
      </c>
    </row>
    <row r="915" spans="1:5" ht="30" customHeight="1" x14ac:dyDescent="0.35">
      <c r="A915">
        <f t="shared" si="16"/>
        <v>904</v>
      </c>
      <c r="B915" s="32" t="s">
        <v>1818</v>
      </c>
      <c r="C915" s="29" t="s">
        <v>1819</v>
      </c>
      <c r="D915" s="32" t="s">
        <v>14</v>
      </c>
      <c r="E915" s="21">
        <v>1.1599999999999999</v>
      </c>
    </row>
    <row r="916" spans="1:5" ht="30" customHeight="1" x14ac:dyDescent="0.35">
      <c r="A916">
        <f t="shared" si="16"/>
        <v>905</v>
      </c>
      <c r="B916" s="35" t="s">
        <v>1820</v>
      </c>
      <c r="C916" s="36" t="s">
        <v>1821</v>
      </c>
      <c r="D916" s="35" t="s">
        <v>14</v>
      </c>
      <c r="E916" s="21">
        <v>1.32</v>
      </c>
    </row>
    <row r="917" spans="1:5" ht="30" customHeight="1" x14ac:dyDescent="0.35">
      <c r="A917">
        <f t="shared" si="16"/>
        <v>906</v>
      </c>
      <c r="B917" s="32" t="s">
        <v>1822</v>
      </c>
      <c r="C917" s="29" t="s">
        <v>1823</v>
      </c>
      <c r="D917" s="32" t="s">
        <v>14</v>
      </c>
      <c r="E917" s="21">
        <v>1.48</v>
      </c>
    </row>
    <row r="918" spans="1:5" ht="30" customHeight="1" x14ac:dyDescent="0.35">
      <c r="A918">
        <f t="shared" si="16"/>
        <v>907</v>
      </c>
      <c r="B918" s="35" t="s">
        <v>1824</v>
      </c>
      <c r="C918" s="36" t="s">
        <v>1825</v>
      </c>
      <c r="D918" s="35" t="s">
        <v>14</v>
      </c>
      <c r="E918" s="21">
        <v>1.57</v>
      </c>
    </row>
    <row r="919" spans="1:5" ht="30" customHeight="1" x14ac:dyDescent="0.35">
      <c r="A919">
        <f t="shared" si="16"/>
        <v>908</v>
      </c>
      <c r="B919" s="32" t="s">
        <v>1826</v>
      </c>
      <c r="C919" s="29" t="s">
        <v>1827</v>
      </c>
      <c r="D919" s="32" t="s">
        <v>14</v>
      </c>
      <c r="E919" s="21">
        <v>1.48</v>
      </c>
    </row>
    <row r="920" spans="1:5" ht="30" customHeight="1" x14ac:dyDescent="0.35">
      <c r="A920">
        <f t="shared" si="16"/>
        <v>909</v>
      </c>
      <c r="B920" s="35" t="s">
        <v>1828</v>
      </c>
      <c r="C920" s="36" t="s">
        <v>1829</v>
      </c>
      <c r="D920" s="35" t="s">
        <v>14</v>
      </c>
      <c r="E920" s="21">
        <v>22.21</v>
      </c>
    </row>
    <row r="921" spans="1:5" ht="30" customHeight="1" x14ac:dyDescent="0.35">
      <c r="A921">
        <f t="shared" si="16"/>
        <v>910</v>
      </c>
      <c r="B921" s="32" t="s">
        <v>1830</v>
      </c>
      <c r="C921" s="29" t="s">
        <v>1831</v>
      </c>
      <c r="D921" s="32" t="s">
        <v>908</v>
      </c>
      <c r="E921" s="21">
        <v>34.9</v>
      </c>
    </row>
    <row r="922" spans="1:5" ht="30" customHeight="1" x14ac:dyDescent="0.35">
      <c r="A922">
        <f t="shared" si="16"/>
        <v>911</v>
      </c>
      <c r="B922" s="35" t="s">
        <v>1832</v>
      </c>
      <c r="C922" s="36" t="s">
        <v>1833</v>
      </c>
      <c r="D922" s="35" t="s">
        <v>908</v>
      </c>
      <c r="E922" s="21">
        <v>11.43</v>
      </c>
    </row>
    <row r="923" spans="1:5" ht="30" customHeight="1" x14ac:dyDescent="0.35">
      <c r="A923">
        <f t="shared" si="16"/>
        <v>912</v>
      </c>
      <c r="B923" s="32" t="s">
        <v>1834</v>
      </c>
      <c r="C923" s="29" t="s">
        <v>1835</v>
      </c>
      <c r="D923" s="32" t="s">
        <v>908</v>
      </c>
      <c r="E923" s="21">
        <v>42.56</v>
      </c>
    </row>
    <row r="924" spans="1:5" ht="30" customHeight="1" x14ac:dyDescent="0.35">
      <c r="A924">
        <f t="shared" si="16"/>
        <v>913</v>
      </c>
      <c r="B924" s="35" t="s">
        <v>1836</v>
      </c>
      <c r="C924" s="36" t="s">
        <v>1837</v>
      </c>
      <c r="D924" s="35" t="s">
        <v>14</v>
      </c>
      <c r="E924" s="21">
        <v>24.130000000000003</v>
      </c>
    </row>
    <row r="925" spans="1:5" ht="30" customHeight="1" x14ac:dyDescent="0.35">
      <c r="A925">
        <f t="shared" si="16"/>
        <v>914</v>
      </c>
      <c r="B925" s="32" t="s">
        <v>1838</v>
      </c>
      <c r="C925" s="29" t="s">
        <v>1839</v>
      </c>
      <c r="D925" s="32" t="s">
        <v>14</v>
      </c>
      <c r="E925" s="21">
        <v>1.8599999999999999</v>
      </c>
    </row>
    <row r="926" spans="1:5" ht="30" customHeight="1" x14ac:dyDescent="0.35">
      <c r="A926">
        <f t="shared" si="16"/>
        <v>915</v>
      </c>
      <c r="B926" s="35" t="s">
        <v>1840</v>
      </c>
      <c r="C926" s="36" t="s">
        <v>1841</v>
      </c>
      <c r="D926" s="35" t="s">
        <v>14</v>
      </c>
      <c r="E926" s="21">
        <v>18.66</v>
      </c>
    </row>
    <row r="927" spans="1:5" ht="30" customHeight="1" x14ac:dyDescent="0.35">
      <c r="A927">
        <f t="shared" si="16"/>
        <v>916</v>
      </c>
      <c r="B927" s="32" t="s">
        <v>1842</v>
      </c>
      <c r="C927" s="29" t="s">
        <v>1843</v>
      </c>
      <c r="D927" s="32" t="s">
        <v>14</v>
      </c>
      <c r="E927" s="21">
        <v>22.9</v>
      </c>
    </row>
    <row r="928" spans="1:5" ht="30" customHeight="1" x14ac:dyDescent="0.35">
      <c r="A928">
        <f t="shared" si="16"/>
        <v>917</v>
      </c>
      <c r="B928" s="32" t="s">
        <v>1844</v>
      </c>
      <c r="C928" s="29" t="s">
        <v>1845</v>
      </c>
      <c r="D928" s="32" t="s">
        <v>14</v>
      </c>
      <c r="E928" s="21">
        <v>26.630000000000003</v>
      </c>
    </row>
    <row r="929" spans="1:5" ht="30" customHeight="1" x14ac:dyDescent="0.35">
      <c r="A929">
        <f t="shared" si="16"/>
        <v>918</v>
      </c>
      <c r="B929" s="35" t="s">
        <v>1846</v>
      </c>
      <c r="C929" s="36" t="s">
        <v>1847</v>
      </c>
      <c r="D929" s="35" t="s">
        <v>908</v>
      </c>
      <c r="E929" s="21">
        <v>408.07</v>
      </c>
    </row>
    <row r="930" spans="1:5" ht="30" customHeight="1" x14ac:dyDescent="0.35">
      <c r="A930">
        <f t="shared" si="16"/>
        <v>919</v>
      </c>
      <c r="B930" s="32" t="s">
        <v>1848</v>
      </c>
      <c r="C930" s="29" t="s">
        <v>1849</v>
      </c>
      <c r="D930" s="32" t="s">
        <v>908</v>
      </c>
      <c r="E930" s="21">
        <v>404.36</v>
      </c>
    </row>
    <row r="931" spans="1:5" ht="30" customHeight="1" x14ac:dyDescent="0.35">
      <c r="A931">
        <f t="shared" si="16"/>
        <v>920</v>
      </c>
      <c r="B931" s="35" t="s">
        <v>1850</v>
      </c>
      <c r="C931" s="36" t="s">
        <v>1851</v>
      </c>
      <c r="D931" s="35" t="s">
        <v>31</v>
      </c>
      <c r="E931" s="21">
        <v>56.980000000000004</v>
      </c>
    </row>
    <row r="932" spans="1:5" ht="30" customHeight="1" x14ac:dyDescent="0.35">
      <c r="A932">
        <f t="shared" si="16"/>
        <v>921</v>
      </c>
      <c r="B932" s="32" t="s">
        <v>1852</v>
      </c>
      <c r="C932" s="29" t="s">
        <v>1853</v>
      </c>
      <c r="D932" s="32" t="s">
        <v>31</v>
      </c>
      <c r="E932" s="21">
        <v>42.690000000000005</v>
      </c>
    </row>
    <row r="933" spans="1:5" ht="30" customHeight="1" x14ac:dyDescent="0.35">
      <c r="A933">
        <f t="shared" si="16"/>
        <v>922</v>
      </c>
      <c r="B933" s="35" t="s">
        <v>1854</v>
      </c>
      <c r="C933" s="36" t="s">
        <v>1855</v>
      </c>
      <c r="D933" s="35" t="s">
        <v>31</v>
      </c>
      <c r="E933" s="21">
        <v>32.5</v>
      </c>
    </row>
    <row r="934" spans="1:5" ht="30" customHeight="1" x14ac:dyDescent="0.35">
      <c r="A934">
        <f t="shared" si="16"/>
        <v>923</v>
      </c>
      <c r="B934" s="32" t="s">
        <v>1856</v>
      </c>
      <c r="C934" s="29" t="s">
        <v>1857</v>
      </c>
      <c r="D934" s="32" t="s">
        <v>31</v>
      </c>
      <c r="E934" s="21">
        <v>32.230000000000004</v>
      </c>
    </row>
    <row r="935" spans="1:5" ht="30" customHeight="1" x14ac:dyDescent="0.35">
      <c r="A935">
        <f t="shared" si="16"/>
        <v>924</v>
      </c>
      <c r="B935" s="43" t="s">
        <v>1858</v>
      </c>
      <c r="C935" s="44" t="s">
        <v>1859</v>
      </c>
      <c r="D935" s="60" t="s">
        <v>908</v>
      </c>
      <c r="E935" s="21">
        <v>51.650000000000006</v>
      </c>
    </row>
    <row r="936" spans="1:5" ht="30" customHeight="1" x14ac:dyDescent="0.35">
      <c r="A936">
        <f t="shared" si="16"/>
        <v>925</v>
      </c>
      <c r="B936" s="60" t="s">
        <v>1860</v>
      </c>
      <c r="C936" s="39" t="s">
        <v>1861</v>
      </c>
      <c r="D936" s="60" t="s">
        <v>14</v>
      </c>
      <c r="E936" s="21">
        <v>15</v>
      </c>
    </row>
    <row r="937" spans="1:5" ht="30" customHeight="1" x14ac:dyDescent="0.35">
      <c r="A937">
        <f t="shared" si="16"/>
        <v>926</v>
      </c>
      <c r="B937" s="43" t="s">
        <v>1862</v>
      </c>
      <c r="C937" s="44" t="s">
        <v>1863</v>
      </c>
      <c r="D937" s="43" t="s">
        <v>14</v>
      </c>
      <c r="E937" s="21">
        <v>40.82</v>
      </c>
    </row>
    <row r="938" spans="1:5" ht="30" customHeight="1" x14ac:dyDescent="0.35">
      <c r="A938">
        <f t="shared" si="16"/>
        <v>927</v>
      </c>
      <c r="B938" s="60" t="s">
        <v>1864</v>
      </c>
      <c r="C938" s="39" t="s">
        <v>1865</v>
      </c>
      <c r="D938" s="60" t="s">
        <v>14</v>
      </c>
      <c r="E938" s="21">
        <v>39.989999999999995</v>
      </c>
    </row>
    <row r="939" spans="1:5" ht="30" customHeight="1" x14ac:dyDescent="0.35">
      <c r="A939">
        <f t="shared" si="16"/>
        <v>928</v>
      </c>
      <c r="B939" s="60" t="s">
        <v>1866</v>
      </c>
      <c r="C939" s="39" t="s">
        <v>1867</v>
      </c>
      <c r="D939" s="60" t="s">
        <v>908</v>
      </c>
      <c r="E939" s="21">
        <v>1286.99</v>
      </c>
    </row>
    <row r="940" spans="1:5" ht="30" customHeight="1" x14ac:dyDescent="0.35">
      <c r="A940">
        <f t="shared" si="16"/>
        <v>929</v>
      </c>
      <c r="B940" s="60" t="s">
        <v>1868</v>
      </c>
      <c r="C940" s="39" t="s">
        <v>1869</v>
      </c>
      <c r="D940" s="60" t="s">
        <v>908</v>
      </c>
      <c r="E940" s="21">
        <v>20.37</v>
      </c>
    </row>
    <row r="941" spans="1:5" ht="30" customHeight="1" x14ac:dyDescent="0.35">
      <c r="A941">
        <f t="shared" si="16"/>
        <v>930</v>
      </c>
      <c r="B941" s="60" t="s">
        <v>1870</v>
      </c>
      <c r="C941" s="39" t="s">
        <v>1871</v>
      </c>
      <c r="D941" s="60" t="s">
        <v>908</v>
      </c>
      <c r="E941" s="21">
        <v>34.68</v>
      </c>
    </row>
    <row r="942" spans="1:5" ht="30" customHeight="1" x14ac:dyDescent="0.35">
      <c r="A942">
        <f t="shared" si="16"/>
        <v>931</v>
      </c>
      <c r="B942" s="60" t="s">
        <v>1872</v>
      </c>
      <c r="C942" s="39" t="s">
        <v>1873</v>
      </c>
      <c r="D942" s="60" t="s">
        <v>908</v>
      </c>
      <c r="E942" s="21">
        <v>40.71</v>
      </c>
    </row>
    <row r="943" spans="1:5" ht="30" customHeight="1" x14ac:dyDescent="0.35">
      <c r="A943">
        <f t="shared" ref="A943:A990" si="17">A942+1</f>
        <v>932</v>
      </c>
      <c r="B943" s="60" t="s">
        <v>1874</v>
      </c>
      <c r="C943" s="39" t="s">
        <v>1875</v>
      </c>
      <c r="D943" s="60" t="s">
        <v>908</v>
      </c>
      <c r="E943" s="21">
        <v>66.47</v>
      </c>
    </row>
    <row r="944" spans="1:5" ht="30" customHeight="1" x14ac:dyDescent="0.35">
      <c r="A944">
        <f t="shared" si="17"/>
        <v>933</v>
      </c>
      <c r="B944" s="60" t="s">
        <v>1876</v>
      </c>
      <c r="C944" s="39" t="s">
        <v>1877</v>
      </c>
      <c r="D944" s="60" t="s">
        <v>908</v>
      </c>
      <c r="E944" s="21">
        <v>89.210000000000008</v>
      </c>
    </row>
    <row r="945" spans="1:5" ht="30" customHeight="1" x14ac:dyDescent="0.35">
      <c r="A945"/>
      <c r="B945" s="10" t="s">
        <v>1878</v>
      </c>
      <c r="C945" s="10"/>
      <c r="D945" s="11"/>
      <c r="E945" s="52"/>
    </row>
    <row r="946" spans="1:5" ht="30" customHeight="1" x14ac:dyDescent="0.35">
      <c r="A946"/>
      <c r="B946" s="61" t="s">
        <v>1879</v>
      </c>
      <c r="C946" s="61"/>
      <c r="D946" s="62"/>
      <c r="E946" s="21"/>
    </row>
    <row r="947" spans="1:5" ht="30" customHeight="1" x14ac:dyDescent="0.35">
      <c r="A947" s="12">
        <f>+A944+1</f>
        <v>934</v>
      </c>
      <c r="B947" s="42" t="s">
        <v>1880</v>
      </c>
      <c r="C947" s="27" t="s">
        <v>1881</v>
      </c>
      <c r="D947" s="15" t="s">
        <v>8</v>
      </c>
      <c r="E947" s="16">
        <v>3.15</v>
      </c>
    </row>
    <row r="948" spans="1:5" ht="30" customHeight="1" x14ac:dyDescent="0.35">
      <c r="A948">
        <f t="shared" si="17"/>
        <v>935</v>
      </c>
      <c r="B948" s="35" t="s">
        <v>1882</v>
      </c>
      <c r="C948" s="36" t="s">
        <v>1883</v>
      </c>
      <c r="D948" s="35" t="s">
        <v>1884</v>
      </c>
      <c r="E948" s="21">
        <v>5.83</v>
      </c>
    </row>
    <row r="949" spans="1:5" ht="30" customHeight="1" x14ac:dyDescent="0.35">
      <c r="A949">
        <f t="shared" si="17"/>
        <v>936</v>
      </c>
      <c r="B949" s="32" t="s">
        <v>1885</v>
      </c>
      <c r="C949" s="29" t="s">
        <v>1886</v>
      </c>
      <c r="D949" s="32" t="s">
        <v>1884</v>
      </c>
      <c r="E949" s="21">
        <v>2.19</v>
      </c>
    </row>
    <row r="950" spans="1:5" ht="30" customHeight="1" x14ac:dyDescent="0.35">
      <c r="A950" s="12">
        <f t="shared" si="17"/>
        <v>937</v>
      </c>
      <c r="B950" s="28" t="s">
        <v>1887</v>
      </c>
      <c r="C950" s="41" t="s">
        <v>1888</v>
      </c>
      <c r="D950" s="15" t="s">
        <v>8</v>
      </c>
      <c r="E950" s="16">
        <v>2.66</v>
      </c>
    </row>
    <row r="951" spans="1:5" ht="30" customHeight="1" x14ac:dyDescent="0.35">
      <c r="A951">
        <f t="shared" si="17"/>
        <v>938</v>
      </c>
      <c r="B951" s="32" t="s">
        <v>1889</v>
      </c>
      <c r="C951" s="29" t="s">
        <v>1775</v>
      </c>
      <c r="D951" s="23" t="s">
        <v>48</v>
      </c>
      <c r="E951" s="21">
        <v>373.74</v>
      </c>
    </row>
    <row r="952" spans="1:5" ht="30" customHeight="1" x14ac:dyDescent="0.35">
      <c r="A952">
        <f t="shared" si="17"/>
        <v>939</v>
      </c>
      <c r="B952" s="35" t="s">
        <v>1890</v>
      </c>
      <c r="C952" s="36" t="s">
        <v>1891</v>
      </c>
      <c r="D952" s="35" t="s">
        <v>31</v>
      </c>
      <c r="E952" s="21">
        <v>557.04</v>
      </c>
    </row>
    <row r="953" spans="1:5" ht="30" customHeight="1" x14ac:dyDescent="0.35">
      <c r="A953">
        <f t="shared" si="17"/>
        <v>940</v>
      </c>
      <c r="B953" s="32" t="s">
        <v>1892</v>
      </c>
      <c r="C953" s="29" t="s">
        <v>1893</v>
      </c>
      <c r="D953" s="32" t="s">
        <v>31</v>
      </c>
      <c r="E953" s="21">
        <v>856.97</v>
      </c>
    </row>
    <row r="954" spans="1:5" ht="30" customHeight="1" x14ac:dyDescent="0.35">
      <c r="A954">
        <f t="shared" si="17"/>
        <v>941</v>
      </c>
      <c r="B954" s="35" t="s">
        <v>1894</v>
      </c>
      <c r="C954" s="36" t="s">
        <v>1895</v>
      </c>
      <c r="D954" s="35" t="s">
        <v>11</v>
      </c>
      <c r="E954" s="21">
        <v>77.14</v>
      </c>
    </row>
    <row r="955" spans="1:5" ht="30" customHeight="1" x14ac:dyDescent="0.35">
      <c r="A955">
        <f t="shared" si="17"/>
        <v>942</v>
      </c>
      <c r="B955" s="32" t="s">
        <v>1896</v>
      </c>
      <c r="C955" s="29" t="s">
        <v>1897</v>
      </c>
      <c r="D955" s="32" t="s">
        <v>31</v>
      </c>
      <c r="E955" s="21">
        <v>17.149999999999999</v>
      </c>
    </row>
    <row r="956" spans="1:5" ht="30" customHeight="1" x14ac:dyDescent="0.35">
      <c r="A956">
        <f t="shared" si="17"/>
        <v>943</v>
      </c>
      <c r="B956" s="35" t="s">
        <v>1898</v>
      </c>
      <c r="C956" s="36" t="s">
        <v>1899</v>
      </c>
      <c r="D956" s="35" t="s">
        <v>31</v>
      </c>
      <c r="E956" s="21">
        <v>25.72</v>
      </c>
    </row>
    <row r="957" spans="1:5" ht="30" customHeight="1" x14ac:dyDescent="0.35">
      <c r="A957">
        <f t="shared" si="17"/>
        <v>944</v>
      </c>
      <c r="B957" s="32" t="s">
        <v>1900</v>
      </c>
      <c r="C957" s="29" t="s">
        <v>1901</v>
      </c>
      <c r="D957" s="32" t="s">
        <v>31</v>
      </c>
      <c r="E957" s="21">
        <v>34.29</v>
      </c>
    </row>
    <row r="958" spans="1:5" ht="30" customHeight="1" x14ac:dyDescent="0.35">
      <c r="A958">
        <f t="shared" si="17"/>
        <v>945</v>
      </c>
      <c r="B958" s="35" t="s">
        <v>1902</v>
      </c>
      <c r="C958" s="36" t="s">
        <v>1903</v>
      </c>
      <c r="D958" s="35" t="s">
        <v>31</v>
      </c>
      <c r="E958" s="21">
        <v>184.24</v>
      </c>
    </row>
    <row r="959" spans="1:5" ht="30" customHeight="1" x14ac:dyDescent="0.35">
      <c r="A959" s="12">
        <f t="shared" si="17"/>
        <v>946</v>
      </c>
      <c r="B959" s="42" t="s">
        <v>1904</v>
      </c>
      <c r="C959" s="27" t="s">
        <v>1905</v>
      </c>
      <c r="D959" s="26" t="s">
        <v>48</v>
      </c>
      <c r="E959" s="16">
        <v>437.23</v>
      </c>
    </row>
    <row r="960" spans="1:5" ht="30" customHeight="1" x14ac:dyDescent="0.35">
      <c r="A960" s="12">
        <f t="shared" si="17"/>
        <v>947</v>
      </c>
      <c r="B960" s="28" t="s">
        <v>1906</v>
      </c>
      <c r="C960" s="41" t="s">
        <v>1907</v>
      </c>
      <c r="D960" s="26" t="s">
        <v>48</v>
      </c>
      <c r="E960" s="16">
        <v>349.78</v>
      </c>
    </row>
    <row r="961" spans="1:5" ht="30" customHeight="1" x14ac:dyDescent="0.35">
      <c r="A961" s="12">
        <f t="shared" si="17"/>
        <v>948</v>
      </c>
      <c r="B961" s="42" t="s">
        <v>1908</v>
      </c>
      <c r="C961" s="27" t="s">
        <v>1909</v>
      </c>
      <c r="D961" s="26" t="s">
        <v>48</v>
      </c>
      <c r="E961" s="16">
        <v>109.31</v>
      </c>
    </row>
    <row r="962" spans="1:5" ht="30" customHeight="1" x14ac:dyDescent="0.35">
      <c r="A962">
        <f t="shared" si="17"/>
        <v>949</v>
      </c>
      <c r="B962" s="35" t="s">
        <v>1910</v>
      </c>
      <c r="C962" s="36" t="s">
        <v>746</v>
      </c>
      <c r="D962" s="35" t="s">
        <v>31</v>
      </c>
      <c r="E962" s="21">
        <v>678.36</v>
      </c>
    </row>
    <row r="963" spans="1:5" ht="30" customHeight="1" x14ac:dyDescent="0.35">
      <c r="A963">
        <f t="shared" si="17"/>
        <v>950</v>
      </c>
      <c r="B963" s="32" t="s">
        <v>1911</v>
      </c>
      <c r="C963" s="29" t="s">
        <v>748</v>
      </c>
      <c r="D963" s="23" t="s">
        <v>48</v>
      </c>
      <c r="E963" s="21">
        <v>93.28</v>
      </c>
    </row>
    <row r="964" spans="1:5" ht="30" customHeight="1" x14ac:dyDescent="0.35">
      <c r="A964">
        <f t="shared" si="17"/>
        <v>951</v>
      </c>
      <c r="B964" s="35" t="s">
        <v>1912</v>
      </c>
      <c r="C964" s="36" t="s">
        <v>809</v>
      </c>
      <c r="D964" s="23" t="s">
        <v>48</v>
      </c>
      <c r="E964" s="21">
        <v>1539.2099999999998</v>
      </c>
    </row>
    <row r="965" spans="1:5" ht="30" customHeight="1" x14ac:dyDescent="0.35">
      <c r="A965" s="12">
        <f t="shared" si="17"/>
        <v>952</v>
      </c>
      <c r="B965" s="42" t="s">
        <v>1913</v>
      </c>
      <c r="C965" s="27" t="s">
        <v>1914</v>
      </c>
      <c r="D965" s="15" t="s">
        <v>8</v>
      </c>
      <c r="E965" s="16">
        <v>3.15</v>
      </c>
    </row>
    <row r="966" spans="1:5" ht="30" customHeight="1" x14ac:dyDescent="0.35">
      <c r="A966" s="12">
        <f t="shared" si="17"/>
        <v>953</v>
      </c>
      <c r="B966" s="28" t="s">
        <v>1915</v>
      </c>
      <c r="C966" s="41" t="s">
        <v>1916</v>
      </c>
      <c r="D966" s="26" t="s">
        <v>48</v>
      </c>
      <c r="E966" s="16">
        <v>721.64</v>
      </c>
    </row>
    <row r="967" spans="1:5" ht="30" customHeight="1" x14ac:dyDescent="0.35">
      <c r="A967">
        <f t="shared" si="17"/>
        <v>954</v>
      </c>
      <c r="B967" s="32" t="s">
        <v>1917</v>
      </c>
      <c r="C967" s="29" t="s">
        <v>1918</v>
      </c>
      <c r="D967" s="32" t="s">
        <v>1884</v>
      </c>
      <c r="E967" s="21">
        <v>2.81</v>
      </c>
    </row>
    <row r="968" spans="1:5" ht="30" customHeight="1" x14ac:dyDescent="0.35">
      <c r="A968">
        <f t="shared" si="17"/>
        <v>955</v>
      </c>
      <c r="B968" s="35" t="s">
        <v>1919</v>
      </c>
      <c r="C968" s="36" t="s">
        <v>1920</v>
      </c>
      <c r="D968" s="35" t="s">
        <v>1884</v>
      </c>
      <c r="E968" s="21">
        <v>0.55000000000000004</v>
      </c>
    </row>
    <row r="969" spans="1:5" ht="30" customHeight="1" x14ac:dyDescent="0.35">
      <c r="A969" s="12">
        <f t="shared" si="17"/>
        <v>956</v>
      </c>
      <c r="B969" s="42" t="s">
        <v>1921</v>
      </c>
      <c r="C969" s="27" t="s">
        <v>1922</v>
      </c>
      <c r="D969" s="26" t="s">
        <v>48</v>
      </c>
      <c r="E969" s="16">
        <v>766.73</v>
      </c>
    </row>
    <row r="970" spans="1:5" ht="30" customHeight="1" x14ac:dyDescent="0.35">
      <c r="A970" s="12">
        <f t="shared" si="17"/>
        <v>957</v>
      </c>
      <c r="B970" s="28" t="s">
        <v>1923</v>
      </c>
      <c r="C970" s="41" t="s">
        <v>1924</v>
      </c>
      <c r="D970" s="26" t="s">
        <v>48</v>
      </c>
      <c r="E970" s="16">
        <v>1081.81</v>
      </c>
    </row>
    <row r="971" spans="1:5" ht="30" customHeight="1" x14ac:dyDescent="0.35">
      <c r="A971"/>
      <c r="B971" s="61" t="s">
        <v>1925</v>
      </c>
      <c r="C971" s="61"/>
      <c r="D971" s="62"/>
      <c r="E971" s="21"/>
    </row>
    <row r="972" spans="1:5" ht="30" customHeight="1" x14ac:dyDescent="0.35">
      <c r="A972" s="12">
        <f>+A970+1</f>
        <v>958</v>
      </c>
      <c r="B972" s="28" t="s">
        <v>1926</v>
      </c>
      <c r="C972" s="41" t="s">
        <v>1927</v>
      </c>
      <c r="D972" s="15" t="s">
        <v>8</v>
      </c>
      <c r="E972" s="16">
        <v>3.15</v>
      </c>
    </row>
    <row r="973" spans="1:5" ht="30" customHeight="1" x14ac:dyDescent="0.35">
      <c r="A973">
        <f t="shared" si="17"/>
        <v>959</v>
      </c>
      <c r="B973" s="32" t="s">
        <v>1928</v>
      </c>
      <c r="C973" s="29" t="s">
        <v>1929</v>
      </c>
      <c r="D973" s="32" t="s">
        <v>11</v>
      </c>
      <c r="E973" s="21">
        <v>107.13</v>
      </c>
    </row>
    <row r="974" spans="1:5" ht="30" customHeight="1" x14ac:dyDescent="0.35">
      <c r="A974">
        <f t="shared" si="17"/>
        <v>960</v>
      </c>
      <c r="B974" s="35" t="s">
        <v>1930</v>
      </c>
      <c r="C974" s="36" t="s">
        <v>1931</v>
      </c>
      <c r="D974" s="35" t="s">
        <v>31</v>
      </c>
      <c r="E974" s="21">
        <v>229.19000000000003</v>
      </c>
    </row>
    <row r="975" spans="1:5" ht="30" customHeight="1" x14ac:dyDescent="0.35">
      <c r="A975">
        <f t="shared" si="17"/>
        <v>961</v>
      </c>
      <c r="B975" s="32" t="s">
        <v>1932</v>
      </c>
      <c r="C975" s="29" t="s">
        <v>1933</v>
      </c>
      <c r="D975" s="32" t="s">
        <v>31</v>
      </c>
      <c r="E975" s="21">
        <v>61.04</v>
      </c>
    </row>
    <row r="976" spans="1:5" ht="30" customHeight="1" x14ac:dyDescent="0.35">
      <c r="A976">
        <f t="shared" si="17"/>
        <v>962</v>
      </c>
      <c r="B976" s="35" t="s">
        <v>1934</v>
      </c>
      <c r="C976" s="36" t="s">
        <v>1935</v>
      </c>
      <c r="D976" s="35" t="s">
        <v>31</v>
      </c>
      <c r="E976" s="21">
        <v>373.74</v>
      </c>
    </row>
    <row r="977" spans="1:5" ht="30" customHeight="1" x14ac:dyDescent="0.35">
      <c r="A977">
        <f t="shared" si="17"/>
        <v>963</v>
      </c>
      <c r="B977" s="32" t="s">
        <v>1936</v>
      </c>
      <c r="C977" s="29" t="s">
        <v>41</v>
      </c>
      <c r="D977" s="32" t="s">
        <v>31</v>
      </c>
      <c r="E977" s="21">
        <v>91.67</v>
      </c>
    </row>
    <row r="978" spans="1:5" ht="30" customHeight="1" x14ac:dyDescent="0.35">
      <c r="A978">
        <f t="shared" si="17"/>
        <v>964</v>
      </c>
      <c r="B978" s="35" t="s">
        <v>1937</v>
      </c>
      <c r="C978" s="36" t="s">
        <v>1938</v>
      </c>
      <c r="D978" s="35" t="s">
        <v>31</v>
      </c>
      <c r="E978" s="21">
        <v>111.41000000000001</v>
      </c>
    </row>
    <row r="979" spans="1:5" ht="30" customHeight="1" x14ac:dyDescent="0.35">
      <c r="A979">
        <f t="shared" si="17"/>
        <v>965</v>
      </c>
      <c r="B979" s="35" t="s">
        <v>1939</v>
      </c>
      <c r="C979" s="36" t="s">
        <v>1775</v>
      </c>
      <c r="D979" s="23" t="s">
        <v>48</v>
      </c>
      <c r="E979" s="21">
        <v>373.74</v>
      </c>
    </row>
    <row r="980" spans="1:5" ht="30" customHeight="1" x14ac:dyDescent="0.35">
      <c r="A980" s="12">
        <f t="shared" si="17"/>
        <v>966</v>
      </c>
      <c r="B980" s="42" t="s">
        <v>1940</v>
      </c>
      <c r="C980" s="27" t="s">
        <v>1941</v>
      </c>
      <c r="D980" s="26" t="s">
        <v>48</v>
      </c>
      <c r="E980" s="16">
        <v>437.23</v>
      </c>
    </row>
    <row r="981" spans="1:5" ht="30" customHeight="1" x14ac:dyDescent="0.35">
      <c r="A981" s="12">
        <f t="shared" si="17"/>
        <v>967</v>
      </c>
      <c r="B981" s="28" t="s">
        <v>1942</v>
      </c>
      <c r="C981" s="41" t="s">
        <v>1943</v>
      </c>
      <c r="D981" s="26" t="s">
        <v>48</v>
      </c>
      <c r="E981" s="16">
        <v>349.78</v>
      </c>
    </row>
    <row r="982" spans="1:5" ht="30" customHeight="1" x14ac:dyDescent="0.35">
      <c r="A982" s="12">
        <f t="shared" si="17"/>
        <v>968</v>
      </c>
      <c r="B982" s="42" t="s">
        <v>1944</v>
      </c>
      <c r="C982" s="27" t="s">
        <v>63</v>
      </c>
      <c r="D982" s="15" t="s">
        <v>8</v>
      </c>
      <c r="E982" s="16">
        <v>2.66</v>
      </c>
    </row>
    <row r="983" spans="1:5" ht="30" customHeight="1" x14ac:dyDescent="0.35">
      <c r="A983" s="12">
        <f t="shared" si="17"/>
        <v>969</v>
      </c>
      <c r="B983" s="28" t="s">
        <v>1945</v>
      </c>
      <c r="C983" s="41" t="s">
        <v>1946</v>
      </c>
      <c r="D983" s="26" t="s">
        <v>48</v>
      </c>
      <c r="E983" s="16">
        <v>109.31</v>
      </c>
    </row>
    <row r="984" spans="1:5" ht="30" customHeight="1" x14ac:dyDescent="0.35">
      <c r="A984">
        <f t="shared" si="17"/>
        <v>970</v>
      </c>
      <c r="B984" s="32" t="s">
        <v>1947</v>
      </c>
      <c r="C984" s="29" t="s">
        <v>1948</v>
      </c>
      <c r="D984" s="32" t="s">
        <v>31</v>
      </c>
      <c r="E984" s="21">
        <v>2193.02</v>
      </c>
    </row>
    <row r="985" spans="1:5" ht="30" customHeight="1" x14ac:dyDescent="0.35">
      <c r="A985">
        <f t="shared" si="17"/>
        <v>971</v>
      </c>
      <c r="B985" s="35" t="s">
        <v>1949</v>
      </c>
      <c r="C985" s="36" t="s">
        <v>1950</v>
      </c>
      <c r="D985" s="35" t="s">
        <v>11</v>
      </c>
      <c r="E985" s="21">
        <v>116.71000000000001</v>
      </c>
    </row>
    <row r="986" spans="1:5" ht="30" customHeight="1" x14ac:dyDescent="0.35">
      <c r="A986" s="12">
        <f t="shared" si="17"/>
        <v>972</v>
      </c>
      <c r="B986" s="28" t="s">
        <v>1951</v>
      </c>
      <c r="C986" s="41" t="s">
        <v>1952</v>
      </c>
      <c r="D986" s="28" t="s">
        <v>8</v>
      </c>
      <c r="E986" s="16">
        <v>3.15</v>
      </c>
    </row>
    <row r="987" spans="1:5" ht="30" customHeight="1" x14ac:dyDescent="0.35">
      <c r="A987">
        <f t="shared" si="17"/>
        <v>973</v>
      </c>
      <c r="B987" s="43" t="s">
        <v>1953</v>
      </c>
      <c r="C987" s="44" t="s">
        <v>1954</v>
      </c>
      <c r="D987" s="43" t="s">
        <v>31</v>
      </c>
      <c r="E987" s="21">
        <v>2703.75</v>
      </c>
    </row>
    <row r="988" spans="1:5" ht="30" customHeight="1" x14ac:dyDescent="0.35">
      <c r="A988" s="12">
        <f t="shared" si="17"/>
        <v>974</v>
      </c>
      <c r="B988" s="28" t="s">
        <v>1955</v>
      </c>
      <c r="C988" s="41" t="s">
        <v>1956</v>
      </c>
      <c r="D988" s="28" t="s">
        <v>48</v>
      </c>
      <c r="E988" s="16">
        <v>708.46</v>
      </c>
    </row>
    <row r="989" spans="1:5" ht="30" customHeight="1" x14ac:dyDescent="0.35">
      <c r="A989" s="12">
        <f t="shared" si="17"/>
        <v>975</v>
      </c>
      <c r="B989" s="28" t="s">
        <v>1957</v>
      </c>
      <c r="C989" s="41" t="s">
        <v>1958</v>
      </c>
      <c r="D989" s="28" t="s">
        <v>48</v>
      </c>
      <c r="E989" s="16">
        <v>297.33</v>
      </c>
    </row>
    <row r="990" spans="1:5" ht="30" customHeight="1" x14ac:dyDescent="0.35">
      <c r="A990" s="12">
        <f t="shared" si="17"/>
        <v>976</v>
      </c>
      <c r="B990" s="28" t="s">
        <v>1959</v>
      </c>
      <c r="C990" s="27" t="s">
        <v>1960</v>
      </c>
      <c r="D990" s="42" t="s">
        <v>48</v>
      </c>
      <c r="E990" s="16">
        <v>92.92</v>
      </c>
    </row>
    <row r="991" spans="1:5" ht="30" customHeight="1" x14ac:dyDescent="0.35">
      <c r="A991"/>
      <c r="B991" s="61" t="s">
        <v>1961</v>
      </c>
      <c r="C991" s="61"/>
      <c r="D991" s="62"/>
      <c r="E991" s="21"/>
    </row>
    <row r="992" spans="1:5" ht="30" customHeight="1" x14ac:dyDescent="0.35">
      <c r="A992" s="12">
        <f>+A990+1</f>
        <v>977</v>
      </c>
      <c r="B992" s="42" t="s">
        <v>1962</v>
      </c>
      <c r="C992" s="27" t="s">
        <v>1963</v>
      </c>
      <c r="D992" s="15" t="s">
        <v>8</v>
      </c>
      <c r="E992" s="16">
        <v>3.15</v>
      </c>
    </row>
    <row r="993" spans="1:5" ht="30" customHeight="1" x14ac:dyDescent="0.35">
      <c r="A993">
        <f>A992+1</f>
        <v>978</v>
      </c>
      <c r="B993" s="35" t="s">
        <v>1964</v>
      </c>
      <c r="C993" s="36" t="s">
        <v>1965</v>
      </c>
      <c r="D993" s="35" t="s">
        <v>11</v>
      </c>
      <c r="E993" s="21">
        <v>107.13</v>
      </c>
    </row>
    <row r="994" spans="1:5" ht="30" customHeight="1" x14ac:dyDescent="0.35">
      <c r="A994">
        <f t="shared" ref="A994:A1003" si="18">A993+1</f>
        <v>979</v>
      </c>
      <c r="B994" s="32" t="s">
        <v>1966</v>
      </c>
      <c r="C994" s="29" t="s">
        <v>1967</v>
      </c>
      <c r="D994" s="32" t="s">
        <v>31</v>
      </c>
      <c r="E994" s="21">
        <v>373.74</v>
      </c>
    </row>
    <row r="995" spans="1:5" ht="30" customHeight="1" x14ac:dyDescent="0.35">
      <c r="A995">
        <f t="shared" si="18"/>
        <v>980</v>
      </c>
      <c r="B995" s="35" t="s">
        <v>1968</v>
      </c>
      <c r="C995" s="36" t="s">
        <v>1969</v>
      </c>
      <c r="D995" s="35" t="s">
        <v>31</v>
      </c>
      <c r="E995" s="21">
        <v>91.67</v>
      </c>
    </row>
    <row r="996" spans="1:5" ht="30" customHeight="1" x14ac:dyDescent="0.35">
      <c r="A996">
        <f t="shared" si="18"/>
        <v>981</v>
      </c>
      <c r="B996" s="32" t="s">
        <v>1970</v>
      </c>
      <c r="C996" s="29" t="s">
        <v>1971</v>
      </c>
      <c r="D996" s="32" t="s">
        <v>31</v>
      </c>
      <c r="E996" s="21">
        <v>111.41000000000001</v>
      </c>
    </row>
    <row r="997" spans="1:5" ht="30" customHeight="1" x14ac:dyDescent="0.35">
      <c r="A997" s="12">
        <f t="shared" si="18"/>
        <v>982</v>
      </c>
      <c r="B997" s="28" t="s">
        <v>1972</v>
      </c>
      <c r="C997" s="41" t="s">
        <v>1973</v>
      </c>
      <c r="D997" s="26" t="s">
        <v>48</v>
      </c>
      <c r="E997" s="16">
        <v>437.23</v>
      </c>
    </row>
    <row r="998" spans="1:5" ht="30" customHeight="1" x14ac:dyDescent="0.35">
      <c r="A998" s="12">
        <f t="shared" si="18"/>
        <v>983</v>
      </c>
      <c r="B998" s="42" t="s">
        <v>1974</v>
      </c>
      <c r="C998" s="27" t="s">
        <v>1975</v>
      </c>
      <c r="D998" s="26" t="s">
        <v>48</v>
      </c>
      <c r="E998" s="16">
        <v>349.78</v>
      </c>
    </row>
    <row r="999" spans="1:5" ht="30" customHeight="1" x14ac:dyDescent="0.35">
      <c r="A999" s="12">
        <f t="shared" si="18"/>
        <v>984</v>
      </c>
      <c r="B999" s="42" t="s">
        <v>1976</v>
      </c>
      <c r="C999" s="27" t="s">
        <v>63</v>
      </c>
      <c r="D999" s="15" t="s">
        <v>8</v>
      </c>
      <c r="E999" s="16">
        <v>2.66</v>
      </c>
    </row>
    <row r="1000" spans="1:5" ht="30" customHeight="1" x14ac:dyDescent="0.35">
      <c r="A1000" s="12">
        <f t="shared" si="18"/>
        <v>985</v>
      </c>
      <c r="B1000" s="42" t="s">
        <v>1977</v>
      </c>
      <c r="C1000" s="27" t="s">
        <v>1978</v>
      </c>
      <c r="D1000" s="26" t="s">
        <v>48</v>
      </c>
      <c r="E1000" s="16">
        <v>109.31</v>
      </c>
    </row>
    <row r="1001" spans="1:5" ht="30" customHeight="1" x14ac:dyDescent="0.35">
      <c r="A1001" s="12">
        <f t="shared" si="18"/>
        <v>986</v>
      </c>
      <c r="B1001" s="28" t="s">
        <v>1979</v>
      </c>
      <c r="C1001" s="41" t="s">
        <v>1980</v>
      </c>
      <c r="D1001" s="26" t="s">
        <v>48</v>
      </c>
      <c r="E1001" s="16">
        <v>766.73</v>
      </c>
    </row>
    <row r="1002" spans="1:5" ht="30" customHeight="1" x14ac:dyDescent="0.35">
      <c r="A1002">
        <f t="shared" si="18"/>
        <v>987</v>
      </c>
      <c r="B1002" s="32" t="s">
        <v>1981</v>
      </c>
      <c r="C1002" s="29" t="s">
        <v>1982</v>
      </c>
      <c r="D1002" s="32" t="s">
        <v>31</v>
      </c>
      <c r="E1002" s="21">
        <v>2193.02</v>
      </c>
    </row>
    <row r="1003" spans="1:5" ht="30" customHeight="1" x14ac:dyDescent="0.35">
      <c r="A1003">
        <f t="shared" si="18"/>
        <v>988</v>
      </c>
      <c r="B1003" s="35" t="s">
        <v>1983</v>
      </c>
      <c r="C1003" s="36" t="s">
        <v>1984</v>
      </c>
      <c r="D1003" s="35" t="s">
        <v>11</v>
      </c>
      <c r="E1003" s="21">
        <v>116.71000000000001</v>
      </c>
    </row>
    <row r="1004" spans="1:5" ht="30" customHeight="1" x14ac:dyDescent="0.35">
      <c r="A1004"/>
      <c r="B1004" s="10" t="s">
        <v>1985</v>
      </c>
      <c r="C1004" s="10"/>
      <c r="D1004" s="11"/>
      <c r="E1004" s="52"/>
    </row>
    <row r="1005" spans="1:5" ht="30" customHeight="1" x14ac:dyDescent="0.35">
      <c r="A1005">
        <f>A1003+1</f>
        <v>989</v>
      </c>
      <c r="B1005" s="32" t="s">
        <v>1986</v>
      </c>
      <c r="C1005" s="29" t="s">
        <v>1987</v>
      </c>
      <c r="D1005" s="23" t="s">
        <v>48</v>
      </c>
      <c r="E1005" s="21">
        <v>37.75</v>
      </c>
    </row>
    <row r="1006" spans="1:5" ht="30" customHeight="1" x14ac:dyDescent="0.35">
      <c r="A1006">
        <f t="shared" ref="A1006:A1069" si="19">A1005+1</f>
        <v>990</v>
      </c>
      <c r="B1006" s="35" t="s">
        <v>1988</v>
      </c>
      <c r="C1006" s="36" t="s">
        <v>1989</v>
      </c>
      <c r="D1006" s="35" t="s">
        <v>908</v>
      </c>
      <c r="E1006" s="21">
        <v>0.67</v>
      </c>
    </row>
    <row r="1007" spans="1:5" ht="30" customHeight="1" x14ac:dyDescent="0.35">
      <c r="A1007">
        <f t="shared" si="19"/>
        <v>991</v>
      </c>
      <c r="B1007" s="32" t="s">
        <v>1990</v>
      </c>
      <c r="C1007" s="29" t="s">
        <v>1991</v>
      </c>
      <c r="D1007" s="32" t="s">
        <v>59</v>
      </c>
      <c r="E1007" s="21">
        <v>1710.4399999999998</v>
      </c>
    </row>
    <row r="1008" spans="1:5" ht="30" customHeight="1" x14ac:dyDescent="0.35">
      <c r="A1008">
        <f t="shared" si="19"/>
        <v>992</v>
      </c>
      <c r="B1008" s="35" t="s">
        <v>1992</v>
      </c>
      <c r="C1008" s="36" t="s">
        <v>1993</v>
      </c>
      <c r="D1008" s="35" t="s">
        <v>59</v>
      </c>
      <c r="E1008" s="21">
        <v>1710.4399999999998</v>
      </c>
    </row>
    <row r="1009" spans="1:5" ht="30" customHeight="1" x14ac:dyDescent="0.35">
      <c r="A1009">
        <f t="shared" si="19"/>
        <v>993</v>
      </c>
      <c r="B1009" s="32" t="s">
        <v>1994</v>
      </c>
      <c r="C1009" s="29" t="s">
        <v>1995</v>
      </c>
      <c r="D1009" s="23" t="s">
        <v>48</v>
      </c>
      <c r="E1009" s="21">
        <v>58.730000000000004</v>
      </c>
    </row>
    <row r="1010" spans="1:5" ht="30" customHeight="1" x14ac:dyDescent="0.35">
      <c r="A1010">
        <f t="shared" si="19"/>
        <v>994</v>
      </c>
      <c r="B1010" s="35" t="s">
        <v>1996</v>
      </c>
      <c r="C1010" s="36" t="s">
        <v>1997</v>
      </c>
      <c r="D1010" s="23" t="s">
        <v>48</v>
      </c>
      <c r="E1010" s="21">
        <v>38.6</v>
      </c>
    </row>
    <row r="1011" spans="1:5" ht="30" customHeight="1" x14ac:dyDescent="0.35">
      <c r="A1011">
        <f t="shared" si="19"/>
        <v>995</v>
      </c>
      <c r="B1011" s="32" t="s">
        <v>1998</v>
      </c>
      <c r="C1011" s="29" t="s">
        <v>1999</v>
      </c>
      <c r="D1011" s="23" t="s">
        <v>48</v>
      </c>
      <c r="E1011" s="21">
        <v>394.29999999999995</v>
      </c>
    </row>
    <row r="1012" spans="1:5" ht="30" customHeight="1" x14ac:dyDescent="0.35">
      <c r="A1012">
        <f t="shared" si="19"/>
        <v>996</v>
      </c>
      <c r="B1012" s="35" t="s">
        <v>2000</v>
      </c>
      <c r="C1012" s="36" t="s">
        <v>2001</v>
      </c>
      <c r="D1012" s="23" t="s">
        <v>48</v>
      </c>
      <c r="E1012" s="21">
        <v>249.16</v>
      </c>
    </row>
    <row r="1013" spans="1:5" ht="30" customHeight="1" x14ac:dyDescent="0.35">
      <c r="A1013">
        <f t="shared" si="19"/>
        <v>997</v>
      </c>
      <c r="B1013" s="32" t="s">
        <v>2002</v>
      </c>
      <c r="C1013" s="29" t="s">
        <v>2003</v>
      </c>
      <c r="D1013" s="23" t="s">
        <v>48</v>
      </c>
      <c r="E1013" s="21">
        <v>412.75</v>
      </c>
    </row>
    <row r="1014" spans="1:5" ht="30" customHeight="1" x14ac:dyDescent="0.35">
      <c r="A1014">
        <f t="shared" si="19"/>
        <v>998</v>
      </c>
      <c r="B1014" s="35" t="s">
        <v>2004</v>
      </c>
      <c r="C1014" s="36" t="s">
        <v>2005</v>
      </c>
      <c r="D1014" s="23" t="s">
        <v>48</v>
      </c>
      <c r="E1014" s="21">
        <v>79.699999999999989</v>
      </c>
    </row>
    <row r="1015" spans="1:5" ht="30" customHeight="1" x14ac:dyDescent="0.35">
      <c r="A1015">
        <f t="shared" si="19"/>
        <v>999</v>
      </c>
      <c r="B1015" s="32" t="s">
        <v>2006</v>
      </c>
      <c r="C1015" s="29" t="s">
        <v>2007</v>
      </c>
      <c r="D1015" s="23" t="s">
        <v>48</v>
      </c>
      <c r="E1015" s="21">
        <v>75.509999999999991</v>
      </c>
    </row>
    <row r="1016" spans="1:5" ht="30" customHeight="1" x14ac:dyDescent="0.35">
      <c r="A1016">
        <f t="shared" si="19"/>
        <v>1000</v>
      </c>
      <c r="B1016" s="35" t="s">
        <v>2008</v>
      </c>
      <c r="C1016" s="36" t="s">
        <v>2009</v>
      </c>
      <c r="D1016" s="35" t="s">
        <v>31</v>
      </c>
      <c r="E1016" s="21">
        <v>352.34</v>
      </c>
    </row>
    <row r="1017" spans="1:5" ht="30" customHeight="1" x14ac:dyDescent="0.35">
      <c r="A1017">
        <f t="shared" si="19"/>
        <v>1001</v>
      </c>
      <c r="B1017" s="32" t="s">
        <v>2010</v>
      </c>
      <c r="C1017" s="29" t="s">
        <v>2011</v>
      </c>
      <c r="D1017" s="32" t="s">
        <v>31</v>
      </c>
      <c r="E1017" s="21">
        <v>402.69</v>
      </c>
    </row>
    <row r="1018" spans="1:5" ht="30" customHeight="1" x14ac:dyDescent="0.35">
      <c r="A1018">
        <f t="shared" si="19"/>
        <v>1002</v>
      </c>
      <c r="B1018" s="35" t="s">
        <v>2012</v>
      </c>
      <c r="C1018" s="36" t="s">
        <v>2013</v>
      </c>
      <c r="D1018" s="35" t="s">
        <v>31</v>
      </c>
      <c r="E1018" s="21">
        <v>482.38000000000005</v>
      </c>
    </row>
    <row r="1019" spans="1:5" ht="30" customHeight="1" x14ac:dyDescent="0.35">
      <c r="A1019" s="12">
        <f t="shared" si="19"/>
        <v>1003</v>
      </c>
      <c r="B1019" s="42" t="s">
        <v>2014</v>
      </c>
      <c r="C1019" s="27" t="s">
        <v>2015</v>
      </c>
      <c r="D1019" s="26" t="s">
        <v>48</v>
      </c>
      <c r="E1019" s="16">
        <v>806.54</v>
      </c>
    </row>
    <row r="1020" spans="1:5" ht="30" customHeight="1" x14ac:dyDescent="0.35">
      <c r="A1020">
        <f t="shared" si="19"/>
        <v>1004</v>
      </c>
      <c r="B1020" s="35" t="s">
        <v>2016</v>
      </c>
      <c r="C1020" s="36" t="s">
        <v>2017</v>
      </c>
      <c r="D1020" s="35" t="s">
        <v>908</v>
      </c>
      <c r="E1020" s="21">
        <v>26.86</v>
      </c>
    </row>
    <row r="1021" spans="1:5" ht="30" customHeight="1" x14ac:dyDescent="0.35">
      <c r="A1021" s="12">
        <f t="shared" si="19"/>
        <v>1005</v>
      </c>
      <c r="B1021" s="42" t="s">
        <v>2018</v>
      </c>
      <c r="C1021" s="27" t="s">
        <v>2019</v>
      </c>
      <c r="D1021" s="26" t="s">
        <v>48</v>
      </c>
      <c r="E1021" s="16">
        <v>616.72</v>
      </c>
    </row>
    <row r="1022" spans="1:5" ht="30" customHeight="1" x14ac:dyDescent="0.35">
      <c r="A1022" s="12">
        <f t="shared" si="19"/>
        <v>1006</v>
      </c>
      <c r="B1022" s="28" t="s">
        <v>2020</v>
      </c>
      <c r="C1022" s="41" t="s">
        <v>2021</v>
      </c>
      <c r="D1022" s="26" t="s">
        <v>48</v>
      </c>
      <c r="E1022" s="16">
        <v>764.32</v>
      </c>
    </row>
    <row r="1023" spans="1:5" ht="30" customHeight="1" x14ac:dyDescent="0.35">
      <c r="A1023">
        <f t="shared" si="19"/>
        <v>1007</v>
      </c>
      <c r="B1023" s="32" t="s">
        <v>2022</v>
      </c>
      <c r="C1023" s="29" t="s">
        <v>2023</v>
      </c>
      <c r="D1023" s="32" t="s">
        <v>908</v>
      </c>
      <c r="E1023" s="21">
        <v>31.880000000000003</v>
      </c>
    </row>
    <row r="1024" spans="1:5" ht="30" customHeight="1" x14ac:dyDescent="0.35">
      <c r="A1024">
        <f t="shared" si="19"/>
        <v>1008</v>
      </c>
      <c r="B1024" s="35" t="s">
        <v>2024</v>
      </c>
      <c r="C1024" s="36" t="s">
        <v>2025</v>
      </c>
      <c r="D1024" s="23" t="s">
        <v>48</v>
      </c>
      <c r="E1024" s="21">
        <v>151</v>
      </c>
    </row>
    <row r="1025" spans="1:5" ht="30" customHeight="1" x14ac:dyDescent="0.35">
      <c r="A1025">
        <f t="shared" si="19"/>
        <v>1009</v>
      </c>
      <c r="B1025" s="32" t="s">
        <v>2026</v>
      </c>
      <c r="C1025" s="29" t="s">
        <v>2027</v>
      </c>
      <c r="D1025" s="32" t="s">
        <v>908</v>
      </c>
      <c r="E1025" s="21">
        <v>26.86</v>
      </c>
    </row>
    <row r="1026" spans="1:5" ht="30" customHeight="1" x14ac:dyDescent="0.35">
      <c r="A1026">
        <f t="shared" si="19"/>
        <v>1010</v>
      </c>
      <c r="B1026" s="35" t="s">
        <v>2028</v>
      </c>
      <c r="C1026" s="36" t="s">
        <v>2029</v>
      </c>
      <c r="D1026" s="35" t="s">
        <v>908</v>
      </c>
      <c r="E1026" s="21">
        <v>27.08</v>
      </c>
    </row>
    <row r="1027" spans="1:5" ht="30" customHeight="1" x14ac:dyDescent="0.35">
      <c r="A1027">
        <f t="shared" si="19"/>
        <v>1011</v>
      </c>
      <c r="B1027" s="32" t="s">
        <v>2030</v>
      </c>
      <c r="C1027" s="29" t="s">
        <v>2031</v>
      </c>
      <c r="D1027" s="32" t="s">
        <v>2032</v>
      </c>
      <c r="E1027" s="21">
        <v>315.73</v>
      </c>
    </row>
    <row r="1028" spans="1:5" ht="30" customHeight="1" x14ac:dyDescent="0.35">
      <c r="A1028">
        <f t="shared" si="19"/>
        <v>1012</v>
      </c>
      <c r="B1028" s="35" t="s">
        <v>2033</v>
      </c>
      <c r="C1028" s="36" t="s">
        <v>2034</v>
      </c>
      <c r="D1028" s="35" t="s">
        <v>2032</v>
      </c>
      <c r="E1028" s="21">
        <v>566.28000000000009</v>
      </c>
    </row>
    <row r="1029" spans="1:5" ht="30" customHeight="1" x14ac:dyDescent="0.35">
      <c r="A1029">
        <f t="shared" si="19"/>
        <v>1013</v>
      </c>
      <c r="B1029" s="32" t="s">
        <v>2035</v>
      </c>
      <c r="C1029" s="29" t="s">
        <v>2036</v>
      </c>
      <c r="D1029" s="23" t="s">
        <v>48</v>
      </c>
      <c r="E1029" s="21">
        <v>377.53000000000003</v>
      </c>
    </row>
    <row r="1030" spans="1:5" ht="30" customHeight="1" x14ac:dyDescent="0.35">
      <c r="A1030">
        <f t="shared" si="19"/>
        <v>1014</v>
      </c>
      <c r="B1030" s="35" t="s">
        <v>2037</v>
      </c>
      <c r="C1030" s="36" t="s">
        <v>2038</v>
      </c>
      <c r="D1030" s="23" t="s">
        <v>48</v>
      </c>
      <c r="E1030" s="21">
        <v>166.95</v>
      </c>
    </row>
    <row r="1031" spans="1:5" ht="30" customHeight="1" x14ac:dyDescent="0.35">
      <c r="A1031">
        <f t="shared" si="19"/>
        <v>1015</v>
      </c>
      <c r="B1031" s="32" t="s">
        <v>2039</v>
      </c>
      <c r="C1031" s="29" t="s">
        <v>2040</v>
      </c>
      <c r="D1031" s="23" t="s">
        <v>48</v>
      </c>
      <c r="E1031" s="21">
        <v>192.97</v>
      </c>
    </row>
    <row r="1032" spans="1:5" ht="30" customHeight="1" x14ac:dyDescent="0.35">
      <c r="A1032">
        <f t="shared" si="19"/>
        <v>1016</v>
      </c>
      <c r="B1032" s="35" t="s">
        <v>2041</v>
      </c>
      <c r="C1032" s="36" t="s">
        <v>2042</v>
      </c>
      <c r="D1032" s="23" t="s">
        <v>48</v>
      </c>
      <c r="E1032" s="21">
        <v>242.62</v>
      </c>
    </row>
    <row r="1033" spans="1:5" ht="30" customHeight="1" x14ac:dyDescent="0.35">
      <c r="A1033">
        <f t="shared" si="19"/>
        <v>1017</v>
      </c>
      <c r="B1033" s="32" t="s">
        <v>2043</v>
      </c>
      <c r="C1033" s="29" t="s">
        <v>2044</v>
      </c>
      <c r="D1033" s="23" t="s">
        <v>48</v>
      </c>
      <c r="E1033" s="21">
        <v>345.9</v>
      </c>
    </row>
    <row r="1034" spans="1:5" ht="30" customHeight="1" x14ac:dyDescent="0.35">
      <c r="A1034">
        <f t="shared" si="19"/>
        <v>1018</v>
      </c>
      <c r="B1034" s="35" t="s">
        <v>2045</v>
      </c>
      <c r="C1034" s="36" t="s">
        <v>2046</v>
      </c>
      <c r="D1034" s="23" t="s">
        <v>48</v>
      </c>
      <c r="E1034" s="21">
        <v>281.04999999999995</v>
      </c>
    </row>
    <row r="1035" spans="1:5" ht="30" customHeight="1" x14ac:dyDescent="0.35">
      <c r="A1035">
        <f t="shared" si="19"/>
        <v>1019</v>
      </c>
      <c r="B1035" s="32" t="s">
        <v>2047</v>
      </c>
      <c r="C1035" s="29" t="s">
        <v>2048</v>
      </c>
      <c r="D1035" s="23" t="s">
        <v>48</v>
      </c>
      <c r="E1035" s="21">
        <v>58.730000000000004</v>
      </c>
    </row>
    <row r="1036" spans="1:5" ht="30" customHeight="1" x14ac:dyDescent="0.35">
      <c r="A1036">
        <f t="shared" si="19"/>
        <v>1020</v>
      </c>
      <c r="B1036" s="35" t="s">
        <v>2049</v>
      </c>
      <c r="C1036" s="36" t="s">
        <v>2050</v>
      </c>
      <c r="D1036" s="23" t="s">
        <v>48</v>
      </c>
      <c r="E1036" s="21">
        <v>25.18</v>
      </c>
    </row>
    <row r="1037" spans="1:5" ht="30" customHeight="1" x14ac:dyDescent="0.35">
      <c r="A1037">
        <f t="shared" si="19"/>
        <v>1021</v>
      </c>
      <c r="B1037" s="32" t="s">
        <v>2051</v>
      </c>
      <c r="C1037" s="29" t="s">
        <v>2052</v>
      </c>
      <c r="D1037" s="23" t="s">
        <v>48</v>
      </c>
      <c r="E1037" s="21">
        <v>20.979999999999997</v>
      </c>
    </row>
    <row r="1038" spans="1:5" ht="30" customHeight="1" x14ac:dyDescent="0.35">
      <c r="A1038">
        <f t="shared" si="19"/>
        <v>1022</v>
      </c>
      <c r="B1038" s="35" t="s">
        <v>2053</v>
      </c>
      <c r="C1038" s="36" t="s">
        <v>2054</v>
      </c>
      <c r="D1038" s="23" t="s">
        <v>48</v>
      </c>
      <c r="E1038" s="21">
        <v>29.38</v>
      </c>
    </row>
    <row r="1039" spans="1:5" ht="30" customHeight="1" x14ac:dyDescent="0.35">
      <c r="A1039">
        <f t="shared" si="19"/>
        <v>1023</v>
      </c>
      <c r="B1039" s="32" t="s">
        <v>2055</v>
      </c>
      <c r="C1039" s="29" t="s">
        <v>2056</v>
      </c>
      <c r="D1039" s="23" t="s">
        <v>48</v>
      </c>
      <c r="E1039" s="21">
        <v>33.56</v>
      </c>
    </row>
    <row r="1040" spans="1:5" ht="30" customHeight="1" x14ac:dyDescent="0.35">
      <c r="A1040">
        <f t="shared" si="19"/>
        <v>1024</v>
      </c>
      <c r="B1040" s="35" t="s">
        <v>2057</v>
      </c>
      <c r="C1040" s="36" t="s">
        <v>2058</v>
      </c>
      <c r="D1040" s="23" t="s">
        <v>48</v>
      </c>
      <c r="E1040" s="21">
        <v>125.85999999999999</v>
      </c>
    </row>
    <row r="1041" spans="1:5" ht="30" customHeight="1" x14ac:dyDescent="0.35">
      <c r="A1041">
        <f t="shared" si="19"/>
        <v>1025</v>
      </c>
      <c r="B1041" s="32" t="s">
        <v>2059</v>
      </c>
      <c r="C1041" s="29" t="s">
        <v>2060</v>
      </c>
      <c r="D1041" s="23" t="s">
        <v>48</v>
      </c>
      <c r="E1041" s="21">
        <v>73.84</v>
      </c>
    </row>
    <row r="1042" spans="1:5" ht="30" customHeight="1" x14ac:dyDescent="0.35">
      <c r="A1042">
        <f t="shared" si="19"/>
        <v>1026</v>
      </c>
      <c r="B1042" s="35" t="s">
        <v>2061</v>
      </c>
      <c r="C1042" s="36" t="s">
        <v>2062</v>
      </c>
      <c r="D1042" s="23" t="s">
        <v>48</v>
      </c>
      <c r="E1042" s="21">
        <v>54.53</v>
      </c>
    </row>
    <row r="1043" spans="1:5" ht="30" customHeight="1" x14ac:dyDescent="0.35">
      <c r="A1043">
        <f t="shared" si="19"/>
        <v>1027</v>
      </c>
      <c r="B1043" s="32" t="s">
        <v>2063</v>
      </c>
      <c r="C1043" s="29" t="s">
        <v>2064</v>
      </c>
      <c r="D1043" s="23" t="s">
        <v>48</v>
      </c>
      <c r="E1043" s="21">
        <v>33.56</v>
      </c>
    </row>
    <row r="1044" spans="1:5" ht="30" customHeight="1" x14ac:dyDescent="0.35">
      <c r="A1044">
        <f t="shared" si="19"/>
        <v>1028</v>
      </c>
      <c r="B1044" s="35" t="s">
        <v>2065</v>
      </c>
      <c r="C1044" s="36" t="s">
        <v>2066</v>
      </c>
      <c r="D1044" s="23" t="s">
        <v>48</v>
      </c>
      <c r="E1044" s="21">
        <v>75.509999999999991</v>
      </c>
    </row>
    <row r="1045" spans="1:5" ht="30" customHeight="1" x14ac:dyDescent="0.35">
      <c r="A1045">
        <f t="shared" si="19"/>
        <v>1029</v>
      </c>
      <c r="B1045" s="32" t="s">
        <v>2067</v>
      </c>
      <c r="C1045" s="29" t="s">
        <v>2068</v>
      </c>
      <c r="D1045" s="23" t="s">
        <v>48</v>
      </c>
      <c r="E1045" s="21">
        <v>50.339999999999996</v>
      </c>
    </row>
    <row r="1046" spans="1:5" ht="30" customHeight="1" x14ac:dyDescent="0.35">
      <c r="A1046">
        <f t="shared" si="19"/>
        <v>1030</v>
      </c>
      <c r="B1046" s="35" t="s">
        <v>2069</v>
      </c>
      <c r="C1046" s="36" t="s">
        <v>2070</v>
      </c>
      <c r="D1046" s="23" t="s">
        <v>48</v>
      </c>
      <c r="E1046" s="21">
        <v>33.56</v>
      </c>
    </row>
    <row r="1047" spans="1:5" ht="30" customHeight="1" x14ac:dyDescent="0.35">
      <c r="A1047">
        <f t="shared" si="19"/>
        <v>1031</v>
      </c>
      <c r="B1047" s="32" t="s">
        <v>2071</v>
      </c>
      <c r="C1047" s="29" t="s">
        <v>2072</v>
      </c>
      <c r="D1047" s="23" t="s">
        <v>48</v>
      </c>
      <c r="E1047" s="21">
        <v>67.12</v>
      </c>
    </row>
    <row r="1048" spans="1:5" ht="30" customHeight="1" x14ac:dyDescent="0.35">
      <c r="A1048">
        <f t="shared" si="19"/>
        <v>1032</v>
      </c>
      <c r="B1048" s="35" t="s">
        <v>2073</v>
      </c>
      <c r="C1048" s="36" t="s">
        <v>2074</v>
      </c>
      <c r="D1048" s="23" t="s">
        <v>48</v>
      </c>
      <c r="E1048" s="21">
        <v>81.37</v>
      </c>
    </row>
    <row r="1049" spans="1:5" ht="30" customHeight="1" x14ac:dyDescent="0.35">
      <c r="A1049">
        <f t="shared" si="19"/>
        <v>1033</v>
      </c>
      <c r="B1049" s="32" t="s">
        <v>2075</v>
      </c>
      <c r="C1049" s="29" t="s">
        <v>2076</v>
      </c>
      <c r="D1049" s="23" t="s">
        <v>48</v>
      </c>
      <c r="E1049" s="21">
        <v>104.87</v>
      </c>
    </row>
    <row r="1050" spans="1:5" ht="30" customHeight="1" x14ac:dyDescent="0.35">
      <c r="A1050">
        <f t="shared" si="19"/>
        <v>1034</v>
      </c>
      <c r="B1050" s="35" t="s">
        <v>2077</v>
      </c>
      <c r="C1050" s="36" t="s">
        <v>2078</v>
      </c>
      <c r="D1050" s="23" t="s">
        <v>48</v>
      </c>
      <c r="E1050" s="21">
        <v>503.36</v>
      </c>
    </row>
    <row r="1051" spans="1:5" ht="30" customHeight="1" x14ac:dyDescent="0.35">
      <c r="A1051">
        <f t="shared" si="19"/>
        <v>1035</v>
      </c>
      <c r="B1051" s="32" t="s">
        <v>2079</v>
      </c>
      <c r="C1051" s="29" t="s">
        <v>2080</v>
      </c>
      <c r="D1051" s="23" t="s">
        <v>48</v>
      </c>
      <c r="E1051" s="21">
        <v>390.1</v>
      </c>
    </row>
    <row r="1052" spans="1:5" ht="30" customHeight="1" x14ac:dyDescent="0.35">
      <c r="A1052">
        <f t="shared" si="19"/>
        <v>1036</v>
      </c>
      <c r="B1052" s="35" t="s">
        <v>2081</v>
      </c>
      <c r="C1052" s="36" t="s">
        <v>2082</v>
      </c>
      <c r="D1052" s="23" t="s">
        <v>48</v>
      </c>
      <c r="E1052" s="21">
        <v>322.99</v>
      </c>
    </row>
    <row r="1053" spans="1:5" ht="30" customHeight="1" x14ac:dyDescent="0.35">
      <c r="A1053">
        <f t="shared" si="19"/>
        <v>1037</v>
      </c>
      <c r="B1053" s="32" t="s">
        <v>2083</v>
      </c>
      <c r="C1053" s="29" t="s">
        <v>2084</v>
      </c>
      <c r="D1053" s="23" t="s">
        <v>48</v>
      </c>
      <c r="E1053" s="21">
        <v>197.14999999999998</v>
      </c>
    </row>
    <row r="1054" spans="1:5" ht="30" customHeight="1" x14ac:dyDescent="0.35">
      <c r="A1054">
        <f t="shared" si="19"/>
        <v>1038</v>
      </c>
      <c r="B1054" s="35" t="s">
        <v>2085</v>
      </c>
      <c r="C1054" s="36" t="s">
        <v>2086</v>
      </c>
      <c r="D1054" s="23" t="s">
        <v>48</v>
      </c>
      <c r="E1054" s="21">
        <v>824.83999999999992</v>
      </c>
    </row>
    <row r="1055" spans="1:5" ht="30" customHeight="1" x14ac:dyDescent="0.35">
      <c r="A1055">
        <f t="shared" si="19"/>
        <v>1039</v>
      </c>
      <c r="B1055" s="32" t="s">
        <v>2087</v>
      </c>
      <c r="C1055" s="29" t="s">
        <v>2088</v>
      </c>
      <c r="D1055" s="23" t="s">
        <v>48</v>
      </c>
      <c r="E1055" s="21">
        <v>146.82999999999998</v>
      </c>
    </row>
    <row r="1056" spans="1:5" ht="30" customHeight="1" x14ac:dyDescent="0.35">
      <c r="A1056">
        <f t="shared" si="19"/>
        <v>1040</v>
      </c>
      <c r="B1056" s="35" t="s">
        <v>2089</v>
      </c>
      <c r="C1056" s="36" t="s">
        <v>2090</v>
      </c>
      <c r="D1056" s="23" t="s">
        <v>48</v>
      </c>
      <c r="E1056" s="21">
        <v>83.9</v>
      </c>
    </row>
    <row r="1057" spans="1:5" ht="30" customHeight="1" x14ac:dyDescent="0.35">
      <c r="A1057">
        <f t="shared" si="19"/>
        <v>1041</v>
      </c>
      <c r="B1057" s="32" t="s">
        <v>2091</v>
      </c>
      <c r="C1057" s="29" t="s">
        <v>2092</v>
      </c>
      <c r="D1057" s="23" t="s">
        <v>48</v>
      </c>
      <c r="E1057" s="21">
        <v>41.96</v>
      </c>
    </row>
    <row r="1058" spans="1:5" ht="30" customHeight="1" x14ac:dyDescent="0.35">
      <c r="A1058">
        <f t="shared" si="19"/>
        <v>1042</v>
      </c>
      <c r="B1058" s="35" t="s">
        <v>2093</v>
      </c>
      <c r="C1058" s="36" t="s">
        <v>2094</v>
      </c>
      <c r="D1058" s="23" t="s">
        <v>48</v>
      </c>
      <c r="E1058" s="21">
        <v>151</v>
      </c>
    </row>
    <row r="1059" spans="1:5" ht="30" customHeight="1" x14ac:dyDescent="0.35">
      <c r="A1059">
        <f t="shared" si="19"/>
        <v>1043</v>
      </c>
      <c r="B1059" s="32" t="s">
        <v>2095</v>
      </c>
      <c r="C1059" s="29" t="s">
        <v>2096</v>
      </c>
      <c r="D1059" s="23" t="s">
        <v>48</v>
      </c>
      <c r="E1059" s="21">
        <v>58.730000000000004</v>
      </c>
    </row>
    <row r="1060" spans="1:5" ht="30" customHeight="1" x14ac:dyDescent="0.35">
      <c r="A1060">
        <f t="shared" si="19"/>
        <v>1044</v>
      </c>
      <c r="B1060" s="35" t="s">
        <v>2097</v>
      </c>
      <c r="C1060" s="36" t="s">
        <v>2098</v>
      </c>
      <c r="D1060" s="23" t="s">
        <v>48</v>
      </c>
      <c r="E1060" s="21">
        <v>38.6</v>
      </c>
    </row>
    <row r="1061" spans="1:5" ht="30" customHeight="1" x14ac:dyDescent="0.35">
      <c r="A1061">
        <f t="shared" si="19"/>
        <v>1045</v>
      </c>
      <c r="B1061" s="32" t="s">
        <v>2099</v>
      </c>
      <c r="C1061" s="29" t="s">
        <v>2100</v>
      </c>
      <c r="D1061" s="23" t="s">
        <v>48</v>
      </c>
      <c r="E1061" s="21">
        <v>50.339999999999996</v>
      </c>
    </row>
    <row r="1062" spans="1:5" ht="30" customHeight="1" x14ac:dyDescent="0.35">
      <c r="A1062">
        <f t="shared" si="19"/>
        <v>1046</v>
      </c>
      <c r="B1062" s="35" t="s">
        <v>2101</v>
      </c>
      <c r="C1062" s="36" t="s">
        <v>2102</v>
      </c>
      <c r="D1062" s="23" t="s">
        <v>48</v>
      </c>
      <c r="E1062" s="21">
        <v>394.29999999999995</v>
      </c>
    </row>
    <row r="1063" spans="1:5" ht="30" customHeight="1" x14ac:dyDescent="0.35">
      <c r="A1063">
        <f t="shared" si="19"/>
        <v>1047</v>
      </c>
      <c r="B1063" s="32" t="s">
        <v>2103</v>
      </c>
      <c r="C1063" s="29" t="s">
        <v>2104</v>
      </c>
      <c r="D1063" s="23" t="s">
        <v>48</v>
      </c>
      <c r="E1063" s="21">
        <v>364.94</v>
      </c>
    </row>
    <row r="1064" spans="1:5" ht="30" customHeight="1" x14ac:dyDescent="0.35">
      <c r="A1064">
        <f t="shared" si="19"/>
        <v>1048</v>
      </c>
      <c r="B1064" s="35" t="s">
        <v>2105</v>
      </c>
      <c r="C1064" s="36" t="s">
        <v>2106</v>
      </c>
      <c r="D1064" s="23" t="s">
        <v>48</v>
      </c>
      <c r="E1064" s="21">
        <v>334.38</v>
      </c>
    </row>
    <row r="1065" spans="1:5" ht="30" customHeight="1" x14ac:dyDescent="0.35">
      <c r="A1065">
        <f t="shared" si="19"/>
        <v>1049</v>
      </c>
      <c r="B1065" s="32" t="s">
        <v>2107</v>
      </c>
      <c r="C1065" s="29" t="s">
        <v>2001</v>
      </c>
      <c r="D1065" s="23" t="s">
        <v>48</v>
      </c>
      <c r="E1065" s="21">
        <v>249.16</v>
      </c>
    </row>
    <row r="1066" spans="1:5" ht="30" customHeight="1" x14ac:dyDescent="0.35">
      <c r="A1066">
        <f t="shared" si="19"/>
        <v>1050</v>
      </c>
      <c r="B1066" s="35" t="s">
        <v>2108</v>
      </c>
      <c r="C1066" s="36" t="s">
        <v>2109</v>
      </c>
      <c r="D1066" s="23" t="s">
        <v>48</v>
      </c>
      <c r="E1066" s="21">
        <v>81.37</v>
      </c>
    </row>
    <row r="1067" spans="1:5" ht="30" customHeight="1" x14ac:dyDescent="0.35">
      <c r="A1067">
        <f t="shared" si="19"/>
        <v>1051</v>
      </c>
      <c r="B1067" s="32" t="s">
        <v>2110</v>
      </c>
      <c r="C1067" s="29" t="s">
        <v>2111</v>
      </c>
      <c r="D1067" s="23" t="s">
        <v>48</v>
      </c>
      <c r="E1067" s="21">
        <v>79.699999999999989</v>
      </c>
    </row>
    <row r="1068" spans="1:5" ht="30" customHeight="1" x14ac:dyDescent="0.35">
      <c r="A1068">
        <f t="shared" si="19"/>
        <v>1052</v>
      </c>
      <c r="B1068" s="35" t="s">
        <v>2112</v>
      </c>
      <c r="C1068" s="36" t="s">
        <v>2113</v>
      </c>
      <c r="D1068" s="23" t="s">
        <v>48</v>
      </c>
      <c r="E1068" s="21">
        <v>83.9</v>
      </c>
    </row>
    <row r="1069" spans="1:5" ht="30" customHeight="1" x14ac:dyDescent="0.35">
      <c r="A1069">
        <f t="shared" si="19"/>
        <v>1053</v>
      </c>
      <c r="B1069" s="32" t="s">
        <v>2114</v>
      </c>
      <c r="C1069" s="29" t="s">
        <v>2115</v>
      </c>
      <c r="D1069" s="23" t="s">
        <v>48</v>
      </c>
      <c r="E1069" s="21">
        <v>62.92</v>
      </c>
    </row>
    <row r="1070" spans="1:5" ht="30" customHeight="1" x14ac:dyDescent="0.35">
      <c r="A1070">
        <f t="shared" ref="A1070:A1133" si="20">A1069+1</f>
        <v>1054</v>
      </c>
      <c r="B1070" s="35" t="s">
        <v>2116</v>
      </c>
      <c r="C1070" s="36" t="s">
        <v>2117</v>
      </c>
      <c r="D1070" s="23" t="s">
        <v>48</v>
      </c>
      <c r="E1070" s="21">
        <v>43.62</v>
      </c>
    </row>
    <row r="1071" spans="1:5" ht="30" customHeight="1" x14ac:dyDescent="0.35">
      <c r="A1071">
        <f t="shared" si="20"/>
        <v>1055</v>
      </c>
      <c r="B1071" s="32" t="s">
        <v>2118</v>
      </c>
      <c r="C1071" s="29" t="s">
        <v>2119</v>
      </c>
      <c r="D1071" s="23" t="s">
        <v>48</v>
      </c>
      <c r="E1071" s="21">
        <v>83.9</v>
      </c>
    </row>
    <row r="1072" spans="1:5" ht="30" customHeight="1" x14ac:dyDescent="0.35">
      <c r="A1072">
        <f t="shared" si="20"/>
        <v>1056</v>
      </c>
      <c r="B1072" s="35" t="s">
        <v>2120</v>
      </c>
      <c r="C1072" s="36" t="s">
        <v>2121</v>
      </c>
      <c r="D1072" s="23" t="s">
        <v>48</v>
      </c>
      <c r="E1072" s="21">
        <v>239.10999999999999</v>
      </c>
    </row>
    <row r="1073" spans="1:5" ht="30" customHeight="1" x14ac:dyDescent="0.35">
      <c r="A1073">
        <f t="shared" si="20"/>
        <v>1057</v>
      </c>
      <c r="B1073" s="32" t="s">
        <v>2122</v>
      </c>
      <c r="C1073" s="29" t="s">
        <v>2123</v>
      </c>
      <c r="D1073" s="23" t="s">
        <v>48</v>
      </c>
      <c r="E1073" s="21">
        <v>474</v>
      </c>
    </row>
    <row r="1074" spans="1:5" ht="30" customHeight="1" x14ac:dyDescent="0.35">
      <c r="A1074">
        <f t="shared" si="20"/>
        <v>1058</v>
      </c>
      <c r="B1074" s="35" t="s">
        <v>2124</v>
      </c>
      <c r="C1074" s="36" t="s">
        <v>2125</v>
      </c>
      <c r="D1074" s="23" t="s">
        <v>48</v>
      </c>
      <c r="E1074" s="21">
        <v>125.85999999999999</v>
      </c>
    </row>
    <row r="1075" spans="1:5" ht="30" customHeight="1" x14ac:dyDescent="0.35">
      <c r="A1075">
        <f t="shared" si="20"/>
        <v>1059</v>
      </c>
      <c r="B1075" s="32" t="s">
        <v>2126</v>
      </c>
      <c r="C1075" s="29" t="s">
        <v>2127</v>
      </c>
      <c r="D1075" s="23" t="s">
        <v>48</v>
      </c>
      <c r="E1075" s="21">
        <v>268.46999999999997</v>
      </c>
    </row>
    <row r="1076" spans="1:5" ht="30" customHeight="1" x14ac:dyDescent="0.35">
      <c r="A1076">
        <f t="shared" si="20"/>
        <v>1060</v>
      </c>
      <c r="B1076" s="35" t="s">
        <v>2128</v>
      </c>
      <c r="C1076" s="36" t="s">
        <v>2129</v>
      </c>
      <c r="D1076" s="23" t="s">
        <v>48</v>
      </c>
      <c r="E1076" s="21">
        <v>352.34</v>
      </c>
    </row>
    <row r="1077" spans="1:5" ht="30" customHeight="1" x14ac:dyDescent="0.35">
      <c r="A1077">
        <f t="shared" si="20"/>
        <v>1061</v>
      </c>
      <c r="B1077" s="32" t="s">
        <v>2130</v>
      </c>
      <c r="C1077" s="29" t="s">
        <v>2131</v>
      </c>
      <c r="D1077" s="23" t="s">
        <v>48</v>
      </c>
      <c r="E1077" s="21">
        <v>1006.72</v>
      </c>
    </row>
    <row r="1078" spans="1:5" ht="30" customHeight="1" x14ac:dyDescent="0.35">
      <c r="A1078">
        <f t="shared" si="20"/>
        <v>1062</v>
      </c>
      <c r="B1078" s="35" t="s">
        <v>2132</v>
      </c>
      <c r="C1078" s="36" t="s">
        <v>2133</v>
      </c>
      <c r="D1078" s="23" t="s">
        <v>48</v>
      </c>
      <c r="E1078" s="21">
        <v>440.45</v>
      </c>
    </row>
    <row r="1079" spans="1:5" ht="30" customHeight="1" x14ac:dyDescent="0.35">
      <c r="A1079">
        <f t="shared" si="20"/>
        <v>1063</v>
      </c>
      <c r="B1079" s="32" t="s">
        <v>2134</v>
      </c>
      <c r="C1079" s="29" t="s">
        <v>2135</v>
      </c>
      <c r="D1079" s="23" t="s">
        <v>48</v>
      </c>
      <c r="E1079" s="21">
        <v>377.53000000000003</v>
      </c>
    </row>
    <row r="1080" spans="1:5" ht="30" customHeight="1" x14ac:dyDescent="0.35">
      <c r="A1080">
        <f t="shared" si="20"/>
        <v>1064</v>
      </c>
      <c r="B1080" s="35" t="s">
        <v>2136</v>
      </c>
      <c r="C1080" s="36" t="s">
        <v>2137</v>
      </c>
      <c r="D1080" s="23" t="s">
        <v>48</v>
      </c>
      <c r="E1080" s="21">
        <v>377.53000000000003</v>
      </c>
    </row>
    <row r="1081" spans="1:5" ht="30" customHeight="1" x14ac:dyDescent="0.35">
      <c r="A1081">
        <f t="shared" si="20"/>
        <v>1065</v>
      </c>
      <c r="B1081" s="32" t="s">
        <v>2138</v>
      </c>
      <c r="C1081" s="29" t="s">
        <v>2139</v>
      </c>
      <c r="D1081" s="23" t="s">
        <v>48</v>
      </c>
      <c r="E1081" s="21">
        <v>356.55</v>
      </c>
    </row>
    <row r="1082" spans="1:5" ht="30" customHeight="1" x14ac:dyDescent="0.35">
      <c r="A1082">
        <f t="shared" si="20"/>
        <v>1066</v>
      </c>
      <c r="B1082" s="35" t="s">
        <v>2140</v>
      </c>
      <c r="C1082" s="36" t="s">
        <v>2141</v>
      </c>
      <c r="D1082" s="23" t="s">
        <v>48</v>
      </c>
      <c r="E1082" s="21">
        <v>356.55</v>
      </c>
    </row>
    <row r="1083" spans="1:5" ht="30" customHeight="1" x14ac:dyDescent="0.35">
      <c r="A1083">
        <f t="shared" si="20"/>
        <v>1067</v>
      </c>
      <c r="B1083" s="32" t="s">
        <v>2142</v>
      </c>
      <c r="C1083" s="29" t="s">
        <v>2143</v>
      </c>
      <c r="D1083" s="32" t="s">
        <v>908</v>
      </c>
      <c r="E1083" s="21">
        <v>22.65</v>
      </c>
    </row>
    <row r="1084" spans="1:5" ht="30" customHeight="1" x14ac:dyDescent="0.35">
      <c r="A1084">
        <f t="shared" si="20"/>
        <v>1068</v>
      </c>
      <c r="B1084" s="35" t="s">
        <v>2144</v>
      </c>
      <c r="C1084" s="36" t="s">
        <v>2145</v>
      </c>
      <c r="D1084" s="35" t="s">
        <v>908</v>
      </c>
      <c r="E1084" s="21">
        <v>20.13</v>
      </c>
    </row>
    <row r="1085" spans="1:5" ht="30" customHeight="1" x14ac:dyDescent="0.35">
      <c r="A1085">
        <f t="shared" si="20"/>
        <v>1069</v>
      </c>
      <c r="B1085" s="32" t="s">
        <v>2146</v>
      </c>
      <c r="C1085" s="29" t="s">
        <v>2147</v>
      </c>
      <c r="D1085" s="32" t="s">
        <v>908</v>
      </c>
      <c r="E1085" s="21">
        <v>12.64</v>
      </c>
    </row>
    <row r="1086" spans="1:5" ht="30" customHeight="1" x14ac:dyDescent="0.35">
      <c r="A1086">
        <f t="shared" si="20"/>
        <v>1070</v>
      </c>
      <c r="B1086" s="35" t="s">
        <v>2148</v>
      </c>
      <c r="C1086" s="36" t="s">
        <v>2149</v>
      </c>
      <c r="D1086" s="35" t="s">
        <v>908</v>
      </c>
      <c r="E1086" s="21">
        <v>22.55</v>
      </c>
    </row>
    <row r="1087" spans="1:5" ht="30" customHeight="1" x14ac:dyDescent="0.35">
      <c r="A1087" s="12">
        <f t="shared" si="20"/>
        <v>1071</v>
      </c>
      <c r="B1087" s="42" t="s">
        <v>2150</v>
      </c>
      <c r="C1087" s="27" t="s">
        <v>2151</v>
      </c>
      <c r="D1087" s="26" t="s">
        <v>48</v>
      </c>
      <c r="E1087" s="16">
        <v>725.8</v>
      </c>
    </row>
    <row r="1088" spans="1:5" ht="30" customHeight="1" x14ac:dyDescent="0.35">
      <c r="A1088" s="12">
        <f t="shared" si="20"/>
        <v>1072</v>
      </c>
      <c r="B1088" s="28" t="s">
        <v>2152</v>
      </c>
      <c r="C1088" s="41" t="s">
        <v>2153</v>
      </c>
      <c r="D1088" s="26" t="s">
        <v>48</v>
      </c>
      <c r="E1088" s="16">
        <v>437.23</v>
      </c>
    </row>
    <row r="1089" spans="1:5" ht="30" customHeight="1" x14ac:dyDescent="0.35">
      <c r="A1089" s="12">
        <f t="shared" si="20"/>
        <v>1073</v>
      </c>
      <c r="B1089" s="42" t="s">
        <v>2154</v>
      </c>
      <c r="C1089" s="27" t="s">
        <v>2155</v>
      </c>
      <c r="D1089" s="26" t="s">
        <v>48</v>
      </c>
      <c r="E1089" s="16">
        <v>321.02</v>
      </c>
    </row>
    <row r="1090" spans="1:5" ht="30" customHeight="1" x14ac:dyDescent="0.35">
      <c r="A1090" s="12">
        <f t="shared" si="20"/>
        <v>1074</v>
      </c>
      <c r="B1090" s="28" t="s">
        <v>2156</v>
      </c>
      <c r="C1090" s="41" t="s">
        <v>2157</v>
      </c>
      <c r="D1090" s="26" t="s">
        <v>48</v>
      </c>
      <c r="E1090" s="16">
        <v>231.14</v>
      </c>
    </row>
    <row r="1091" spans="1:5" ht="30" customHeight="1" x14ac:dyDescent="0.35">
      <c r="A1091" s="12">
        <f t="shared" si="20"/>
        <v>1075</v>
      </c>
      <c r="B1091" s="42" t="s">
        <v>2158</v>
      </c>
      <c r="C1091" s="27" t="s">
        <v>2159</v>
      </c>
      <c r="D1091" s="26" t="s">
        <v>48</v>
      </c>
      <c r="E1091" s="16">
        <v>109.31</v>
      </c>
    </row>
    <row r="1092" spans="1:5" ht="30" customHeight="1" x14ac:dyDescent="0.35">
      <c r="A1092">
        <f t="shared" si="20"/>
        <v>1076</v>
      </c>
      <c r="B1092" s="35" t="s">
        <v>2160</v>
      </c>
      <c r="C1092" s="36" t="s">
        <v>2161</v>
      </c>
      <c r="D1092" s="35" t="s">
        <v>908</v>
      </c>
      <c r="E1092" s="21">
        <v>134.66</v>
      </c>
    </row>
    <row r="1093" spans="1:5" ht="30" customHeight="1" x14ac:dyDescent="0.35">
      <c r="A1093">
        <f t="shared" si="20"/>
        <v>1077</v>
      </c>
      <c r="B1093" s="32" t="s">
        <v>2162</v>
      </c>
      <c r="C1093" s="29" t="s">
        <v>2163</v>
      </c>
      <c r="D1093" s="32" t="s">
        <v>2164</v>
      </c>
      <c r="E1093" s="21">
        <v>0.28999999999999998</v>
      </c>
    </row>
    <row r="1094" spans="1:5" ht="30" customHeight="1" x14ac:dyDescent="0.35">
      <c r="A1094">
        <f t="shared" si="20"/>
        <v>1078</v>
      </c>
      <c r="B1094" s="35" t="s">
        <v>2165</v>
      </c>
      <c r="C1094" s="36" t="s">
        <v>2166</v>
      </c>
      <c r="D1094" s="35" t="s">
        <v>908</v>
      </c>
      <c r="E1094" s="21">
        <v>22.55</v>
      </c>
    </row>
    <row r="1095" spans="1:5" ht="30" customHeight="1" x14ac:dyDescent="0.35">
      <c r="A1095">
        <f t="shared" si="20"/>
        <v>1079</v>
      </c>
      <c r="B1095" s="32" t="s">
        <v>2167</v>
      </c>
      <c r="C1095" s="29" t="s">
        <v>2168</v>
      </c>
      <c r="D1095" s="32" t="s">
        <v>14</v>
      </c>
      <c r="E1095" s="21">
        <v>10.180000000000001</v>
      </c>
    </row>
    <row r="1096" spans="1:5" ht="30" customHeight="1" x14ac:dyDescent="0.35">
      <c r="A1096">
        <f t="shared" si="20"/>
        <v>1080</v>
      </c>
      <c r="B1096" s="32" t="s">
        <v>2169</v>
      </c>
      <c r="C1096" s="29" t="s">
        <v>2170</v>
      </c>
      <c r="D1096" s="23" t="s">
        <v>48</v>
      </c>
      <c r="E1096" s="21">
        <v>432.15</v>
      </c>
    </row>
    <row r="1097" spans="1:5" ht="30" customHeight="1" x14ac:dyDescent="0.35">
      <c r="A1097">
        <f t="shared" si="20"/>
        <v>1081</v>
      </c>
      <c r="B1097" s="32" t="s">
        <v>2171</v>
      </c>
      <c r="C1097" s="29" t="s">
        <v>2172</v>
      </c>
      <c r="D1097" s="23" t="s">
        <v>48</v>
      </c>
      <c r="E1097" s="21">
        <v>484</v>
      </c>
    </row>
    <row r="1098" spans="1:5" ht="30" customHeight="1" x14ac:dyDescent="0.35">
      <c r="A1098">
        <f t="shared" si="20"/>
        <v>1082</v>
      </c>
      <c r="B1098" s="32" t="s">
        <v>2173</v>
      </c>
      <c r="C1098" s="29" t="s">
        <v>2174</v>
      </c>
      <c r="D1098" s="23" t="s">
        <v>48</v>
      </c>
      <c r="E1098" s="21">
        <v>474.49</v>
      </c>
    </row>
    <row r="1099" spans="1:5" ht="30" customHeight="1" x14ac:dyDescent="0.35">
      <c r="A1099">
        <f t="shared" si="20"/>
        <v>1083</v>
      </c>
      <c r="B1099" s="35" t="s">
        <v>2175</v>
      </c>
      <c r="C1099" s="29" t="s">
        <v>2176</v>
      </c>
      <c r="D1099" s="29" t="s">
        <v>11</v>
      </c>
      <c r="E1099" s="21">
        <v>74.910000000000011</v>
      </c>
    </row>
    <row r="1100" spans="1:5" ht="30" customHeight="1" x14ac:dyDescent="0.35">
      <c r="A1100" s="12">
        <f t="shared" si="20"/>
        <v>1084</v>
      </c>
      <c r="B1100" s="42" t="s">
        <v>2177</v>
      </c>
      <c r="C1100" s="27" t="s">
        <v>2178</v>
      </c>
      <c r="D1100" s="15" t="s">
        <v>8</v>
      </c>
      <c r="E1100" s="16">
        <v>3.15</v>
      </c>
    </row>
    <row r="1101" spans="1:5" ht="30" customHeight="1" x14ac:dyDescent="0.35">
      <c r="A1101" s="12">
        <f t="shared" si="20"/>
        <v>1085</v>
      </c>
      <c r="B1101" s="28" t="s">
        <v>2179</v>
      </c>
      <c r="C1101" s="27" t="s">
        <v>2180</v>
      </c>
      <c r="D1101" s="15" t="s">
        <v>8</v>
      </c>
      <c r="E1101" s="16">
        <v>3.15</v>
      </c>
    </row>
    <row r="1102" spans="1:5" ht="30" customHeight="1" x14ac:dyDescent="0.35">
      <c r="A1102" s="12">
        <f t="shared" si="20"/>
        <v>1086</v>
      </c>
      <c r="B1102" s="42" t="s">
        <v>2181</v>
      </c>
      <c r="C1102" s="27" t="s">
        <v>2182</v>
      </c>
      <c r="D1102" s="15" t="s">
        <v>8</v>
      </c>
      <c r="E1102" s="16">
        <v>3.15</v>
      </c>
    </row>
    <row r="1103" spans="1:5" ht="30" customHeight="1" x14ac:dyDescent="0.35">
      <c r="A1103" s="12">
        <f t="shared" si="20"/>
        <v>1087</v>
      </c>
      <c r="B1103" s="28" t="s">
        <v>2183</v>
      </c>
      <c r="C1103" s="27" t="s">
        <v>2184</v>
      </c>
      <c r="D1103" s="15" t="s">
        <v>8</v>
      </c>
      <c r="E1103" s="16">
        <v>3.15</v>
      </c>
    </row>
    <row r="1104" spans="1:5" ht="30" customHeight="1" x14ac:dyDescent="0.35">
      <c r="A1104" s="12">
        <f t="shared" si="20"/>
        <v>1088</v>
      </c>
      <c r="B1104" s="42" t="s">
        <v>2185</v>
      </c>
      <c r="C1104" s="27" t="s">
        <v>2186</v>
      </c>
      <c r="D1104" s="15" t="s">
        <v>8</v>
      </c>
      <c r="E1104" s="16">
        <v>3.15</v>
      </c>
    </row>
    <row r="1105" spans="1:5" ht="30" customHeight="1" x14ac:dyDescent="0.35">
      <c r="A1105">
        <f t="shared" si="20"/>
        <v>1089</v>
      </c>
      <c r="B1105" s="32" t="s">
        <v>2187</v>
      </c>
      <c r="C1105" s="29" t="s">
        <v>2188</v>
      </c>
      <c r="D1105" s="23" t="s">
        <v>48</v>
      </c>
      <c r="E1105" s="21">
        <v>579.79</v>
      </c>
    </row>
    <row r="1106" spans="1:5" ht="30" customHeight="1" x14ac:dyDescent="0.35">
      <c r="A1106" s="12">
        <f t="shared" si="20"/>
        <v>1090</v>
      </c>
      <c r="B1106" s="28" t="s">
        <v>2189</v>
      </c>
      <c r="C1106" s="27" t="s">
        <v>2190</v>
      </c>
      <c r="D1106" s="15" t="s">
        <v>8</v>
      </c>
      <c r="E1106" s="16">
        <v>3.15</v>
      </c>
    </row>
    <row r="1107" spans="1:5" ht="30" customHeight="1" x14ac:dyDescent="0.35">
      <c r="A1107" s="12">
        <f t="shared" si="20"/>
        <v>1091</v>
      </c>
      <c r="B1107" s="42" t="s">
        <v>2191</v>
      </c>
      <c r="C1107" s="27" t="s">
        <v>2192</v>
      </c>
      <c r="D1107" s="15" t="s">
        <v>8</v>
      </c>
      <c r="E1107" s="16">
        <v>3.15</v>
      </c>
    </row>
    <row r="1108" spans="1:5" ht="30" customHeight="1" x14ac:dyDescent="0.35">
      <c r="A1108" s="12">
        <f t="shared" si="20"/>
        <v>1092</v>
      </c>
      <c r="B1108" s="28" t="s">
        <v>2193</v>
      </c>
      <c r="C1108" s="27" t="s">
        <v>2194</v>
      </c>
      <c r="D1108" s="15" t="s">
        <v>8</v>
      </c>
      <c r="E1108" s="16">
        <v>3.15</v>
      </c>
    </row>
    <row r="1109" spans="1:5" ht="30" customHeight="1" x14ac:dyDescent="0.35">
      <c r="A1109" s="12">
        <f t="shared" si="20"/>
        <v>1093</v>
      </c>
      <c r="B1109" s="42" t="s">
        <v>2195</v>
      </c>
      <c r="C1109" s="27" t="s">
        <v>2196</v>
      </c>
      <c r="D1109" s="15" t="s">
        <v>8</v>
      </c>
      <c r="E1109" s="16">
        <v>3.15</v>
      </c>
    </row>
    <row r="1110" spans="1:5" ht="30" customHeight="1" x14ac:dyDescent="0.35">
      <c r="A1110">
        <f t="shared" si="20"/>
        <v>1094</v>
      </c>
      <c r="B1110" s="35" t="s">
        <v>2197</v>
      </c>
      <c r="C1110" s="29" t="s">
        <v>2198</v>
      </c>
      <c r="D1110" s="29" t="s">
        <v>2199</v>
      </c>
      <c r="E1110" s="21">
        <v>35.78</v>
      </c>
    </row>
    <row r="1111" spans="1:5" ht="30" customHeight="1" x14ac:dyDescent="0.35">
      <c r="A1111">
        <f t="shared" si="20"/>
        <v>1095</v>
      </c>
      <c r="B1111" s="32" t="s">
        <v>2200</v>
      </c>
      <c r="C1111" s="29" t="s">
        <v>2201</v>
      </c>
      <c r="D1111" s="29" t="s">
        <v>2199</v>
      </c>
      <c r="E1111" s="21">
        <v>42.690000000000005</v>
      </c>
    </row>
    <row r="1112" spans="1:5" ht="30" customHeight="1" x14ac:dyDescent="0.35">
      <c r="A1112">
        <f t="shared" si="20"/>
        <v>1096</v>
      </c>
      <c r="B1112" s="35" t="s">
        <v>2202</v>
      </c>
      <c r="C1112" s="29" t="s">
        <v>2203</v>
      </c>
      <c r="D1112" s="29" t="s">
        <v>2199</v>
      </c>
      <c r="E1112" s="21">
        <v>49.08</v>
      </c>
    </row>
    <row r="1113" spans="1:5" ht="30" customHeight="1" x14ac:dyDescent="0.35">
      <c r="A1113">
        <f t="shared" si="20"/>
        <v>1097</v>
      </c>
      <c r="B1113" s="32" t="s">
        <v>2204</v>
      </c>
      <c r="C1113" s="29" t="s">
        <v>2205</v>
      </c>
      <c r="D1113" s="29" t="s">
        <v>2199</v>
      </c>
      <c r="E1113" s="21">
        <v>71.970000000000013</v>
      </c>
    </row>
    <row r="1114" spans="1:5" ht="30" customHeight="1" x14ac:dyDescent="0.35">
      <c r="A1114">
        <f t="shared" si="20"/>
        <v>1098</v>
      </c>
      <c r="B1114" s="35" t="s">
        <v>2206</v>
      </c>
      <c r="C1114" s="29" t="s">
        <v>2207</v>
      </c>
      <c r="D1114" s="29" t="s">
        <v>2199</v>
      </c>
      <c r="E1114" s="21">
        <v>87.19</v>
      </c>
    </row>
    <row r="1115" spans="1:5" ht="30" customHeight="1" x14ac:dyDescent="0.35">
      <c r="A1115">
        <f t="shared" si="20"/>
        <v>1099</v>
      </c>
      <c r="B1115" s="32" t="s">
        <v>2208</v>
      </c>
      <c r="C1115" s="29" t="s">
        <v>2209</v>
      </c>
      <c r="D1115" s="29" t="s">
        <v>2199</v>
      </c>
      <c r="E1115" s="21">
        <v>112.06</v>
      </c>
    </row>
    <row r="1116" spans="1:5" ht="30" customHeight="1" x14ac:dyDescent="0.35">
      <c r="A1116">
        <f t="shared" si="20"/>
        <v>1100</v>
      </c>
      <c r="B1116" s="35" t="s">
        <v>2210</v>
      </c>
      <c r="C1116" s="29" t="s">
        <v>2211</v>
      </c>
      <c r="D1116" s="29" t="s">
        <v>2199</v>
      </c>
      <c r="E1116" s="21">
        <v>122.12</v>
      </c>
    </row>
    <row r="1117" spans="1:5" ht="30" customHeight="1" x14ac:dyDescent="0.35">
      <c r="A1117">
        <f t="shared" si="20"/>
        <v>1101</v>
      </c>
      <c r="B1117" s="32" t="s">
        <v>2212</v>
      </c>
      <c r="C1117" s="29" t="s">
        <v>2213</v>
      </c>
      <c r="D1117" s="29" t="s">
        <v>2214</v>
      </c>
      <c r="E1117" s="21">
        <v>0.13</v>
      </c>
    </row>
    <row r="1118" spans="1:5" ht="30" customHeight="1" x14ac:dyDescent="0.35">
      <c r="A1118">
        <f t="shared" si="20"/>
        <v>1102</v>
      </c>
      <c r="B1118" s="35" t="s">
        <v>2215</v>
      </c>
      <c r="C1118" s="29" t="s">
        <v>2216</v>
      </c>
      <c r="D1118" s="29" t="s">
        <v>2214</v>
      </c>
      <c r="E1118" s="21">
        <v>0.13</v>
      </c>
    </row>
    <row r="1119" spans="1:5" ht="30" customHeight="1" x14ac:dyDescent="0.35">
      <c r="A1119">
        <f t="shared" si="20"/>
        <v>1103</v>
      </c>
      <c r="B1119" s="32" t="s">
        <v>2217</v>
      </c>
      <c r="C1119" s="29" t="s">
        <v>2218</v>
      </c>
      <c r="D1119" s="29" t="s">
        <v>2214</v>
      </c>
      <c r="E1119" s="21">
        <v>0.13</v>
      </c>
    </row>
    <row r="1120" spans="1:5" ht="30" customHeight="1" x14ac:dyDescent="0.35">
      <c r="A1120">
        <f t="shared" si="20"/>
        <v>1104</v>
      </c>
      <c r="B1120" s="35" t="s">
        <v>2219</v>
      </c>
      <c r="C1120" s="29" t="s">
        <v>2220</v>
      </c>
      <c r="D1120" s="29" t="s">
        <v>2214</v>
      </c>
      <c r="E1120" s="21">
        <v>0.13</v>
      </c>
    </row>
    <row r="1121" spans="1:5" ht="30" customHeight="1" x14ac:dyDescent="0.35">
      <c r="A1121">
        <f t="shared" si="20"/>
        <v>1105</v>
      </c>
      <c r="B1121" s="32" t="s">
        <v>2221</v>
      </c>
      <c r="C1121" s="29" t="s">
        <v>2222</v>
      </c>
      <c r="D1121" s="29" t="s">
        <v>2214</v>
      </c>
      <c r="E1121" s="21">
        <v>0.80999999999999994</v>
      </c>
    </row>
    <row r="1122" spans="1:5" ht="30" customHeight="1" x14ac:dyDescent="0.35">
      <c r="A1122">
        <f t="shared" si="20"/>
        <v>1106</v>
      </c>
      <c r="B1122" s="35" t="s">
        <v>2223</v>
      </c>
      <c r="C1122" s="29" t="s">
        <v>2224</v>
      </c>
      <c r="D1122" s="29" t="s">
        <v>2214</v>
      </c>
      <c r="E1122" s="21">
        <v>1.05</v>
      </c>
    </row>
    <row r="1123" spans="1:5" ht="30" customHeight="1" x14ac:dyDescent="0.35">
      <c r="A1123">
        <f t="shared" si="20"/>
        <v>1107</v>
      </c>
      <c r="B1123" s="32" t="s">
        <v>2225</v>
      </c>
      <c r="C1123" s="29" t="s">
        <v>2226</v>
      </c>
      <c r="D1123" s="29" t="s">
        <v>2214</v>
      </c>
      <c r="E1123" s="21">
        <v>0.80999999999999994</v>
      </c>
    </row>
    <row r="1124" spans="1:5" ht="30" customHeight="1" x14ac:dyDescent="0.35">
      <c r="A1124">
        <f t="shared" si="20"/>
        <v>1108</v>
      </c>
      <c r="B1124" s="35" t="s">
        <v>2227</v>
      </c>
      <c r="C1124" s="29" t="s">
        <v>2228</v>
      </c>
      <c r="D1124" s="29" t="s">
        <v>2214</v>
      </c>
      <c r="E1124" s="21">
        <v>0.80999999999999994</v>
      </c>
    </row>
    <row r="1125" spans="1:5" ht="30" customHeight="1" x14ac:dyDescent="0.35">
      <c r="A1125">
        <f t="shared" si="20"/>
        <v>1109</v>
      </c>
      <c r="B1125" s="32" t="s">
        <v>2229</v>
      </c>
      <c r="C1125" s="29" t="s">
        <v>2230</v>
      </c>
      <c r="D1125" s="29" t="s">
        <v>2214</v>
      </c>
      <c r="E1125" s="21">
        <v>0.80999999999999994</v>
      </c>
    </row>
    <row r="1126" spans="1:5" ht="30" customHeight="1" x14ac:dyDescent="0.35">
      <c r="A1126">
        <f t="shared" si="20"/>
        <v>1110</v>
      </c>
      <c r="B1126" s="35" t="s">
        <v>2231</v>
      </c>
      <c r="C1126" s="29" t="s">
        <v>2232</v>
      </c>
      <c r="D1126" s="29" t="s">
        <v>2214</v>
      </c>
      <c r="E1126" s="21">
        <v>0.80999999999999994</v>
      </c>
    </row>
    <row r="1127" spans="1:5" ht="30" customHeight="1" x14ac:dyDescent="0.35">
      <c r="A1127">
        <f t="shared" si="20"/>
        <v>1111</v>
      </c>
      <c r="B1127" s="32" t="s">
        <v>2233</v>
      </c>
      <c r="C1127" s="29" t="s">
        <v>2234</v>
      </c>
      <c r="D1127" s="29" t="s">
        <v>2214</v>
      </c>
      <c r="E1127" s="21">
        <v>0.80999999999999994</v>
      </c>
    </row>
    <row r="1128" spans="1:5" ht="30" customHeight="1" x14ac:dyDescent="0.35">
      <c r="A1128">
        <f t="shared" si="20"/>
        <v>1112</v>
      </c>
      <c r="B1128" s="35" t="s">
        <v>2235</v>
      </c>
      <c r="C1128" s="29" t="s">
        <v>2236</v>
      </c>
      <c r="D1128" s="29" t="s">
        <v>2214</v>
      </c>
      <c r="E1128" s="21">
        <v>0.80999999999999994</v>
      </c>
    </row>
    <row r="1129" spans="1:5" ht="30" customHeight="1" x14ac:dyDescent="0.35">
      <c r="A1129">
        <f t="shared" si="20"/>
        <v>1113</v>
      </c>
      <c r="B1129" s="32" t="s">
        <v>2237</v>
      </c>
      <c r="C1129" s="29" t="s">
        <v>2238</v>
      </c>
      <c r="D1129" s="29" t="s">
        <v>2214</v>
      </c>
      <c r="E1129" s="21">
        <v>0.80999999999999994</v>
      </c>
    </row>
    <row r="1130" spans="1:5" ht="30" customHeight="1" x14ac:dyDescent="0.35">
      <c r="A1130">
        <f t="shared" si="20"/>
        <v>1114</v>
      </c>
      <c r="B1130" s="35" t="s">
        <v>2239</v>
      </c>
      <c r="C1130" s="29" t="s">
        <v>2240</v>
      </c>
      <c r="D1130" s="29" t="s">
        <v>2214</v>
      </c>
      <c r="E1130" s="21">
        <v>0.80999999999999994</v>
      </c>
    </row>
    <row r="1131" spans="1:5" ht="30" customHeight="1" x14ac:dyDescent="0.35">
      <c r="A1131">
        <f t="shared" si="20"/>
        <v>1115</v>
      </c>
      <c r="B1131" s="32" t="s">
        <v>2241</v>
      </c>
      <c r="C1131" s="29" t="s">
        <v>2242</v>
      </c>
      <c r="D1131" s="29" t="s">
        <v>2214</v>
      </c>
      <c r="E1131" s="21">
        <v>1.57</v>
      </c>
    </row>
    <row r="1132" spans="1:5" ht="30" customHeight="1" x14ac:dyDescent="0.35">
      <c r="A1132">
        <f t="shared" si="20"/>
        <v>1116</v>
      </c>
      <c r="B1132" s="35" t="s">
        <v>2243</v>
      </c>
      <c r="C1132" s="29" t="s">
        <v>2244</v>
      </c>
      <c r="D1132" s="29" t="s">
        <v>2214</v>
      </c>
      <c r="E1132" s="21">
        <v>0.80999999999999994</v>
      </c>
    </row>
    <row r="1133" spans="1:5" ht="30" customHeight="1" x14ac:dyDescent="0.35">
      <c r="A1133">
        <f t="shared" si="20"/>
        <v>1117</v>
      </c>
      <c r="B1133" s="32" t="s">
        <v>2245</v>
      </c>
      <c r="C1133" s="29" t="s">
        <v>2246</v>
      </c>
      <c r="D1133" s="29" t="s">
        <v>2214</v>
      </c>
      <c r="E1133" s="21">
        <v>1.57</v>
      </c>
    </row>
    <row r="1134" spans="1:5" ht="30" customHeight="1" x14ac:dyDescent="0.35">
      <c r="A1134">
        <f t="shared" ref="A1134:A1144" si="21">A1133+1</f>
        <v>1118</v>
      </c>
      <c r="B1134" s="35" t="s">
        <v>2247</v>
      </c>
      <c r="C1134" s="29" t="s">
        <v>2248</v>
      </c>
      <c r="D1134" s="29" t="s">
        <v>2214</v>
      </c>
      <c r="E1134" s="21">
        <v>0.13999999999999999</v>
      </c>
    </row>
    <row r="1135" spans="1:5" ht="30" customHeight="1" x14ac:dyDescent="0.35">
      <c r="A1135">
        <f t="shared" si="21"/>
        <v>1119</v>
      </c>
      <c r="B1135" s="32" t="s">
        <v>2249</v>
      </c>
      <c r="C1135" s="29" t="s">
        <v>2250</v>
      </c>
      <c r="D1135" s="29" t="s">
        <v>2214</v>
      </c>
      <c r="E1135" s="21">
        <v>0.13999999999999999</v>
      </c>
    </row>
    <row r="1136" spans="1:5" ht="30" customHeight="1" x14ac:dyDescent="0.35">
      <c r="A1136">
        <f t="shared" si="21"/>
        <v>1120</v>
      </c>
      <c r="B1136" s="35" t="s">
        <v>2251</v>
      </c>
      <c r="C1136" s="29" t="s">
        <v>2252</v>
      </c>
      <c r="D1136" s="29" t="s">
        <v>2214</v>
      </c>
      <c r="E1136" s="21">
        <v>0.31</v>
      </c>
    </row>
    <row r="1137" spans="1:5" ht="30" customHeight="1" x14ac:dyDescent="0.35">
      <c r="A1137">
        <f t="shared" si="21"/>
        <v>1121</v>
      </c>
      <c r="B1137" s="32" t="s">
        <v>2253</v>
      </c>
      <c r="C1137" s="29" t="s">
        <v>2254</v>
      </c>
      <c r="D1137" s="35" t="s">
        <v>908</v>
      </c>
      <c r="E1137" s="21">
        <v>13.92</v>
      </c>
    </row>
    <row r="1138" spans="1:5" ht="30" customHeight="1" x14ac:dyDescent="0.35">
      <c r="A1138">
        <f t="shared" si="21"/>
        <v>1122</v>
      </c>
      <c r="B1138" s="35" t="s">
        <v>2255</v>
      </c>
      <c r="C1138" s="29" t="s">
        <v>2256</v>
      </c>
      <c r="D1138" s="35" t="s">
        <v>908</v>
      </c>
      <c r="E1138" s="21">
        <v>10.08</v>
      </c>
    </row>
    <row r="1139" spans="1:5" ht="30" customHeight="1" x14ac:dyDescent="0.35">
      <c r="A1139">
        <f t="shared" si="21"/>
        <v>1123</v>
      </c>
      <c r="B1139" s="32" t="s">
        <v>2257</v>
      </c>
      <c r="C1139" s="29" t="s">
        <v>2258</v>
      </c>
      <c r="D1139" s="35" t="s">
        <v>908</v>
      </c>
      <c r="E1139" s="21">
        <v>7.56</v>
      </c>
    </row>
    <row r="1140" spans="1:5" ht="30" customHeight="1" x14ac:dyDescent="0.35">
      <c r="A1140">
        <f t="shared" si="21"/>
        <v>1124</v>
      </c>
      <c r="B1140" s="35" t="s">
        <v>2259</v>
      </c>
      <c r="C1140" s="36" t="s">
        <v>2260</v>
      </c>
      <c r="D1140" s="35" t="s">
        <v>31</v>
      </c>
      <c r="E1140" s="21">
        <v>3017.31</v>
      </c>
    </row>
    <row r="1141" spans="1:5" ht="30" customHeight="1" x14ac:dyDescent="0.35">
      <c r="A1141">
        <f t="shared" si="21"/>
        <v>1125</v>
      </c>
      <c r="B1141" s="32" t="s">
        <v>2261</v>
      </c>
      <c r="C1141" s="29" t="s">
        <v>2262</v>
      </c>
      <c r="D1141" s="32" t="s">
        <v>198</v>
      </c>
      <c r="E1141" s="21">
        <v>0.55000000000000004</v>
      </c>
    </row>
    <row r="1142" spans="1:5" ht="30" customHeight="1" x14ac:dyDescent="0.35">
      <c r="A1142">
        <f t="shared" si="21"/>
        <v>1126</v>
      </c>
      <c r="B1142" s="35" t="s">
        <v>2263</v>
      </c>
      <c r="C1142" s="36" t="s">
        <v>2264</v>
      </c>
      <c r="D1142" s="35" t="s">
        <v>14</v>
      </c>
      <c r="E1142" s="21">
        <v>4.8500000000000005</v>
      </c>
    </row>
    <row r="1143" spans="1:5" ht="30" customHeight="1" x14ac:dyDescent="0.35">
      <c r="A1143">
        <f t="shared" si="21"/>
        <v>1127</v>
      </c>
      <c r="B1143" s="32" t="s">
        <v>2265</v>
      </c>
      <c r="C1143" s="29" t="s">
        <v>2266</v>
      </c>
      <c r="D1143" s="32" t="s">
        <v>14</v>
      </c>
      <c r="E1143" s="21">
        <v>10.120000000000001</v>
      </c>
    </row>
    <row r="1144" spans="1:5" ht="30" customHeight="1" x14ac:dyDescent="0.35">
      <c r="A1144">
        <f t="shared" si="21"/>
        <v>1128</v>
      </c>
      <c r="B1144" s="35" t="s">
        <v>2267</v>
      </c>
      <c r="C1144" s="36" t="s">
        <v>2268</v>
      </c>
      <c r="D1144" s="35" t="s">
        <v>14</v>
      </c>
      <c r="E1144" s="21">
        <v>7.7799999999999994</v>
      </c>
    </row>
    <row r="1145" spans="1:5" ht="30" customHeight="1" x14ac:dyDescent="0.35">
      <c r="A1145"/>
      <c r="B1145" s="10" t="s">
        <v>2269</v>
      </c>
      <c r="C1145" s="10"/>
      <c r="D1145" s="63"/>
      <c r="E1145" s="52"/>
    </row>
    <row r="1146" spans="1:5" ht="30" customHeight="1" x14ac:dyDescent="0.35">
      <c r="A1146" s="12">
        <f>A1144+1</f>
        <v>1129</v>
      </c>
      <c r="B1146" s="42" t="s">
        <v>2270</v>
      </c>
      <c r="C1146" s="27" t="s">
        <v>2271</v>
      </c>
      <c r="D1146" s="15" t="s">
        <v>8</v>
      </c>
      <c r="E1146" s="16">
        <v>3.15</v>
      </c>
    </row>
    <row r="1147" spans="1:5" ht="30" customHeight="1" x14ac:dyDescent="0.35">
      <c r="A1147">
        <f t="shared" ref="A1147:A1210" si="22">A1146+1</f>
        <v>1130</v>
      </c>
      <c r="B1147" s="32" t="s">
        <v>2272</v>
      </c>
      <c r="C1147" s="29" t="s">
        <v>2273</v>
      </c>
      <c r="D1147" s="32" t="s">
        <v>31</v>
      </c>
      <c r="E1147" s="21">
        <v>2845.05</v>
      </c>
    </row>
    <row r="1148" spans="1:5" ht="30" customHeight="1" x14ac:dyDescent="0.35">
      <c r="A1148">
        <f t="shared" si="22"/>
        <v>1131</v>
      </c>
      <c r="B1148" s="35" t="s">
        <v>2274</v>
      </c>
      <c r="C1148" s="36" t="s">
        <v>2275</v>
      </c>
      <c r="D1148" s="35" t="s">
        <v>11</v>
      </c>
      <c r="E1148" s="21">
        <v>101.31</v>
      </c>
    </row>
    <row r="1149" spans="1:5" ht="30" customHeight="1" x14ac:dyDescent="0.35">
      <c r="A1149">
        <f t="shared" si="22"/>
        <v>1132</v>
      </c>
      <c r="B1149" s="32" t="s">
        <v>2276</v>
      </c>
      <c r="C1149" s="29" t="s">
        <v>2277</v>
      </c>
      <c r="D1149" s="32" t="s">
        <v>720</v>
      </c>
      <c r="E1149" s="21">
        <v>0.38</v>
      </c>
    </row>
    <row r="1150" spans="1:5" ht="30" customHeight="1" x14ac:dyDescent="0.35">
      <c r="A1150">
        <f t="shared" si="22"/>
        <v>1133</v>
      </c>
      <c r="B1150" s="35" t="s">
        <v>2278</v>
      </c>
      <c r="C1150" s="36" t="s">
        <v>2279</v>
      </c>
      <c r="D1150" s="35" t="s">
        <v>720</v>
      </c>
      <c r="E1150" s="21">
        <v>0.18</v>
      </c>
    </row>
    <row r="1151" spans="1:5" ht="30" customHeight="1" x14ac:dyDescent="0.35">
      <c r="A1151">
        <f t="shared" si="22"/>
        <v>1134</v>
      </c>
      <c r="B1151" s="32" t="s">
        <v>2280</v>
      </c>
      <c r="C1151" s="29" t="s">
        <v>2281</v>
      </c>
      <c r="D1151" s="32" t="s">
        <v>31</v>
      </c>
      <c r="E1151" s="21">
        <v>63.32</v>
      </c>
    </row>
    <row r="1152" spans="1:5" ht="30" customHeight="1" x14ac:dyDescent="0.35">
      <c r="A1152">
        <f t="shared" si="22"/>
        <v>1135</v>
      </c>
      <c r="B1152" s="35" t="s">
        <v>2282</v>
      </c>
      <c r="C1152" s="36" t="s">
        <v>2283</v>
      </c>
      <c r="D1152" s="35" t="s">
        <v>31</v>
      </c>
      <c r="E1152" s="21">
        <v>3442.56</v>
      </c>
    </row>
    <row r="1153" spans="1:5" ht="30" customHeight="1" x14ac:dyDescent="0.35">
      <c r="A1153">
        <f t="shared" si="22"/>
        <v>1136</v>
      </c>
      <c r="B1153" s="32" t="s">
        <v>2284</v>
      </c>
      <c r="C1153" s="29" t="s">
        <v>2285</v>
      </c>
      <c r="D1153" s="32" t="s">
        <v>11</v>
      </c>
      <c r="E1153" s="21">
        <v>42.22</v>
      </c>
    </row>
    <row r="1154" spans="1:5" ht="30" customHeight="1" x14ac:dyDescent="0.35">
      <c r="A1154">
        <f t="shared" si="22"/>
        <v>1137</v>
      </c>
      <c r="B1154" s="35" t="s">
        <v>2286</v>
      </c>
      <c r="C1154" s="36" t="s">
        <v>2287</v>
      </c>
      <c r="D1154" s="35" t="s">
        <v>31</v>
      </c>
      <c r="E1154" s="21">
        <v>3442.56</v>
      </c>
    </row>
    <row r="1155" spans="1:5" ht="30" customHeight="1" x14ac:dyDescent="0.35">
      <c r="A1155">
        <f t="shared" si="22"/>
        <v>1138</v>
      </c>
      <c r="B1155" s="32" t="s">
        <v>2288</v>
      </c>
      <c r="C1155" s="29" t="s">
        <v>2289</v>
      </c>
      <c r="D1155" s="32" t="s">
        <v>11</v>
      </c>
      <c r="E1155" s="21">
        <v>42.22</v>
      </c>
    </row>
    <row r="1156" spans="1:5" ht="30" customHeight="1" x14ac:dyDescent="0.35">
      <c r="A1156">
        <f t="shared" si="22"/>
        <v>1139</v>
      </c>
      <c r="B1156" s="35" t="s">
        <v>2290</v>
      </c>
      <c r="C1156" s="36" t="s">
        <v>2291</v>
      </c>
      <c r="D1156" s="35" t="s">
        <v>31</v>
      </c>
      <c r="E1156" s="21">
        <v>83.100000000000009</v>
      </c>
    </row>
    <row r="1157" spans="1:5" ht="30" customHeight="1" x14ac:dyDescent="0.35">
      <c r="A1157">
        <f t="shared" si="22"/>
        <v>1140</v>
      </c>
      <c r="B1157" s="32" t="s">
        <v>2292</v>
      </c>
      <c r="C1157" s="29" t="s">
        <v>2293</v>
      </c>
      <c r="D1157" s="32" t="s">
        <v>31</v>
      </c>
      <c r="E1157" s="21">
        <v>105.93</v>
      </c>
    </row>
    <row r="1158" spans="1:5" ht="30" customHeight="1" x14ac:dyDescent="0.35">
      <c r="A1158">
        <f t="shared" si="22"/>
        <v>1141</v>
      </c>
      <c r="B1158" s="35" t="s">
        <v>2294</v>
      </c>
      <c r="C1158" s="36" t="s">
        <v>2295</v>
      </c>
      <c r="D1158" s="35" t="s">
        <v>31</v>
      </c>
      <c r="E1158" s="21">
        <v>91.02000000000001</v>
      </c>
    </row>
    <row r="1159" spans="1:5" ht="30" customHeight="1" x14ac:dyDescent="0.35">
      <c r="A1159">
        <f t="shared" si="22"/>
        <v>1142</v>
      </c>
      <c r="B1159" s="32" t="s">
        <v>2296</v>
      </c>
      <c r="C1159" s="29" t="s">
        <v>2297</v>
      </c>
      <c r="D1159" s="32" t="s">
        <v>31</v>
      </c>
      <c r="E1159" s="21">
        <v>485.44</v>
      </c>
    </row>
    <row r="1160" spans="1:5" ht="30" customHeight="1" x14ac:dyDescent="0.35">
      <c r="A1160">
        <f t="shared" si="22"/>
        <v>1143</v>
      </c>
      <c r="B1160" s="35" t="s">
        <v>2298</v>
      </c>
      <c r="C1160" s="36" t="s">
        <v>2299</v>
      </c>
      <c r="D1160" s="35" t="s">
        <v>31</v>
      </c>
      <c r="E1160" s="21">
        <v>63.32</v>
      </c>
    </row>
    <row r="1161" spans="1:5" ht="30" customHeight="1" x14ac:dyDescent="0.35">
      <c r="A1161">
        <f t="shared" si="22"/>
        <v>1144</v>
      </c>
      <c r="B1161" s="32" t="s">
        <v>2300</v>
      </c>
      <c r="C1161" s="29" t="s">
        <v>2301</v>
      </c>
      <c r="D1161" s="32" t="s">
        <v>31</v>
      </c>
      <c r="E1161" s="21">
        <v>120.69000000000001</v>
      </c>
    </row>
    <row r="1162" spans="1:5" ht="30" customHeight="1" x14ac:dyDescent="0.35">
      <c r="A1162">
        <f t="shared" si="22"/>
        <v>1145</v>
      </c>
      <c r="B1162" s="35" t="s">
        <v>2302</v>
      </c>
      <c r="C1162" s="36" t="s">
        <v>2303</v>
      </c>
      <c r="D1162" s="35" t="s">
        <v>31</v>
      </c>
      <c r="E1162" s="21">
        <v>84.42</v>
      </c>
    </row>
    <row r="1163" spans="1:5" ht="30" customHeight="1" x14ac:dyDescent="0.35">
      <c r="A1163">
        <f t="shared" si="22"/>
        <v>1146</v>
      </c>
      <c r="B1163" s="32" t="s">
        <v>2304</v>
      </c>
      <c r="C1163" s="29" t="s">
        <v>2305</v>
      </c>
      <c r="D1163" s="32" t="s">
        <v>11</v>
      </c>
      <c r="E1163" s="21">
        <v>65.430000000000007</v>
      </c>
    </row>
    <row r="1164" spans="1:5" ht="30" customHeight="1" x14ac:dyDescent="0.35">
      <c r="A1164">
        <f t="shared" si="22"/>
        <v>1147</v>
      </c>
      <c r="B1164" s="32" t="s">
        <v>2306</v>
      </c>
      <c r="C1164" s="29" t="s">
        <v>2307</v>
      </c>
      <c r="D1164" s="32" t="s">
        <v>14</v>
      </c>
      <c r="E1164" s="21">
        <v>0.13999999999999999</v>
      </c>
    </row>
    <row r="1165" spans="1:5" ht="30" customHeight="1" x14ac:dyDescent="0.35">
      <c r="A1165">
        <f t="shared" si="22"/>
        <v>1148</v>
      </c>
      <c r="B1165" s="35" t="s">
        <v>2308</v>
      </c>
      <c r="C1165" s="36" t="s">
        <v>2309</v>
      </c>
      <c r="D1165" s="35" t="s">
        <v>14</v>
      </c>
      <c r="E1165" s="21">
        <v>0.13999999999999999</v>
      </c>
    </row>
    <row r="1166" spans="1:5" ht="30" customHeight="1" x14ac:dyDescent="0.35">
      <c r="A1166">
        <f t="shared" si="22"/>
        <v>1149</v>
      </c>
      <c r="B1166" s="32" t="s">
        <v>2310</v>
      </c>
      <c r="C1166" s="29" t="s">
        <v>2311</v>
      </c>
      <c r="D1166" s="32" t="s">
        <v>31</v>
      </c>
      <c r="E1166" s="21">
        <v>4456.2400000000007</v>
      </c>
    </row>
    <row r="1167" spans="1:5" ht="30" customHeight="1" x14ac:dyDescent="0.35">
      <c r="A1167">
        <f t="shared" si="22"/>
        <v>1150</v>
      </c>
      <c r="B1167" s="35" t="s">
        <v>2312</v>
      </c>
      <c r="C1167" s="36" t="s">
        <v>2313</v>
      </c>
      <c r="D1167" s="35" t="s">
        <v>31</v>
      </c>
      <c r="E1167" s="21">
        <v>998.42</v>
      </c>
    </row>
    <row r="1168" spans="1:5" ht="30" customHeight="1" x14ac:dyDescent="0.35">
      <c r="A1168">
        <f t="shared" si="22"/>
        <v>1151</v>
      </c>
      <c r="B1168" s="32" t="s">
        <v>2314</v>
      </c>
      <c r="C1168" s="29" t="s">
        <v>2315</v>
      </c>
      <c r="D1168" s="32" t="s">
        <v>720</v>
      </c>
      <c r="E1168" s="21">
        <v>0.59</v>
      </c>
    </row>
    <row r="1169" spans="1:5" ht="30" customHeight="1" x14ac:dyDescent="0.35">
      <c r="A1169">
        <f t="shared" si="22"/>
        <v>1152</v>
      </c>
      <c r="B1169" s="35" t="s">
        <v>2316</v>
      </c>
      <c r="C1169" s="36" t="s">
        <v>2317</v>
      </c>
      <c r="D1169" s="35" t="s">
        <v>720</v>
      </c>
      <c r="E1169" s="21">
        <v>0.39999999999999997</v>
      </c>
    </row>
    <row r="1170" spans="1:5" ht="30" customHeight="1" x14ac:dyDescent="0.35">
      <c r="A1170">
        <f t="shared" si="22"/>
        <v>1153</v>
      </c>
      <c r="B1170" s="32" t="s">
        <v>2318</v>
      </c>
      <c r="C1170" s="29" t="s">
        <v>2319</v>
      </c>
      <c r="D1170" s="23" t="s">
        <v>48</v>
      </c>
      <c r="E1170" s="21">
        <v>5318.35</v>
      </c>
    </row>
    <row r="1171" spans="1:5" ht="30" customHeight="1" x14ac:dyDescent="0.35">
      <c r="A1171">
        <f t="shared" si="22"/>
        <v>1154</v>
      </c>
      <c r="B1171" s="35" t="s">
        <v>2320</v>
      </c>
      <c r="C1171" s="36" t="s">
        <v>2321</v>
      </c>
      <c r="D1171" s="23" t="s">
        <v>48</v>
      </c>
      <c r="E1171" s="21">
        <v>3942.0600000000004</v>
      </c>
    </row>
    <row r="1172" spans="1:5" ht="30" customHeight="1" x14ac:dyDescent="0.35">
      <c r="A1172">
        <f t="shared" si="22"/>
        <v>1155</v>
      </c>
      <c r="B1172" s="32" t="s">
        <v>2322</v>
      </c>
      <c r="C1172" s="29" t="s">
        <v>2323</v>
      </c>
      <c r="D1172" s="23" t="s">
        <v>48</v>
      </c>
      <c r="E1172" s="21">
        <v>5408.06</v>
      </c>
    </row>
    <row r="1173" spans="1:5" ht="30" customHeight="1" x14ac:dyDescent="0.35">
      <c r="A1173">
        <f t="shared" si="22"/>
        <v>1156</v>
      </c>
      <c r="B1173" s="35" t="s">
        <v>2324</v>
      </c>
      <c r="C1173" s="36" t="s">
        <v>2325</v>
      </c>
      <c r="D1173" s="35" t="s">
        <v>720</v>
      </c>
      <c r="E1173" s="21">
        <v>44.940000000000005</v>
      </c>
    </row>
    <row r="1174" spans="1:5" ht="30" customHeight="1" x14ac:dyDescent="0.35">
      <c r="A1174">
        <f t="shared" si="22"/>
        <v>1157</v>
      </c>
      <c r="B1174" s="32" t="s">
        <v>2326</v>
      </c>
      <c r="C1174" s="29" t="s">
        <v>2327</v>
      </c>
      <c r="D1174" s="23" t="s">
        <v>48</v>
      </c>
      <c r="E1174" s="21">
        <v>291.20999999999998</v>
      </c>
    </row>
    <row r="1175" spans="1:5" ht="30" customHeight="1" x14ac:dyDescent="0.35">
      <c r="A1175">
        <f t="shared" si="22"/>
        <v>1158</v>
      </c>
      <c r="B1175" s="35" t="s">
        <v>2328</v>
      </c>
      <c r="C1175" s="36" t="s">
        <v>2329</v>
      </c>
      <c r="D1175" s="23" t="s">
        <v>48</v>
      </c>
      <c r="E1175" s="21">
        <v>815.37</v>
      </c>
    </row>
    <row r="1176" spans="1:5" ht="30" customHeight="1" x14ac:dyDescent="0.35">
      <c r="A1176" s="12">
        <f t="shared" si="22"/>
        <v>1159</v>
      </c>
      <c r="B1176" s="42" t="s">
        <v>2330</v>
      </c>
      <c r="C1176" s="27" t="s">
        <v>2331</v>
      </c>
      <c r="D1176" s="26" t="s">
        <v>48</v>
      </c>
      <c r="E1176" s="16">
        <v>806.54</v>
      </c>
    </row>
    <row r="1177" spans="1:5" ht="30" customHeight="1" x14ac:dyDescent="0.35">
      <c r="A1177" s="12">
        <f t="shared" si="22"/>
        <v>1160</v>
      </c>
      <c r="B1177" s="28" t="s">
        <v>2332</v>
      </c>
      <c r="C1177" s="41" t="s">
        <v>2333</v>
      </c>
      <c r="D1177" s="26" t="s">
        <v>48</v>
      </c>
      <c r="E1177" s="16">
        <v>349.78</v>
      </c>
    </row>
    <row r="1178" spans="1:5" ht="30" customHeight="1" x14ac:dyDescent="0.35">
      <c r="A1178" s="12">
        <f t="shared" si="22"/>
        <v>1161</v>
      </c>
      <c r="B1178" s="42" t="s">
        <v>2334</v>
      </c>
      <c r="C1178" s="27" t="s">
        <v>2335</v>
      </c>
      <c r="D1178" s="26" t="s">
        <v>48</v>
      </c>
      <c r="E1178" s="16">
        <v>109.31</v>
      </c>
    </row>
    <row r="1179" spans="1:5" ht="30" customHeight="1" x14ac:dyDescent="0.35">
      <c r="A1179">
        <f t="shared" si="22"/>
        <v>1162</v>
      </c>
      <c r="B1179" s="35" t="s">
        <v>2336</v>
      </c>
      <c r="C1179" s="36" t="s">
        <v>2337</v>
      </c>
      <c r="D1179" s="35" t="s">
        <v>31</v>
      </c>
      <c r="E1179" s="21">
        <v>72384.639999999999</v>
      </c>
    </row>
    <row r="1180" spans="1:5" ht="30" customHeight="1" x14ac:dyDescent="0.35">
      <c r="A1180">
        <f t="shared" si="22"/>
        <v>1163</v>
      </c>
      <c r="B1180" s="32" t="s">
        <v>2338</v>
      </c>
      <c r="C1180" s="29" t="s">
        <v>2339</v>
      </c>
      <c r="D1180" s="32" t="s">
        <v>710</v>
      </c>
      <c r="E1180" s="21">
        <v>31528.7</v>
      </c>
    </row>
    <row r="1181" spans="1:5" ht="30" customHeight="1" x14ac:dyDescent="0.35">
      <c r="A1181">
        <f t="shared" si="22"/>
        <v>1164</v>
      </c>
      <c r="B1181" s="35" t="s">
        <v>2340</v>
      </c>
      <c r="C1181" s="36" t="s">
        <v>2341</v>
      </c>
      <c r="D1181" s="35" t="s">
        <v>710</v>
      </c>
      <c r="E1181" s="21">
        <v>33192.71</v>
      </c>
    </row>
    <row r="1182" spans="1:5" ht="30" customHeight="1" x14ac:dyDescent="0.35">
      <c r="A1182">
        <f t="shared" si="22"/>
        <v>1165</v>
      </c>
      <c r="B1182" s="32" t="s">
        <v>2342</v>
      </c>
      <c r="C1182" s="29" t="s">
        <v>1775</v>
      </c>
      <c r="D1182" s="23" t="s">
        <v>48</v>
      </c>
      <c r="E1182" s="21">
        <v>373.74</v>
      </c>
    </row>
    <row r="1183" spans="1:5" ht="30" customHeight="1" x14ac:dyDescent="0.35">
      <c r="A1183" s="12">
        <f t="shared" si="22"/>
        <v>1166</v>
      </c>
      <c r="B1183" s="42" t="s">
        <v>2343</v>
      </c>
      <c r="C1183" s="27" t="s">
        <v>63</v>
      </c>
      <c r="D1183" s="15" t="s">
        <v>8</v>
      </c>
      <c r="E1183" s="16">
        <v>2.66</v>
      </c>
    </row>
    <row r="1184" spans="1:5" ht="30" customHeight="1" x14ac:dyDescent="0.35">
      <c r="A1184">
        <f t="shared" si="22"/>
        <v>1167</v>
      </c>
      <c r="B1184" s="35" t="s">
        <v>2344</v>
      </c>
      <c r="C1184" s="36" t="s">
        <v>2345</v>
      </c>
      <c r="D1184" s="23" t="s">
        <v>48</v>
      </c>
      <c r="E1184" s="21">
        <v>1248.02</v>
      </c>
    </row>
    <row r="1185" spans="1:5" ht="30" customHeight="1" x14ac:dyDescent="0.35">
      <c r="A1185">
        <f t="shared" si="22"/>
        <v>1168</v>
      </c>
      <c r="B1185" s="32" t="s">
        <v>2346</v>
      </c>
      <c r="C1185" s="29" t="s">
        <v>2347</v>
      </c>
      <c r="D1185" s="23" t="s">
        <v>48</v>
      </c>
      <c r="E1185" s="21">
        <v>389.97</v>
      </c>
    </row>
    <row r="1186" spans="1:5" ht="30" customHeight="1" x14ac:dyDescent="0.35">
      <c r="A1186">
        <f t="shared" si="22"/>
        <v>1169</v>
      </c>
      <c r="B1186" s="35" t="s">
        <v>2348</v>
      </c>
      <c r="C1186" s="36" t="s">
        <v>2349</v>
      </c>
      <c r="D1186" s="35" t="s">
        <v>31</v>
      </c>
      <c r="E1186" s="21">
        <v>43789.86</v>
      </c>
    </row>
    <row r="1187" spans="1:5" ht="30" customHeight="1" x14ac:dyDescent="0.35">
      <c r="A1187" s="12">
        <f t="shared" si="22"/>
        <v>1170</v>
      </c>
      <c r="B1187" s="42" t="s">
        <v>2350</v>
      </c>
      <c r="C1187" s="27" t="s">
        <v>2351</v>
      </c>
      <c r="D1187" s="26" t="s">
        <v>48</v>
      </c>
      <c r="E1187" s="16">
        <v>721.64</v>
      </c>
    </row>
    <row r="1188" spans="1:5" ht="30" customHeight="1" x14ac:dyDescent="0.35">
      <c r="A1188">
        <f t="shared" si="22"/>
        <v>1171</v>
      </c>
      <c r="B1188" s="35" t="s">
        <v>2352</v>
      </c>
      <c r="C1188" s="36" t="s">
        <v>2353</v>
      </c>
      <c r="D1188" s="23" t="s">
        <v>48</v>
      </c>
      <c r="E1188" s="21">
        <v>1640.6399999999999</v>
      </c>
    </row>
    <row r="1189" spans="1:5" ht="30" customHeight="1" x14ac:dyDescent="0.35">
      <c r="A1189">
        <f t="shared" si="22"/>
        <v>1172</v>
      </c>
      <c r="B1189" s="32" t="s">
        <v>2354</v>
      </c>
      <c r="C1189" s="29" t="s">
        <v>2355</v>
      </c>
      <c r="D1189" s="23" t="s">
        <v>48</v>
      </c>
      <c r="E1189" s="21">
        <v>2207.4499999999998</v>
      </c>
    </row>
    <row r="1190" spans="1:5" ht="30" customHeight="1" x14ac:dyDescent="0.35">
      <c r="A1190">
        <f t="shared" si="22"/>
        <v>1173</v>
      </c>
      <c r="B1190" s="35" t="s">
        <v>2356</v>
      </c>
      <c r="C1190" s="36" t="s">
        <v>2357</v>
      </c>
      <c r="D1190" s="35" t="s">
        <v>59</v>
      </c>
      <c r="E1190" s="21">
        <v>2951.72</v>
      </c>
    </row>
    <row r="1191" spans="1:5" ht="30" customHeight="1" x14ac:dyDescent="0.35">
      <c r="A1191" s="12">
        <f t="shared" si="22"/>
        <v>1174</v>
      </c>
      <c r="B1191" s="28" t="s">
        <v>2358</v>
      </c>
      <c r="C1191" s="41" t="s">
        <v>2359</v>
      </c>
      <c r="D1191" s="26" t="s">
        <v>48</v>
      </c>
      <c r="E1191" s="16">
        <v>766.73</v>
      </c>
    </row>
    <row r="1192" spans="1:5" ht="30" customHeight="1" x14ac:dyDescent="0.35">
      <c r="A1192" s="12">
        <f t="shared" si="22"/>
        <v>1175</v>
      </c>
      <c r="B1192" s="42" t="s">
        <v>2360</v>
      </c>
      <c r="C1192" s="27" t="s">
        <v>2361</v>
      </c>
      <c r="D1192" s="26" t="s">
        <v>48</v>
      </c>
      <c r="E1192" s="16">
        <v>764.32</v>
      </c>
    </row>
    <row r="1193" spans="1:5" ht="30" customHeight="1" x14ac:dyDescent="0.35">
      <c r="A1193" s="12">
        <f t="shared" si="22"/>
        <v>1176</v>
      </c>
      <c r="B1193" s="42" t="s">
        <v>2362</v>
      </c>
      <c r="C1193" s="27" t="s">
        <v>2363</v>
      </c>
      <c r="D1193" s="15" t="s">
        <v>8</v>
      </c>
      <c r="E1193" s="16">
        <v>3.15</v>
      </c>
    </row>
    <row r="1194" spans="1:5" ht="30" customHeight="1" x14ac:dyDescent="0.35">
      <c r="A1194">
        <f t="shared" si="22"/>
        <v>1177</v>
      </c>
      <c r="B1194" s="35" t="s">
        <v>2364</v>
      </c>
      <c r="C1194" s="36" t="s">
        <v>2365</v>
      </c>
      <c r="D1194" s="23" t="s">
        <v>48</v>
      </c>
      <c r="E1194" s="21">
        <v>1242.6200000000001</v>
      </c>
    </row>
    <row r="1195" spans="1:5" ht="30" customHeight="1" x14ac:dyDescent="0.35">
      <c r="A1195">
        <f t="shared" si="22"/>
        <v>1178</v>
      </c>
      <c r="B1195" s="35" t="s">
        <v>2366</v>
      </c>
      <c r="C1195" s="36" t="s">
        <v>2367</v>
      </c>
      <c r="D1195" s="35" t="s">
        <v>31</v>
      </c>
      <c r="E1195" s="21">
        <v>1650.52</v>
      </c>
    </row>
    <row r="1196" spans="1:5" ht="30" customHeight="1" x14ac:dyDescent="0.35">
      <c r="A1196">
        <f t="shared" si="22"/>
        <v>1179</v>
      </c>
      <c r="B1196" s="32" t="s">
        <v>2368</v>
      </c>
      <c r="C1196" s="29" t="s">
        <v>2369</v>
      </c>
      <c r="D1196" s="32" t="s">
        <v>11</v>
      </c>
      <c r="E1196" s="21">
        <v>148.26</v>
      </c>
    </row>
    <row r="1197" spans="1:5" ht="30" customHeight="1" x14ac:dyDescent="0.35">
      <c r="A1197">
        <f t="shared" si="22"/>
        <v>1180</v>
      </c>
      <c r="B1197" s="32" t="s">
        <v>2370</v>
      </c>
      <c r="C1197" s="29" t="s">
        <v>2371</v>
      </c>
      <c r="D1197" s="32" t="s">
        <v>11</v>
      </c>
      <c r="E1197" s="21">
        <v>55.73</v>
      </c>
    </row>
    <row r="1198" spans="1:5" ht="30" customHeight="1" x14ac:dyDescent="0.35">
      <c r="A1198">
        <f t="shared" si="22"/>
        <v>1181</v>
      </c>
      <c r="B1198" s="35" t="s">
        <v>2372</v>
      </c>
      <c r="C1198" s="36" t="s">
        <v>2373</v>
      </c>
      <c r="D1198" s="35" t="s">
        <v>31</v>
      </c>
      <c r="E1198" s="21">
        <v>897.42000000000007</v>
      </c>
    </row>
    <row r="1199" spans="1:5" ht="30" customHeight="1" x14ac:dyDescent="0.35">
      <c r="A1199">
        <f t="shared" si="22"/>
        <v>1182</v>
      </c>
      <c r="B1199" s="32" t="s">
        <v>2374</v>
      </c>
      <c r="C1199" s="29" t="s">
        <v>2375</v>
      </c>
      <c r="D1199" s="32" t="s">
        <v>31</v>
      </c>
      <c r="E1199" s="21">
        <v>897.42000000000007</v>
      </c>
    </row>
    <row r="1200" spans="1:5" ht="30" customHeight="1" x14ac:dyDescent="0.35">
      <c r="A1200">
        <f t="shared" si="22"/>
        <v>1183</v>
      </c>
      <c r="B1200" s="35" t="s">
        <v>2376</v>
      </c>
      <c r="C1200" s="36" t="s">
        <v>2377</v>
      </c>
      <c r="D1200" s="35" t="s">
        <v>31</v>
      </c>
      <c r="E1200" s="21">
        <v>65.100000000000009</v>
      </c>
    </row>
    <row r="1201" spans="1:5" ht="30" customHeight="1" x14ac:dyDescent="0.35">
      <c r="A1201">
        <f t="shared" si="22"/>
        <v>1184</v>
      </c>
      <c r="B1201" s="32" t="s">
        <v>2378</v>
      </c>
      <c r="C1201" s="29" t="s">
        <v>2379</v>
      </c>
      <c r="D1201" s="23" t="s">
        <v>48</v>
      </c>
      <c r="E1201" s="21">
        <v>545.30999999999995</v>
      </c>
    </row>
    <row r="1202" spans="1:5" ht="30" customHeight="1" x14ac:dyDescent="0.35">
      <c r="A1202" s="12">
        <f t="shared" si="22"/>
        <v>1185</v>
      </c>
      <c r="B1202" s="28" t="s">
        <v>2380</v>
      </c>
      <c r="C1202" s="41" t="s">
        <v>2381</v>
      </c>
      <c r="D1202" s="15" t="s">
        <v>8</v>
      </c>
      <c r="E1202" s="16">
        <v>3.15</v>
      </c>
    </row>
    <row r="1203" spans="1:5" ht="30" customHeight="1" x14ac:dyDescent="0.35">
      <c r="A1203">
        <f t="shared" si="22"/>
        <v>1186</v>
      </c>
      <c r="B1203" s="32" t="s">
        <v>2382</v>
      </c>
      <c r="C1203" s="29" t="s">
        <v>2383</v>
      </c>
      <c r="D1203" s="32" t="s">
        <v>31</v>
      </c>
      <c r="E1203" s="21">
        <v>5784.53</v>
      </c>
    </row>
    <row r="1204" spans="1:5" ht="30" customHeight="1" x14ac:dyDescent="0.35">
      <c r="A1204">
        <f t="shared" si="22"/>
        <v>1187</v>
      </c>
      <c r="B1204" s="35" t="s">
        <v>2384</v>
      </c>
      <c r="C1204" s="36" t="s">
        <v>2385</v>
      </c>
      <c r="D1204" s="35" t="s">
        <v>31</v>
      </c>
      <c r="E1204" s="21">
        <v>5784.53</v>
      </c>
    </row>
    <row r="1205" spans="1:5" ht="30" customHeight="1" x14ac:dyDescent="0.35">
      <c r="A1205" s="12">
        <f t="shared" si="22"/>
        <v>1188</v>
      </c>
      <c r="B1205" s="42" t="s">
        <v>2386</v>
      </c>
      <c r="C1205" s="27" t="s">
        <v>2387</v>
      </c>
      <c r="D1205" s="15" t="s">
        <v>8</v>
      </c>
      <c r="E1205" s="16">
        <v>3.15</v>
      </c>
    </row>
    <row r="1206" spans="1:5" ht="30" customHeight="1" x14ac:dyDescent="0.35">
      <c r="A1206" s="12">
        <f t="shared" si="22"/>
        <v>1189</v>
      </c>
      <c r="B1206" s="28" t="s">
        <v>2388</v>
      </c>
      <c r="C1206" s="41" t="s">
        <v>2389</v>
      </c>
      <c r="D1206" s="26" t="s">
        <v>48</v>
      </c>
      <c r="E1206" s="16">
        <v>806.54</v>
      </c>
    </row>
    <row r="1207" spans="1:5" ht="30" customHeight="1" x14ac:dyDescent="0.35">
      <c r="A1207" s="12">
        <f t="shared" si="22"/>
        <v>1190</v>
      </c>
      <c r="B1207" s="42" t="s">
        <v>2390</v>
      </c>
      <c r="C1207" s="27" t="s">
        <v>2391</v>
      </c>
      <c r="D1207" s="26" t="s">
        <v>48</v>
      </c>
      <c r="E1207" s="16">
        <v>349.78</v>
      </c>
    </row>
    <row r="1208" spans="1:5" ht="30" customHeight="1" x14ac:dyDescent="0.35">
      <c r="A1208" s="12">
        <f t="shared" si="22"/>
        <v>1191</v>
      </c>
      <c r="B1208" s="28" t="s">
        <v>2392</v>
      </c>
      <c r="C1208" s="41" t="s">
        <v>2393</v>
      </c>
      <c r="D1208" s="26" t="s">
        <v>48</v>
      </c>
      <c r="E1208" s="16">
        <v>109.31</v>
      </c>
    </row>
    <row r="1209" spans="1:5" ht="30" customHeight="1" x14ac:dyDescent="0.35">
      <c r="A1209" s="12">
        <f t="shared" si="22"/>
        <v>1192</v>
      </c>
      <c r="B1209" s="42" t="s">
        <v>2394</v>
      </c>
      <c r="C1209" s="27" t="s">
        <v>63</v>
      </c>
      <c r="D1209" s="15" t="s">
        <v>8</v>
      </c>
      <c r="E1209" s="16">
        <v>2.66</v>
      </c>
    </row>
    <row r="1210" spans="1:5" ht="30" customHeight="1" x14ac:dyDescent="0.35">
      <c r="A1210">
        <f t="shared" si="22"/>
        <v>1193</v>
      </c>
      <c r="B1210" s="35" t="s">
        <v>2395</v>
      </c>
      <c r="C1210" s="36" t="s">
        <v>2396</v>
      </c>
      <c r="D1210" s="35" t="s">
        <v>31</v>
      </c>
      <c r="E1210" s="21">
        <v>17515.95</v>
      </c>
    </row>
    <row r="1211" spans="1:5" ht="30" customHeight="1" x14ac:dyDescent="0.35">
      <c r="A1211">
        <f t="shared" ref="A1211:A1228" si="23">A1210+1</f>
        <v>1194</v>
      </c>
      <c r="B1211" s="32" t="s">
        <v>2397</v>
      </c>
      <c r="C1211" s="36" t="s">
        <v>2398</v>
      </c>
      <c r="D1211" s="64" t="s">
        <v>720</v>
      </c>
      <c r="E1211" s="21">
        <v>1.03</v>
      </c>
    </row>
    <row r="1212" spans="1:5" ht="30" customHeight="1" x14ac:dyDescent="0.35">
      <c r="A1212">
        <f t="shared" si="23"/>
        <v>1195</v>
      </c>
      <c r="B1212" s="32" t="s">
        <v>2399</v>
      </c>
      <c r="C1212" s="29" t="s">
        <v>2400</v>
      </c>
      <c r="D1212" s="65" t="s">
        <v>720</v>
      </c>
      <c r="E1212" s="21">
        <v>1.03</v>
      </c>
    </row>
    <row r="1213" spans="1:5" ht="30" customHeight="1" x14ac:dyDescent="0.35">
      <c r="A1213">
        <f t="shared" si="23"/>
        <v>1196</v>
      </c>
      <c r="B1213" s="32" t="s">
        <v>2401</v>
      </c>
      <c r="C1213" s="29" t="s">
        <v>2402</v>
      </c>
      <c r="D1213" s="32" t="s">
        <v>31</v>
      </c>
      <c r="E1213" s="21">
        <v>173.72</v>
      </c>
    </row>
    <row r="1214" spans="1:5" ht="30" customHeight="1" x14ac:dyDescent="0.35">
      <c r="A1214">
        <f t="shared" si="23"/>
        <v>1197</v>
      </c>
      <c r="B1214" s="32" t="s">
        <v>2403</v>
      </c>
      <c r="C1214" s="36" t="s">
        <v>2404</v>
      </c>
      <c r="D1214" s="64" t="s">
        <v>720</v>
      </c>
      <c r="E1214" s="21">
        <v>0.36</v>
      </c>
    </row>
    <row r="1215" spans="1:5" ht="30" customHeight="1" x14ac:dyDescent="0.35">
      <c r="A1215">
        <f t="shared" si="23"/>
        <v>1198</v>
      </c>
      <c r="B1215" s="32" t="s">
        <v>2405</v>
      </c>
      <c r="C1215" s="29" t="s">
        <v>2406</v>
      </c>
      <c r="D1215" s="65" t="s">
        <v>720</v>
      </c>
      <c r="E1215" s="21">
        <v>0.36</v>
      </c>
    </row>
    <row r="1216" spans="1:5" ht="30" customHeight="1" x14ac:dyDescent="0.35">
      <c r="A1216">
        <f t="shared" si="23"/>
        <v>1199</v>
      </c>
      <c r="B1216" s="32" t="s">
        <v>2407</v>
      </c>
      <c r="C1216" s="36" t="s">
        <v>2408</v>
      </c>
      <c r="D1216" s="32" t="s">
        <v>31</v>
      </c>
      <c r="E1216" s="21">
        <v>177.57999999999998</v>
      </c>
    </row>
    <row r="1217" spans="1:5" ht="30" customHeight="1" x14ac:dyDescent="0.35">
      <c r="A1217">
        <f t="shared" si="23"/>
        <v>1200</v>
      </c>
      <c r="B1217" s="32" t="s">
        <v>2409</v>
      </c>
      <c r="C1217" s="66" t="s">
        <v>2410</v>
      </c>
      <c r="D1217" s="32" t="s">
        <v>31</v>
      </c>
      <c r="E1217" s="21">
        <v>1590.27</v>
      </c>
    </row>
    <row r="1218" spans="1:5" ht="30" customHeight="1" x14ac:dyDescent="0.35">
      <c r="A1218">
        <f t="shared" si="23"/>
        <v>1201</v>
      </c>
      <c r="B1218" s="32" t="s">
        <v>2411</v>
      </c>
      <c r="C1218" s="66" t="s">
        <v>2412</v>
      </c>
      <c r="D1218" s="32" t="s">
        <v>31</v>
      </c>
      <c r="E1218" s="21">
        <v>1481.8</v>
      </c>
    </row>
    <row r="1219" spans="1:5" ht="30" customHeight="1" x14ac:dyDescent="0.35">
      <c r="A1219">
        <f t="shared" si="23"/>
        <v>1202</v>
      </c>
      <c r="B1219" s="32" t="s">
        <v>2413</v>
      </c>
      <c r="C1219" s="66" t="s">
        <v>2414</v>
      </c>
      <c r="D1219" s="65" t="s">
        <v>720</v>
      </c>
      <c r="E1219" s="21">
        <v>0.52</v>
      </c>
    </row>
    <row r="1220" spans="1:5" ht="30" customHeight="1" x14ac:dyDescent="0.35">
      <c r="A1220">
        <f t="shared" si="23"/>
        <v>1203</v>
      </c>
      <c r="B1220" s="32" t="s">
        <v>2415</v>
      </c>
      <c r="C1220" s="67" t="s">
        <v>2416</v>
      </c>
      <c r="D1220" s="32" t="s">
        <v>31</v>
      </c>
      <c r="E1220" s="21">
        <v>1703.35</v>
      </c>
    </row>
    <row r="1221" spans="1:5" ht="30" customHeight="1" x14ac:dyDescent="0.35">
      <c r="A1221">
        <f t="shared" si="23"/>
        <v>1204</v>
      </c>
      <c r="B1221" s="32" t="s">
        <v>2417</v>
      </c>
      <c r="C1221" s="68" t="s">
        <v>2418</v>
      </c>
      <c r="D1221" s="32" t="s">
        <v>31</v>
      </c>
      <c r="E1221" s="21">
        <v>17344.060000000001</v>
      </c>
    </row>
    <row r="1222" spans="1:5" ht="30" customHeight="1" x14ac:dyDescent="0.35">
      <c r="A1222">
        <f t="shared" si="23"/>
        <v>1205</v>
      </c>
      <c r="B1222" s="32" t="s">
        <v>2419</v>
      </c>
      <c r="C1222" s="68" t="s">
        <v>2420</v>
      </c>
      <c r="D1222" s="32" t="s">
        <v>31</v>
      </c>
      <c r="E1222" s="21">
        <v>34010.850000000006</v>
      </c>
    </row>
    <row r="1223" spans="1:5" ht="30" customHeight="1" x14ac:dyDescent="0.35">
      <c r="A1223">
        <f t="shared" si="23"/>
        <v>1206</v>
      </c>
      <c r="B1223" s="35" t="s">
        <v>2421</v>
      </c>
      <c r="C1223" s="36" t="s">
        <v>2422</v>
      </c>
      <c r="D1223" s="35" t="s">
        <v>720</v>
      </c>
      <c r="E1223" s="21">
        <v>4.41</v>
      </c>
    </row>
    <row r="1224" spans="1:5" ht="30" customHeight="1" x14ac:dyDescent="0.35">
      <c r="A1224">
        <f t="shared" si="23"/>
        <v>1207</v>
      </c>
      <c r="B1224" s="32" t="s">
        <v>2423</v>
      </c>
      <c r="C1224" s="29" t="s">
        <v>2424</v>
      </c>
      <c r="D1224" s="32" t="s">
        <v>720</v>
      </c>
      <c r="E1224" s="21">
        <v>6.73</v>
      </c>
    </row>
    <row r="1225" spans="1:5" ht="30" customHeight="1" x14ac:dyDescent="0.35">
      <c r="A1225">
        <f t="shared" si="23"/>
        <v>1208</v>
      </c>
      <c r="B1225" s="35" t="s">
        <v>2425</v>
      </c>
      <c r="C1225" s="36" t="s">
        <v>2426</v>
      </c>
      <c r="D1225" s="35" t="s">
        <v>720</v>
      </c>
      <c r="E1225" s="21">
        <v>7.59</v>
      </c>
    </row>
    <row r="1226" spans="1:5" ht="30" customHeight="1" x14ac:dyDescent="0.35">
      <c r="A1226">
        <f t="shared" si="23"/>
        <v>1209</v>
      </c>
      <c r="B1226" s="32" t="s">
        <v>2427</v>
      </c>
      <c r="C1226" s="29" t="s">
        <v>2428</v>
      </c>
      <c r="D1226" s="32" t="s">
        <v>31</v>
      </c>
      <c r="E1226" s="21">
        <v>38272.340000000004</v>
      </c>
    </row>
    <row r="1227" spans="1:5" ht="30" customHeight="1" x14ac:dyDescent="0.35">
      <c r="A1227">
        <f t="shared" si="23"/>
        <v>1210</v>
      </c>
      <c r="B1227" s="43" t="s">
        <v>2429</v>
      </c>
      <c r="C1227" s="39" t="s">
        <v>2430</v>
      </c>
      <c r="D1227" s="43" t="s">
        <v>59</v>
      </c>
      <c r="E1227" s="21">
        <v>24573.5</v>
      </c>
    </row>
    <row r="1228" spans="1:5" ht="30" customHeight="1" x14ac:dyDescent="0.35">
      <c r="A1228">
        <f t="shared" si="23"/>
        <v>1211</v>
      </c>
      <c r="B1228" s="43" t="s">
        <v>2431</v>
      </c>
      <c r="C1228" s="39" t="s">
        <v>2432</v>
      </c>
      <c r="D1228" s="60" t="s">
        <v>710</v>
      </c>
      <c r="E1228" s="21">
        <v>7163.8</v>
      </c>
    </row>
    <row r="1229" spans="1:5" ht="30" customHeight="1" x14ac:dyDescent="0.35">
      <c r="A1229"/>
      <c r="B1229" s="10" t="s">
        <v>2433</v>
      </c>
      <c r="C1229" s="10"/>
      <c r="D1229" s="11"/>
      <c r="E1229" s="52"/>
    </row>
    <row r="1230" spans="1:5" ht="30" customHeight="1" x14ac:dyDescent="0.35">
      <c r="A1230">
        <f>+A1228+1</f>
        <v>1212</v>
      </c>
      <c r="B1230" s="35" t="s">
        <v>2434</v>
      </c>
      <c r="C1230" s="36" t="s">
        <v>2435</v>
      </c>
      <c r="D1230" s="35" t="s">
        <v>869</v>
      </c>
      <c r="E1230" s="21">
        <v>17.11</v>
      </c>
    </row>
    <row r="1231" spans="1:5" ht="30" customHeight="1" x14ac:dyDescent="0.35">
      <c r="A1231">
        <f t="shared" ref="A1231:A1294" si="24">A1230+1</f>
        <v>1213</v>
      </c>
      <c r="B1231" s="32" t="s">
        <v>2436</v>
      </c>
      <c r="C1231" s="29" t="s">
        <v>2437</v>
      </c>
      <c r="D1231" s="32" t="s">
        <v>2438</v>
      </c>
      <c r="E1231" s="21">
        <v>205.54</v>
      </c>
    </row>
    <row r="1232" spans="1:5" ht="30" customHeight="1" x14ac:dyDescent="0.35">
      <c r="A1232">
        <f t="shared" si="24"/>
        <v>1214</v>
      </c>
      <c r="B1232" s="35" t="s">
        <v>2439</v>
      </c>
      <c r="C1232" s="36" t="s">
        <v>2440</v>
      </c>
      <c r="D1232" s="35" t="s">
        <v>869</v>
      </c>
      <c r="E1232" s="21">
        <v>9.7800000000000011</v>
      </c>
    </row>
    <row r="1233" spans="1:5" ht="30" customHeight="1" x14ac:dyDescent="0.35">
      <c r="A1233">
        <f t="shared" si="24"/>
        <v>1215</v>
      </c>
      <c r="B1233" s="32" t="s">
        <v>2441</v>
      </c>
      <c r="C1233" s="29" t="s">
        <v>2442</v>
      </c>
      <c r="D1233" s="32" t="s">
        <v>869</v>
      </c>
      <c r="E1233" s="21">
        <v>254.12</v>
      </c>
    </row>
    <row r="1234" spans="1:5" ht="30" customHeight="1" x14ac:dyDescent="0.35">
      <c r="A1234">
        <f t="shared" si="24"/>
        <v>1216</v>
      </c>
      <c r="B1234" s="35" t="s">
        <v>2443</v>
      </c>
      <c r="C1234" s="36" t="s">
        <v>2444</v>
      </c>
      <c r="D1234" s="35" t="s">
        <v>869</v>
      </c>
      <c r="E1234" s="21">
        <v>254.53000000000003</v>
      </c>
    </row>
    <row r="1235" spans="1:5" ht="30" customHeight="1" x14ac:dyDescent="0.35">
      <c r="A1235">
        <f t="shared" si="24"/>
        <v>1217</v>
      </c>
      <c r="B1235" s="32" t="s">
        <v>2445</v>
      </c>
      <c r="C1235" s="29" t="s">
        <v>2446</v>
      </c>
      <c r="D1235" s="32" t="s">
        <v>869</v>
      </c>
      <c r="E1235" s="21">
        <v>15.4</v>
      </c>
    </row>
    <row r="1236" spans="1:5" ht="30" customHeight="1" x14ac:dyDescent="0.35">
      <c r="A1236">
        <f t="shared" si="24"/>
        <v>1218</v>
      </c>
      <c r="B1236" s="35" t="s">
        <v>2447</v>
      </c>
      <c r="C1236" s="36" t="s">
        <v>2448</v>
      </c>
      <c r="D1236" s="35" t="s">
        <v>2438</v>
      </c>
      <c r="E1236" s="21">
        <v>199.55</v>
      </c>
    </row>
    <row r="1237" spans="1:5" ht="30" customHeight="1" x14ac:dyDescent="0.35">
      <c r="A1237">
        <f t="shared" si="24"/>
        <v>1219</v>
      </c>
      <c r="B1237" s="32" t="s">
        <v>2449</v>
      </c>
      <c r="C1237" s="29" t="s">
        <v>2450</v>
      </c>
      <c r="D1237" s="32" t="s">
        <v>869</v>
      </c>
      <c r="E1237" s="21">
        <v>39.11</v>
      </c>
    </row>
    <row r="1238" spans="1:5" ht="30" customHeight="1" x14ac:dyDescent="0.35">
      <c r="A1238">
        <f t="shared" si="24"/>
        <v>1220</v>
      </c>
      <c r="B1238" s="32" t="s">
        <v>2451</v>
      </c>
      <c r="C1238" s="29" t="s">
        <v>2452</v>
      </c>
      <c r="D1238" s="32" t="s">
        <v>14</v>
      </c>
      <c r="E1238" s="21">
        <v>33.29</v>
      </c>
    </row>
    <row r="1239" spans="1:5" ht="30" customHeight="1" x14ac:dyDescent="0.35">
      <c r="A1239">
        <f t="shared" si="24"/>
        <v>1221</v>
      </c>
      <c r="B1239" s="35" t="s">
        <v>2453</v>
      </c>
      <c r="C1239" s="36" t="s">
        <v>2454</v>
      </c>
      <c r="D1239" s="35" t="s">
        <v>14</v>
      </c>
      <c r="E1239" s="21">
        <v>31.630000000000003</v>
      </c>
    </row>
    <row r="1240" spans="1:5" ht="30" customHeight="1" x14ac:dyDescent="0.35">
      <c r="A1240">
        <f t="shared" si="24"/>
        <v>1222</v>
      </c>
      <c r="B1240" s="32" t="s">
        <v>2455</v>
      </c>
      <c r="C1240" s="29" t="s">
        <v>2456</v>
      </c>
      <c r="D1240" s="32" t="s">
        <v>14</v>
      </c>
      <c r="E1240" s="21">
        <v>34.949999999999996</v>
      </c>
    </row>
    <row r="1241" spans="1:5" ht="30" customHeight="1" x14ac:dyDescent="0.35">
      <c r="A1241">
        <f t="shared" si="24"/>
        <v>1223</v>
      </c>
      <c r="B1241" s="35" t="s">
        <v>2457</v>
      </c>
      <c r="C1241" s="36" t="s">
        <v>2458</v>
      </c>
      <c r="D1241" s="35" t="s">
        <v>14</v>
      </c>
      <c r="E1241" s="21">
        <v>76.539999999999992</v>
      </c>
    </row>
    <row r="1242" spans="1:5" ht="30" customHeight="1" x14ac:dyDescent="0.35">
      <c r="A1242">
        <f t="shared" si="24"/>
        <v>1224</v>
      </c>
      <c r="B1242" s="32" t="s">
        <v>2459</v>
      </c>
      <c r="C1242" s="29" t="s">
        <v>2460</v>
      </c>
      <c r="D1242" s="32" t="s">
        <v>14</v>
      </c>
      <c r="E1242" s="21">
        <v>128.97</v>
      </c>
    </row>
    <row r="1243" spans="1:5" ht="30" customHeight="1" x14ac:dyDescent="0.35">
      <c r="A1243">
        <f t="shared" si="24"/>
        <v>1225</v>
      </c>
      <c r="B1243" s="35" t="s">
        <v>2461</v>
      </c>
      <c r="C1243" s="29" t="s">
        <v>2462</v>
      </c>
      <c r="D1243" s="35" t="s">
        <v>14</v>
      </c>
      <c r="E1243" s="21">
        <v>70.72</v>
      </c>
    </row>
    <row r="1244" spans="1:5" ht="30" customHeight="1" x14ac:dyDescent="0.35">
      <c r="A1244">
        <f t="shared" si="24"/>
        <v>1226</v>
      </c>
      <c r="B1244" s="32" t="s">
        <v>2463</v>
      </c>
      <c r="C1244" s="29" t="s">
        <v>2464</v>
      </c>
      <c r="D1244" s="32" t="s">
        <v>14</v>
      </c>
      <c r="E1244" s="21">
        <v>93.179999999999993</v>
      </c>
    </row>
    <row r="1245" spans="1:5" ht="30" customHeight="1" x14ac:dyDescent="0.35">
      <c r="A1245">
        <f t="shared" si="24"/>
        <v>1227</v>
      </c>
      <c r="B1245" s="35" t="s">
        <v>2465</v>
      </c>
      <c r="C1245" s="36" t="s">
        <v>2466</v>
      </c>
      <c r="D1245" s="35" t="s">
        <v>14</v>
      </c>
      <c r="E1245" s="21">
        <v>54.08</v>
      </c>
    </row>
    <row r="1246" spans="1:5" ht="30" customHeight="1" x14ac:dyDescent="0.35">
      <c r="A1246">
        <f t="shared" si="24"/>
        <v>1228</v>
      </c>
      <c r="B1246" s="32" t="s">
        <v>2467</v>
      </c>
      <c r="C1246" s="29" t="s">
        <v>2468</v>
      </c>
      <c r="D1246" s="32" t="s">
        <v>14</v>
      </c>
      <c r="E1246" s="21">
        <v>37.450000000000003</v>
      </c>
    </row>
    <row r="1247" spans="1:5" ht="30" customHeight="1" x14ac:dyDescent="0.35">
      <c r="A1247">
        <f t="shared" si="24"/>
        <v>1229</v>
      </c>
      <c r="B1247" s="35" t="s">
        <v>2469</v>
      </c>
      <c r="C1247" s="29" t="s">
        <v>2470</v>
      </c>
      <c r="D1247" s="35" t="s">
        <v>14</v>
      </c>
      <c r="E1247" s="21">
        <v>41.61</v>
      </c>
    </row>
    <row r="1248" spans="1:5" ht="30" customHeight="1" x14ac:dyDescent="0.35">
      <c r="A1248">
        <f t="shared" si="24"/>
        <v>1230</v>
      </c>
      <c r="B1248" s="32" t="s">
        <v>2471</v>
      </c>
      <c r="C1248" s="29" t="s">
        <v>2472</v>
      </c>
      <c r="D1248" s="32" t="s">
        <v>14</v>
      </c>
      <c r="E1248" s="21">
        <v>43.269999999999996</v>
      </c>
    </row>
    <row r="1249" spans="1:5" ht="30" customHeight="1" x14ac:dyDescent="0.35">
      <c r="A1249">
        <f t="shared" si="24"/>
        <v>1231</v>
      </c>
      <c r="B1249" s="35" t="s">
        <v>2473</v>
      </c>
      <c r="C1249" s="29" t="s">
        <v>2468</v>
      </c>
      <c r="D1249" s="35" t="s">
        <v>14</v>
      </c>
      <c r="E1249" s="21">
        <v>20.81</v>
      </c>
    </row>
    <row r="1250" spans="1:5" ht="30" customHeight="1" x14ac:dyDescent="0.35">
      <c r="A1250">
        <f t="shared" si="24"/>
        <v>1232</v>
      </c>
      <c r="B1250" s="32" t="s">
        <v>2474</v>
      </c>
      <c r="C1250" s="29" t="s">
        <v>2475</v>
      </c>
      <c r="D1250" s="32" t="s">
        <v>14</v>
      </c>
      <c r="E1250" s="21">
        <v>44.940000000000005</v>
      </c>
    </row>
    <row r="1251" spans="1:5" ht="30" customHeight="1" x14ac:dyDescent="0.35">
      <c r="A1251">
        <f t="shared" si="24"/>
        <v>1233</v>
      </c>
      <c r="B1251" s="35" t="s">
        <v>2476</v>
      </c>
      <c r="C1251" s="36" t="s">
        <v>2477</v>
      </c>
      <c r="D1251" s="35" t="s">
        <v>14</v>
      </c>
      <c r="E1251" s="21">
        <v>49.09</v>
      </c>
    </row>
    <row r="1252" spans="1:5" ht="30" customHeight="1" x14ac:dyDescent="0.35">
      <c r="A1252">
        <f t="shared" si="24"/>
        <v>1234</v>
      </c>
      <c r="B1252" s="32" t="s">
        <v>2478</v>
      </c>
      <c r="C1252" s="29" t="s">
        <v>2479</v>
      </c>
      <c r="D1252" s="32" t="s">
        <v>14</v>
      </c>
      <c r="E1252" s="21">
        <v>37.450000000000003</v>
      </c>
    </row>
    <row r="1253" spans="1:5" ht="30" customHeight="1" x14ac:dyDescent="0.35">
      <c r="A1253">
        <f t="shared" si="24"/>
        <v>1235</v>
      </c>
      <c r="B1253" s="35" t="s">
        <v>2480</v>
      </c>
      <c r="C1253" s="36" t="s">
        <v>2481</v>
      </c>
      <c r="D1253" s="35" t="s">
        <v>14</v>
      </c>
      <c r="E1253" s="21">
        <v>34.949999999999996</v>
      </c>
    </row>
    <row r="1254" spans="1:5" ht="30" customHeight="1" x14ac:dyDescent="0.35">
      <c r="A1254">
        <f t="shared" si="24"/>
        <v>1236</v>
      </c>
      <c r="B1254" s="32" t="s">
        <v>2482</v>
      </c>
      <c r="C1254" s="29" t="s">
        <v>2483</v>
      </c>
      <c r="D1254" s="32" t="s">
        <v>14</v>
      </c>
      <c r="E1254" s="21">
        <v>11.149999999999999</v>
      </c>
    </row>
    <row r="1255" spans="1:5" ht="30" customHeight="1" x14ac:dyDescent="0.35">
      <c r="A1255">
        <f t="shared" si="24"/>
        <v>1237</v>
      </c>
      <c r="B1255" s="35" t="s">
        <v>2484</v>
      </c>
      <c r="C1255" s="36" t="s">
        <v>2485</v>
      </c>
      <c r="D1255" s="35" t="s">
        <v>14</v>
      </c>
      <c r="E1255" s="21">
        <v>9.43</v>
      </c>
    </row>
    <row r="1256" spans="1:5" ht="30" customHeight="1" x14ac:dyDescent="0.35">
      <c r="A1256">
        <f t="shared" si="24"/>
        <v>1238</v>
      </c>
      <c r="B1256" s="32" t="s">
        <v>2486</v>
      </c>
      <c r="C1256" s="29" t="s">
        <v>2487</v>
      </c>
      <c r="D1256" s="32" t="s">
        <v>14</v>
      </c>
      <c r="E1256" s="21">
        <v>70.72</v>
      </c>
    </row>
    <row r="1257" spans="1:5" ht="30" customHeight="1" x14ac:dyDescent="0.35">
      <c r="A1257">
        <f t="shared" si="24"/>
        <v>1239</v>
      </c>
      <c r="B1257" s="35" t="s">
        <v>2488</v>
      </c>
      <c r="C1257" s="36" t="s">
        <v>2489</v>
      </c>
      <c r="D1257" s="35" t="s">
        <v>14</v>
      </c>
      <c r="E1257" s="21">
        <v>101.5</v>
      </c>
    </row>
    <row r="1258" spans="1:5" ht="30" customHeight="1" x14ac:dyDescent="0.35">
      <c r="A1258">
        <f t="shared" si="24"/>
        <v>1240</v>
      </c>
      <c r="B1258" s="32" t="s">
        <v>2490</v>
      </c>
      <c r="C1258" s="29" t="s">
        <v>2491</v>
      </c>
      <c r="D1258" s="32" t="s">
        <v>14</v>
      </c>
      <c r="E1258" s="21">
        <v>149.76</v>
      </c>
    </row>
    <row r="1259" spans="1:5" ht="30" customHeight="1" x14ac:dyDescent="0.35">
      <c r="A1259">
        <f t="shared" si="24"/>
        <v>1241</v>
      </c>
      <c r="B1259" s="35" t="s">
        <v>2492</v>
      </c>
      <c r="C1259" s="36" t="s">
        <v>2493</v>
      </c>
      <c r="D1259" s="35" t="s">
        <v>14</v>
      </c>
      <c r="E1259" s="21">
        <v>46.599999999999994</v>
      </c>
    </row>
    <row r="1260" spans="1:5" ht="30" customHeight="1" x14ac:dyDescent="0.35">
      <c r="A1260">
        <f t="shared" si="24"/>
        <v>1242</v>
      </c>
      <c r="B1260" s="32" t="s">
        <v>2494</v>
      </c>
      <c r="C1260" s="29" t="s">
        <v>2495</v>
      </c>
      <c r="D1260" s="32" t="s">
        <v>14</v>
      </c>
      <c r="E1260" s="21">
        <v>24.97</v>
      </c>
    </row>
    <row r="1261" spans="1:5" ht="30" customHeight="1" x14ac:dyDescent="0.35">
      <c r="A1261">
        <f t="shared" si="24"/>
        <v>1243</v>
      </c>
      <c r="B1261" s="35" t="s">
        <v>2496</v>
      </c>
      <c r="C1261" s="36" t="s">
        <v>2497</v>
      </c>
      <c r="D1261" s="35" t="s">
        <v>14</v>
      </c>
      <c r="E1261" s="21">
        <v>11.27</v>
      </c>
    </row>
    <row r="1262" spans="1:5" ht="30" customHeight="1" x14ac:dyDescent="0.35">
      <c r="A1262">
        <f t="shared" si="24"/>
        <v>1244</v>
      </c>
      <c r="B1262" s="32" t="s">
        <v>2498</v>
      </c>
      <c r="C1262" s="29" t="s">
        <v>2499</v>
      </c>
      <c r="D1262" s="32" t="s">
        <v>14</v>
      </c>
      <c r="E1262" s="21">
        <v>10.819999999999999</v>
      </c>
    </row>
    <row r="1263" spans="1:5" ht="30" customHeight="1" x14ac:dyDescent="0.35">
      <c r="A1263">
        <f t="shared" si="24"/>
        <v>1245</v>
      </c>
      <c r="B1263" s="35" t="s">
        <v>2500</v>
      </c>
      <c r="C1263" s="36" t="s">
        <v>2501</v>
      </c>
      <c r="D1263" s="35" t="s">
        <v>14</v>
      </c>
      <c r="E1263" s="21">
        <v>14.87</v>
      </c>
    </row>
    <row r="1264" spans="1:5" ht="30" customHeight="1" x14ac:dyDescent="0.35">
      <c r="A1264">
        <f t="shared" si="24"/>
        <v>1246</v>
      </c>
      <c r="B1264" s="32" t="s">
        <v>2502</v>
      </c>
      <c r="C1264" s="29" t="s">
        <v>2503</v>
      </c>
      <c r="D1264" s="32" t="s">
        <v>14</v>
      </c>
      <c r="E1264" s="21">
        <v>13.51</v>
      </c>
    </row>
    <row r="1265" spans="1:5" ht="30" customHeight="1" x14ac:dyDescent="0.35">
      <c r="A1265">
        <f t="shared" si="24"/>
        <v>1247</v>
      </c>
      <c r="B1265" s="35" t="s">
        <v>2504</v>
      </c>
      <c r="C1265" s="36" t="s">
        <v>2505</v>
      </c>
      <c r="D1265" s="35" t="s">
        <v>14</v>
      </c>
      <c r="E1265" s="21">
        <v>11.48</v>
      </c>
    </row>
    <row r="1266" spans="1:5" ht="30" customHeight="1" x14ac:dyDescent="0.35">
      <c r="A1266">
        <f t="shared" si="24"/>
        <v>1248</v>
      </c>
      <c r="B1266" s="32" t="s">
        <v>2506</v>
      </c>
      <c r="C1266" s="29" t="s">
        <v>2507</v>
      </c>
      <c r="D1266" s="32" t="s">
        <v>14</v>
      </c>
      <c r="E1266" s="21">
        <v>15.690000000000001</v>
      </c>
    </row>
    <row r="1267" spans="1:5" ht="30" customHeight="1" x14ac:dyDescent="0.35">
      <c r="A1267">
        <f t="shared" si="24"/>
        <v>1249</v>
      </c>
      <c r="B1267" s="35" t="s">
        <v>2508</v>
      </c>
      <c r="C1267" s="36" t="s">
        <v>2509</v>
      </c>
      <c r="D1267" s="35" t="s">
        <v>14</v>
      </c>
      <c r="E1267" s="21">
        <v>12.73</v>
      </c>
    </row>
    <row r="1268" spans="1:5" ht="30" customHeight="1" x14ac:dyDescent="0.35">
      <c r="A1268">
        <f t="shared" si="24"/>
        <v>1250</v>
      </c>
      <c r="B1268" s="32" t="s">
        <v>2510</v>
      </c>
      <c r="C1268" s="29" t="s">
        <v>2511</v>
      </c>
      <c r="D1268" s="32" t="s">
        <v>14</v>
      </c>
      <c r="E1268" s="21">
        <v>11.03</v>
      </c>
    </row>
    <row r="1269" spans="1:5" ht="30" customHeight="1" x14ac:dyDescent="0.35">
      <c r="A1269">
        <f t="shared" si="24"/>
        <v>1251</v>
      </c>
      <c r="B1269" s="35" t="s">
        <v>2512</v>
      </c>
      <c r="C1269" s="36" t="s">
        <v>2513</v>
      </c>
      <c r="D1269" s="35" t="s">
        <v>2438</v>
      </c>
      <c r="E1269" s="21">
        <v>1151.77</v>
      </c>
    </row>
    <row r="1270" spans="1:5" ht="30" customHeight="1" x14ac:dyDescent="0.35">
      <c r="A1270">
        <f t="shared" si="24"/>
        <v>1252</v>
      </c>
      <c r="B1270" s="32" t="s">
        <v>2514</v>
      </c>
      <c r="C1270" s="29" t="s">
        <v>2515</v>
      </c>
      <c r="D1270" s="32" t="s">
        <v>14</v>
      </c>
      <c r="E1270" s="21">
        <v>6.36</v>
      </c>
    </row>
    <row r="1271" spans="1:5" ht="30" customHeight="1" x14ac:dyDescent="0.35">
      <c r="A1271">
        <f t="shared" si="24"/>
        <v>1253</v>
      </c>
      <c r="B1271" s="35" t="s">
        <v>2516</v>
      </c>
      <c r="C1271" s="36" t="s">
        <v>2517</v>
      </c>
      <c r="D1271" s="35" t="s">
        <v>14</v>
      </c>
      <c r="E1271" s="21">
        <v>18.34</v>
      </c>
    </row>
    <row r="1272" spans="1:5" ht="30" customHeight="1" x14ac:dyDescent="0.35">
      <c r="A1272">
        <f t="shared" si="24"/>
        <v>1254</v>
      </c>
      <c r="B1272" s="32" t="s">
        <v>2518</v>
      </c>
      <c r="C1272" s="29" t="s">
        <v>2519</v>
      </c>
      <c r="D1272" s="32" t="s">
        <v>2438</v>
      </c>
      <c r="E1272" s="21">
        <v>1091.6100000000001</v>
      </c>
    </row>
    <row r="1273" spans="1:5" ht="30" customHeight="1" x14ac:dyDescent="0.35">
      <c r="A1273">
        <f t="shared" si="24"/>
        <v>1255</v>
      </c>
      <c r="B1273" s="35" t="s">
        <v>2520</v>
      </c>
      <c r="C1273" s="36" t="s">
        <v>2521</v>
      </c>
      <c r="D1273" s="35" t="s">
        <v>14</v>
      </c>
      <c r="E1273" s="21">
        <v>10.36</v>
      </c>
    </row>
    <row r="1274" spans="1:5" ht="30" customHeight="1" x14ac:dyDescent="0.35">
      <c r="A1274">
        <f t="shared" si="24"/>
        <v>1256</v>
      </c>
      <c r="B1274" s="32" t="s">
        <v>2522</v>
      </c>
      <c r="C1274" s="29" t="s">
        <v>2523</v>
      </c>
      <c r="D1274" s="32" t="s">
        <v>14</v>
      </c>
      <c r="E1274" s="21">
        <v>9.8600000000000012</v>
      </c>
    </row>
    <row r="1275" spans="1:5" ht="30" customHeight="1" x14ac:dyDescent="0.35">
      <c r="A1275">
        <f t="shared" si="24"/>
        <v>1257</v>
      </c>
      <c r="B1275" s="35" t="s">
        <v>2524</v>
      </c>
      <c r="C1275" s="36" t="s">
        <v>2525</v>
      </c>
      <c r="D1275" s="35" t="s">
        <v>14</v>
      </c>
      <c r="E1275" s="21">
        <v>9.31</v>
      </c>
    </row>
    <row r="1276" spans="1:5" ht="30" customHeight="1" x14ac:dyDescent="0.35">
      <c r="A1276">
        <f t="shared" si="24"/>
        <v>1258</v>
      </c>
      <c r="B1276" s="32" t="s">
        <v>2526</v>
      </c>
      <c r="C1276" s="29" t="s">
        <v>2515</v>
      </c>
      <c r="D1276" s="32" t="s">
        <v>14</v>
      </c>
      <c r="E1276" s="21">
        <v>8.9500000000000011</v>
      </c>
    </row>
    <row r="1277" spans="1:5" ht="30" customHeight="1" x14ac:dyDescent="0.35">
      <c r="A1277">
        <f t="shared" si="24"/>
        <v>1259</v>
      </c>
      <c r="B1277" s="35" t="s">
        <v>2527</v>
      </c>
      <c r="C1277" s="36" t="s">
        <v>2528</v>
      </c>
      <c r="D1277" s="35" t="s">
        <v>14</v>
      </c>
      <c r="E1277" s="21">
        <v>33.92</v>
      </c>
    </row>
    <row r="1278" spans="1:5" ht="30" customHeight="1" x14ac:dyDescent="0.35">
      <c r="A1278">
        <f t="shared" si="24"/>
        <v>1260</v>
      </c>
      <c r="B1278" s="32" t="s">
        <v>2529</v>
      </c>
      <c r="C1278" s="29" t="s">
        <v>2530</v>
      </c>
      <c r="D1278" s="32" t="s">
        <v>14</v>
      </c>
      <c r="E1278" s="21">
        <v>9.76</v>
      </c>
    </row>
    <row r="1279" spans="1:5" ht="30" customHeight="1" x14ac:dyDescent="0.35">
      <c r="A1279">
        <f t="shared" si="24"/>
        <v>1261</v>
      </c>
      <c r="B1279" s="35" t="s">
        <v>2531</v>
      </c>
      <c r="C1279" s="36" t="s">
        <v>2532</v>
      </c>
      <c r="D1279" s="35" t="s">
        <v>14</v>
      </c>
      <c r="E1279" s="21">
        <v>7.2200000000000006</v>
      </c>
    </row>
    <row r="1280" spans="1:5" ht="30" customHeight="1" x14ac:dyDescent="0.35">
      <c r="A1280">
        <f t="shared" si="24"/>
        <v>1262</v>
      </c>
      <c r="B1280" s="32" t="s">
        <v>2533</v>
      </c>
      <c r="C1280" s="29" t="s">
        <v>2534</v>
      </c>
      <c r="D1280" s="32" t="s">
        <v>14</v>
      </c>
      <c r="E1280" s="21">
        <v>7.64</v>
      </c>
    </row>
    <row r="1281" spans="1:5" ht="30" customHeight="1" x14ac:dyDescent="0.35">
      <c r="A1281">
        <f t="shared" si="24"/>
        <v>1263</v>
      </c>
      <c r="B1281" s="35" t="s">
        <v>2535</v>
      </c>
      <c r="C1281" s="36" t="s">
        <v>2536</v>
      </c>
      <c r="D1281" s="35" t="s">
        <v>14</v>
      </c>
      <c r="E1281" s="21">
        <v>17.189999999999998</v>
      </c>
    </row>
    <row r="1282" spans="1:5" ht="30" customHeight="1" x14ac:dyDescent="0.35">
      <c r="A1282">
        <f t="shared" si="24"/>
        <v>1264</v>
      </c>
      <c r="B1282" s="32" t="s">
        <v>2537</v>
      </c>
      <c r="C1282" s="29" t="s">
        <v>2538</v>
      </c>
      <c r="D1282" s="32" t="s">
        <v>14</v>
      </c>
      <c r="E1282" s="21">
        <v>11.03</v>
      </c>
    </row>
    <row r="1283" spans="1:5" ht="30" customHeight="1" x14ac:dyDescent="0.35">
      <c r="A1283">
        <f t="shared" si="24"/>
        <v>1265</v>
      </c>
      <c r="B1283" s="35" t="s">
        <v>2539</v>
      </c>
      <c r="C1283" s="36" t="s">
        <v>2540</v>
      </c>
      <c r="D1283" s="35" t="s">
        <v>14</v>
      </c>
      <c r="E1283" s="21">
        <v>33.92</v>
      </c>
    </row>
    <row r="1284" spans="1:5" ht="30" customHeight="1" x14ac:dyDescent="0.35">
      <c r="A1284">
        <f t="shared" si="24"/>
        <v>1266</v>
      </c>
      <c r="B1284" s="32" t="s">
        <v>2541</v>
      </c>
      <c r="C1284" s="29" t="s">
        <v>2542</v>
      </c>
      <c r="D1284" s="32" t="s">
        <v>14</v>
      </c>
      <c r="E1284" s="21">
        <v>11.25</v>
      </c>
    </row>
    <row r="1285" spans="1:5" ht="30" customHeight="1" x14ac:dyDescent="0.35">
      <c r="A1285">
        <f t="shared" si="24"/>
        <v>1267</v>
      </c>
      <c r="B1285" s="35" t="s">
        <v>2543</v>
      </c>
      <c r="C1285" s="36" t="s">
        <v>2544</v>
      </c>
      <c r="D1285" s="35" t="s">
        <v>14</v>
      </c>
      <c r="E1285" s="21">
        <v>9.33</v>
      </c>
    </row>
    <row r="1286" spans="1:5" ht="30" customHeight="1" x14ac:dyDescent="0.35">
      <c r="A1286">
        <f t="shared" si="24"/>
        <v>1268</v>
      </c>
      <c r="B1286" s="32" t="s">
        <v>2545</v>
      </c>
      <c r="C1286" s="29" t="s">
        <v>2546</v>
      </c>
      <c r="D1286" s="32" t="s">
        <v>14</v>
      </c>
      <c r="E1286" s="21">
        <v>10.719999999999999</v>
      </c>
    </row>
    <row r="1287" spans="1:5" ht="30" customHeight="1" x14ac:dyDescent="0.35">
      <c r="A1287">
        <f t="shared" si="24"/>
        <v>1269</v>
      </c>
      <c r="B1287" s="35" t="s">
        <v>2547</v>
      </c>
      <c r="C1287" s="36" t="s">
        <v>2548</v>
      </c>
      <c r="D1287" s="35" t="s">
        <v>14</v>
      </c>
      <c r="E1287" s="21">
        <v>22.9</v>
      </c>
    </row>
    <row r="1288" spans="1:5" ht="30" customHeight="1" x14ac:dyDescent="0.35">
      <c r="A1288">
        <f t="shared" si="24"/>
        <v>1270</v>
      </c>
      <c r="B1288" s="32" t="s">
        <v>2549</v>
      </c>
      <c r="C1288" s="29" t="s">
        <v>2550</v>
      </c>
      <c r="D1288" s="32" t="s">
        <v>14</v>
      </c>
      <c r="E1288" s="21">
        <v>37.869999999999997</v>
      </c>
    </row>
    <row r="1289" spans="1:5" ht="30" customHeight="1" x14ac:dyDescent="0.35">
      <c r="A1289">
        <f t="shared" si="24"/>
        <v>1271</v>
      </c>
      <c r="B1289" s="35" t="s">
        <v>2551</v>
      </c>
      <c r="C1289" s="36" t="s">
        <v>2552</v>
      </c>
      <c r="D1289" s="35" t="s">
        <v>14</v>
      </c>
      <c r="E1289" s="21">
        <v>18.95</v>
      </c>
    </row>
    <row r="1290" spans="1:5" ht="30" customHeight="1" x14ac:dyDescent="0.35">
      <c r="A1290">
        <f t="shared" si="24"/>
        <v>1272</v>
      </c>
      <c r="B1290" s="32" t="s">
        <v>2553</v>
      </c>
      <c r="C1290" s="29" t="s">
        <v>2554</v>
      </c>
      <c r="D1290" s="32" t="s">
        <v>14</v>
      </c>
      <c r="E1290" s="21">
        <v>37.06</v>
      </c>
    </row>
    <row r="1291" spans="1:5" ht="30" customHeight="1" x14ac:dyDescent="0.35">
      <c r="A1291">
        <f t="shared" si="24"/>
        <v>1273</v>
      </c>
      <c r="B1291" s="35" t="s">
        <v>2555</v>
      </c>
      <c r="C1291" s="36" t="s">
        <v>2556</v>
      </c>
      <c r="D1291" s="35" t="s">
        <v>31</v>
      </c>
      <c r="E1291" s="21">
        <v>28.32</v>
      </c>
    </row>
    <row r="1292" spans="1:5" ht="30" customHeight="1" x14ac:dyDescent="0.35">
      <c r="A1292">
        <f t="shared" si="24"/>
        <v>1274</v>
      </c>
      <c r="B1292" s="18" t="s">
        <v>2557</v>
      </c>
      <c r="C1292" s="29" t="s">
        <v>2558</v>
      </c>
      <c r="D1292" s="29" t="s">
        <v>31</v>
      </c>
      <c r="E1292" s="21">
        <v>26.09</v>
      </c>
    </row>
    <row r="1293" spans="1:5" ht="30" customHeight="1" x14ac:dyDescent="0.35">
      <c r="A1293">
        <f t="shared" si="24"/>
        <v>1275</v>
      </c>
      <c r="B1293" s="35" t="s">
        <v>2559</v>
      </c>
      <c r="C1293" s="36" t="s">
        <v>2560</v>
      </c>
      <c r="D1293" s="35" t="s">
        <v>31</v>
      </c>
      <c r="E1293" s="21">
        <v>66.73</v>
      </c>
    </row>
    <row r="1294" spans="1:5" ht="30" customHeight="1" x14ac:dyDescent="0.35">
      <c r="A1294">
        <f t="shared" si="24"/>
        <v>1276</v>
      </c>
      <c r="B1294" s="32" t="s">
        <v>2561</v>
      </c>
      <c r="C1294" s="29" t="s">
        <v>2562</v>
      </c>
      <c r="D1294" s="32" t="s">
        <v>31</v>
      </c>
      <c r="E1294" s="21">
        <v>134.64999999999998</v>
      </c>
    </row>
    <row r="1295" spans="1:5" ht="30" customHeight="1" x14ac:dyDescent="0.35">
      <c r="A1295">
        <f t="shared" ref="A1295:A1322" si="25">A1294+1</f>
        <v>1277</v>
      </c>
      <c r="B1295" s="35" t="s">
        <v>2563</v>
      </c>
      <c r="C1295" s="36" t="s">
        <v>2564</v>
      </c>
      <c r="D1295" s="35" t="s">
        <v>31</v>
      </c>
      <c r="E1295" s="21">
        <v>3.08</v>
      </c>
    </row>
    <row r="1296" spans="1:5" ht="30" customHeight="1" x14ac:dyDescent="0.35">
      <c r="A1296">
        <f t="shared" si="25"/>
        <v>1278</v>
      </c>
      <c r="B1296" s="32" t="s">
        <v>2565</v>
      </c>
      <c r="C1296" s="29" t="s">
        <v>2566</v>
      </c>
      <c r="D1296" s="32" t="s">
        <v>31</v>
      </c>
      <c r="E1296" s="21">
        <v>13.690000000000001</v>
      </c>
    </row>
    <row r="1297" spans="1:5" ht="30" customHeight="1" x14ac:dyDescent="0.35">
      <c r="A1297">
        <f t="shared" si="25"/>
        <v>1279</v>
      </c>
      <c r="B1297" s="35" t="s">
        <v>2567</v>
      </c>
      <c r="C1297" s="36" t="s">
        <v>2568</v>
      </c>
      <c r="D1297" s="35" t="s">
        <v>31</v>
      </c>
      <c r="E1297" s="21">
        <v>23.79</v>
      </c>
    </row>
    <row r="1298" spans="1:5" ht="30" customHeight="1" x14ac:dyDescent="0.35">
      <c r="A1298">
        <f t="shared" si="25"/>
        <v>1280</v>
      </c>
      <c r="B1298" s="32" t="s">
        <v>2569</v>
      </c>
      <c r="C1298" s="29" t="s">
        <v>2570</v>
      </c>
      <c r="D1298" s="32" t="s">
        <v>31</v>
      </c>
      <c r="E1298" s="21">
        <v>18.740000000000002</v>
      </c>
    </row>
    <row r="1299" spans="1:5" ht="30" customHeight="1" x14ac:dyDescent="0.35">
      <c r="A1299">
        <f t="shared" si="25"/>
        <v>1281</v>
      </c>
      <c r="B1299" s="18" t="s">
        <v>2571</v>
      </c>
      <c r="C1299" s="30" t="s">
        <v>2572</v>
      </c>
      <c r="D1299" s="30" t="s">
        <v>31</v>
      </c>
      <c r="E1299" s="21">
        <v>47.339999999999996</v>
      </c>
    </row>
    <row r="1300" spans="1:5" ht="30" customHeight="1" x14ac:dyDescent="0.35">
      <c r="A1300">
        <f t="shared" si="25"/>
        <v>1282</v>
      </c>
      <c r="B1300" s="18" t="s">
        <v>2573</v>
      </c>
      <c r="C1300" s="29" t="s">
        <v>2574</v>
      </c>
      <c r="D1300" s="29" t="s">
        <v>31</v>
      </c>
      <c r="E1300" s="21">
        <v>17.11</v>
      </c>
    </row>
    <row r="1301" spans="1:5" ht="30" customHeight="1" x14ac:dyDescent="0.35">
      <c r="A1301">
        <f t="shared" si="25"/>
        <v>1283</v>
      </c>
      <c r="B1301" s="35" t="s">
        <v>2575</v>
      </c>
      <c r="C1301" s="36" t="s">
        <v>2576</v>
      </c>
      <c r="D1301" s="35" t="s">
        <v>31</v>
      </c>
      <c r="E1301" s="21">
        <v>42.79</v>
      </c>
    </row>
    <row r="1302" spans="1:5" ht="30" customHeight="1" x14ac:dyDescent="0.35">
      <c r="A1302">
        <f t="shared" si="25"/>
        <v>1284</v>
      </c>
      <c r="B1302" s="32" t="s">
        <v>2577</v>
      </c>
      <c r="C1302" s="29" t="s">
        <v>2578</v>
      </c>
      <c r="D1302" s="32" t="s">
        <v>31</v>
      </c>
      <c r="E1302" s="21">
        <v>208.01</v>
      </c>
    </row>
    <row r="1303" spans="1:5" ht="30" customHeight="1" x14ac:dyDescent="0.35">
      <c r="A1303">
        <f t="shared" si="25"/>
        <v>1285</v>
      </c>
      <c r="B1303" s="35" t="s">
        <v>2579</v>
      </c>
      <c r="C1303" s="36" t="s">
        <v>2580</v>
      </c>
      <c r="D1303" s="35" t="s">
        <v>31</v>
      </c>
      <c r="E1303" s="21">
        <v>149.76</v>
      </c>
    </row>
    <row r="1304" spans="1:5" ht="30" customHeight="1" x14ac:dyDescent="0.35">
      <c r="A1304">
        <f t="shared" si="25"/>
        <v>1286</v>
      </c>
      <c r="B1304" s="32" t="s">
        <v>2581</v>
      </c>
      <c r="C1304" s="29" t="s">
        <v>2582</v>
      </c>
      <c r="D1304" s="32" t="s">
        <v>31</v>
      </c>
      <c r="E1304" s="21">
        <v>20.37</v>
      </c>
    </row>
    <row r="1305" spans="1:5" ht="30" customHeight="1" x14ac:dyDescent="0.35">
      <c r="A1305">
        <f t="shared" si="25"/>
        <v>1287</v>
      </c>
      <c r="B1305" s="18" t="s">
        <v>2583</v>
      </c>
      <c r="C1305" s="30" t="s">
        <v>2584</v>
      </c>
      <c r="D1305" s="30" t="s">
        <v>2585</v>
      </c>
      <c r="E1305" s="21">
        <v>4.9400000000000004</v>
      </c>
    </row>
    <row r="1306" spans="1:5" ht="30" customHeight="1" x14ac:dyDescent="0.35">
      <c r="A1306">
        <f t="shared" si="25"/>
        <v>1288</v>
      </c>
      <c r="B1306" s="18" t="s">
        <v>2586</v>
      </c>
      <c r="C1306" s="29" t="s">
        <v>2587</v>
      </c>
      <c r="D1306" s="29" t="s">
        <v>2585</v>
      </c>
      <c r="E1306" s="21">
        <v>3.5700000000000003</v>
      </c>
    </row>
    <row r="1307" spans="1:5" ht="30" customHeight="1" x14ac:dyDescent="0.35">
      <c r="A1307">
        <f t="shared" si="25"/>
        <v>1289</v>
      </c>
      <c r="B1307" s="18" t="s">
        <v>2588</v>
      </c>
      <c r="C1307" s="30" t="s">
        <v>2589</v>
      </c>
      <c r="D1307" s="30" t="s">
        <v>2585</v>
      </c>
      <c r="E1307" s="21">
        <v>5.83</v>
      </c>
    </row>
    <row r="1308" spans="1:5" ht="30" customHeight="1" x14ac:dyDescent="0.35">
      <c r="A1308">
        <f t="shared" si="25"/>
        <v>1290</v>
      </c>
      <c r="B1308" s="32" t="s">
        <v>2590</v>
      </c>
      <c r="C1308" s="29" t="s">
        <v>2591</v>
      </c>
      <c r="D1308" s="32" t="s">
        <v>2585</v>
      </c>
      <c r="E1308" s="21">
        <v>0.39999999999999997</v>
      </c>
    </row>
    <row r="1309" spans="1:5" ht="30" customHeight="1" x14ac:dyDescent="0.35">
      <c r="A1309">
        <f t="shared" si="25"/>
        <v>1291</v>
      </c>
      <c r="B1309" s="35" t="s">
        <v>2592</v>
      </c>
      <c r="C1309" s="36" t="s">
        <v>2593</v>
      </c>
      <c r="D1309" s="35" t="s">
        <v>14</v>
      </c>
      <c r="E1309" s="21">
        <v>26.48</v>
      </c>
    </row>
    <row r="1310" spans="1:5" ht="30" customHeight="1" x14ac:dyDescent="0.35">
      <c r="A1310">
        <f t="shared" si="25"/>
        <v>1292</v>
      </c>
      <c r="B1310" s="32" t="s">
        <v>2594</v>
      </c>
      <c r="C1310" s="29" t="s">
        <v>2595</v>
      </c>
      <c r="D1310" s="32" t="s">
        <v>14</v>
      </c>
      <c r="E1310" s="21">
        <v>26.96</v>
      </c>
    </row>
    <row r="1311" spans="1:5" ht="30" customHeight="1" x14ac:dyDescent="0.35">
      <c r="A1311">
        <f t="shared" si="25"/>
        <v>1293</v>
      </c>
      <c r="B1311" s="35" t="s">
        <v>2596</v>
      </c>
      <c r="C1311" s="36" t="s">
        <v>2597</v>
      </c>
      <c r="D1311" s="35" t="s">
        <v>14</v>
      </c>
      <c r="E1311" s="21">
        <v>36.14</v>
      </c>
    </row>
    <row r="1312" spans="1:5" ht="30" customHeight="1" x14ac:dyDescent="0.35">
      <c r="A1312">
        <f t="shared" si="25"/>
        <v>1294</v>
      </c>
      <c r="B1312" s="18" t="s">
        <v>2598</v>
      </c>
      <c r="C1312" s="29" t="s">
        <v>2599</v>
      </c>
      <c r="D1312" s="32" t="s">
        <v>2600</v>
      </c>
      <c r="E1312" s="21">
        <v>8.2799999999999994</v>
      </c>
    </row>
    <row r="1313" spans="1:5" ht="30" customHeight="1" x14ac:dyDescent="0.35">
      <c r="A1313">
        <f t="shared" si="25"/>
        <v>1295</v>
      </c>
      <c r="B1313" s="55" t="s">
        <v>2601</v>
      </c>
      <c r="C1313" s="36" t="s">
        <v>2602</v>
      </c>
      <c r="D1313" s="35" t="s">
        <v>2600</v>
      </c>
      <c r="E1313" s="21">
        <v>13.48</v>
      </c>
    </row>
    <row r="1314" spans="1:5" ht="30" customHeight="1" x14ac:dyDescent="0.35">
      <c r="A1314">
        <f t="shared" si="25"/>
        <v>1296</v>
      </c>
      <c r="B1314" s="18" t="s">
        <v>2603</v>
      </c>
      <c r="C1314" s="29" t="s">
        <v>2604</v>
      </c>
      <c r="D1314" s="32" t="s">
        <v>31</v>
      </c>
      <c r="E1314" s="21">
        <v>44.18</v>
      </c>
    </row>
    <row r="1315" spans="1:5" ht="30" customHeight="1" x14ac:dyDescent="0.35">
      <c r="A1315" s="12">
        <f t="shared" si="25"/>
        <v>1297</v>
      </c>
      <c r="B1315" s="28" t="s">
        <v>2605</v>
      </c>
      <c r="C1315" s="41" t="s">
        <v>2606</v>
      </c>
      <c r="D1315" s="26" t="s">
        <v>48</v>
      </c>
      <c r="E1315" s="16">
        <v>423.42</v>
      </c>
    </row>
    <row r="1316" spans="1:5" ht="30" customHeight="1" x14ac:dyDescent="0.35">
      <c r="A1316" s="12">
        <f t="shared" si="25"/>
        <v>1298</v>
      </c>
      <c r="B1316" s="42" t="s">
        <v>2607</v>
      </c>
      <c r="C1316" s="27" t="s">
        <v>2608</v>
      </c>
      <c r="D1316" s="26" t="s">
        <v>48</v>
      </c>
      <c r="E1316" s="16">
        <v>352.85</v>
      </c>
    </row>
    <row r="1317" spans="1:5" ht="30" customHeight="1" x14ac:dyDescent="0.35">
      <c r="A1317" s="12">
        <f t="shared" si="25"/>
        <v>1299</v>
      </c>
      <c r="B1317" s="28" t="s">
        <v>2609</v>
      </c>
      <c r="C1317" s="41" t="s">
        <v>2610</v>
      </c>
      <c r="D1317" s="26" t="s">
        <v>48</v>
      </c>
      <c r="E1317" s="16">
        <v>110.26</v>
      </c>
    </row>
    <row r="1318" spans="1:5" ht="30" customHeight="1" x14ac:dyDescent="0.35">
      <c r="A1318" s="12">
        <f t="shared" si="25"/>
        <v>1300</v>
      </c>
      <c r="B1318" s="42" t="s">
        <v>2611</v>
      </c>
      <c r="C1318" s="27" t="s">
        <v>63</v>
      </c>
      <c r="D1318" s="15" t="s">
        <v>8</v>
      </c>
      <c r="E1318" s="16">
        <v>2.66</v>
      </c>
    </row>
    <row r="1319" spans="1:5" ht="30" customHeight="1" x14ac:dyDescent="0.35">
      <c r="A1319" s="12">
        <f t="shared" si="25"/>
        <v>1301</v>
      </c>
      <c r="B1319" s="28" t="s">
        <v>2612</v>
      </c>
      <c r="C1319" s="41" t="s">
        <v>65</v>
      </c>
      <c r="D1319" s="15" t="s">
        <v>8</v>
      </c>
      <c r="E1319" s="16">
        <v>3.15</v>
      </c>
    </row>
    <row r="1320" spans="1:5" ht="30" customHeight="1" x14ac:dyDescent="0.35">
      <c r="A1320">
        <f t="shared" si="25"/>
        <v>1302</v>
      </c>
      <c r="B1320" s="43" t="s">
        <v>2613</v>
      </c>
      <c r="C1320" s="44" t="s">
        <v>2614</v>
      </c>
      <c r="D1320" s="69" t="s">
        <v>14</v>
      </c>
      <c r="E1320" s="21">
        <v>62.48</v>
      </c>
    </row>
    <row r="1321" spans="1:5" ht="30" customHeight="1" x14ac:dyDescent="0.35">
      <c r="A1321">
        <f t="shared" si="25"/>
        <v>1303</v>
      </c>
      <c r="B1321" s="43" t="s">
        <v>2615</v>
      </c>
      <c r="C1321" s="44" t="s">
        <v>2616</v>
      </c>
      <c r="D1321" s="69" t="s">
        <v>14</v>
      </c>
      <c r="E1321" s="21">
        <v>58.02</v>
      </c>
    </row>
    <row r="1322" spans="1:5" ht="30" customHeight="1" x14ac:dyDescent="0.35">
      <c r="A1322">
        <f t="shared" si="25"/>
        <v>1304</v>
      </c>
      <c r="B1322" s="43" t="s">
        <v>2617</v>
      </c>
      <c r="C1322" s="44" t="s">
        <v>2618</v>
      </c>
      <c r="D1322" s="69" t="s">
        <v>14</v>
      </c>
      <c r="E1322" s="21">
        <v>45.78</v>
      </c>
    </row>
    <row r="1323" spans="1:5" ht="30" customHeight="1" x14ac:dyDescent="0.35">
      <c r="A1323"/>
      <c r="B1323" s="70" t="s">
        <v>2619</v>
      </c>
      <c r="C1323" s="70"/>
      <c r="D1323" s="70"/>
    </row>
    <row r="1324" spans="1:5" ht="30" customHeight="1" x14ac:dyDescent="0.35">
      <c r="A1324"/>
      <c r="B1324"/>
      <c r="C1324" s="71"/>
      <c r="D1324" s="72"/>
    </row>
    <row r="1325" spans="1:5" ht="30" customHeight="1" x14ac:dyDescent="0.35">
      <c r="A1325"/>
      <c r="B1325"/>
      <c r="C1325" s="71"/>
      <c r="D1325" s="72"/>
    </row>
    <row r="1326" spans="1:5" ht="30" customHeight="1" x14ac:dyDescent="0.35">
      <c r="A1326"/>
      <c r="B1326"/>
      <c r="C1326" s="71"/>
      <c r="D1326" s="72"/>
    </row>
    <row r="1327" spans="1:5" ht="30" customHeight="1" x14ac:dyDescent="0.35">
      <c r="A1327"/>
      <c r="B1327"/>
      <c r="C1327" s="71"/>
      <c r="D1327" s="72"/>
    </row>
    <row r="1328" spans="1:5" ht="30" customHeight="1" x14ac:dyDescent="0.35">
      <c r="A1328"/>
      <c r="B1328"/>
      <c r="C1328" s="71"/>
      <c r="D1328" s="72"/>
    </row>
    <row r="1329" spans="1:4" ht="30" customHeight="1" x14ac:dyDescent="0.35">
      <c r="A1329"/>
      <c r="B1329"/>
      <c r="C1329" s="71"/>
      <c r="D1329" s="72"/>
    </row>
    <row r="1330" spans="1:4" ht="30" customHeight="1" x14ac:dyDescent="0.35">
      <c r="A1330"/>
      <c r="B1330"/>
      <c r="C1330" s="71"/>
      <c r="D1330" s="72"/>
    </row>
    <row r="1331" spans="1:4" ht="30" customHeight="1" x14ac:dyDescent="0.35">
      <c r="A1331"/>
      <c r="B1331"/>
      <c r="C1331" s="71"/>
      <c r="D1331" s="72"/>
    </row>
    <row r="1332" spans="1:4" ht="30" customHeight="1" x14ac:dyDescent="0.35">
      <c r="A1332"/>
      <c r="B1332"/>
      <c r="C1332" s="71"/>
      <c r="D1332" s="72"/>
    </row>
    <row r="1333" spans="1:4" ht="30" customHeight="1" x14ac:dyDescent="0.35">
      <c r="A1333"/>
      <c r="B1333"/>
      <c r="C1333" s="71"/>
      <c r="D1333" s="72"/>
    </row>
    <row r="1334" spans="1:4" ht="30" customHeight="1" x14ac:dyDescent="0.35">
      <c r="A1334"/>
      <c r="B1334"/>
      <c r="C1334" s="71"/>
      <c r="D1334" s="72"/>
    </row>
    <row r="1335" spans="1:4" ht="30" customHeight="1" x14ac:dyDescent="0.35">
      <c r="A1335"/>
      <c r="B1335"/>
      <c r="C1335" s="71"/>
      <c r="D1335" s="72"/>
    </row>
    <row r="1336" spans="1:4" ht="30" customHeight="1" x14ac:dyDescent="0.35">
      <c r="A1336"/>
      <c r="B1336"/>
      <c r="C1336" s="71"/>
      <c r="D1336" s="72"/>
    </row>
    <row r="1337" spans="1:4" ht="30" customHeight="1" x14ac:dyDescent="0.35">
      <c r="A1337"/>
      <c r="B1337"/>
      <c r="C1337" s="71"/>
      <c r="D1337" s="72"/>
    </row>
    <row r="1338" spans="1:4" ht="30" customHeight="1" x14ac:dyDescent="0.35">
      <c r="A1338"/>
      <c r="B1338"/>
      <c r="C1338" s="71"/>
      <c r="D1338" s="72"/>
    </row>
    <row r="1339" spans="1:4" ht="30" customHeight="1" x14ac:dyDescent="0.35">
      <c r="A1339"/>
      <c r="B1339"/>
      <c r="C1339" s="71"/>
      <c r="D1339" s="72"/>
    </row>
    <row r="1340" spans="1:4" ht="30" customHeight="1" x14ac:dyDescent="0.35">
      <c r="A1340"/>
      <c r="B1340"/>
      <c r="C1340" s="71"/>
      <c r="D1340" s="72"/>
    </row>
    <row r="1341" spans="1:4" ht="30" customHeight="1" x14ac:dyDescent="0.35">
      <c r="A1341"/>
      <c r="B1341"/>
      <c r="C1341" s="71"/>
      <c r="D1341" s="72"/>
    </row>
    <row r="1342" spans="1:4" ht="30" customHeight="1" x14ac:dyDescent="0.35">
      <c r="A1342"/>
      <c r="B1342"/>
      <c r="C1342" s="71"/>
      <c r="D1342" s="72"/>
    </row>
    <row r="1343" spans="1:4" ht="30" customHeight="1" x14ac:dyDescent="0.35">
      <c r="A1343"/>
      <c r="B1343"/>
      <c r="C1343" s="71"/>
      <c r="D1343" s="72"/>
    </row>
    <row r="1344" spans="1:4" ht="30" customHeight="1" x14ac:dyDescent="0.35">
      <c r="A1344"/>
      <c r="B1344"/>
      <c r="C1344" s="71"/>
      <c r="D1344" s="72"/>
    </row>
    <row r="1345" spans="1:4" ht="30" customHeight="1" x14ac:dyDescent="0.35">
      <c r="A1345"/>
      <c r="B1345"/>
      <c r="C1345" s="71"/>
      <c r="D1345" s="72"/>
    </row>
    <row r="1346" spans="1:4" ht="30" customHeight="1" x14ac:dyDescent="0.35">
      <c r="A1346"/>
      <c r="B1346"/>
      <c r="C1346" s="71"/>
      <c r="D1346" s="72"/>
    </row>
    <row r="1347" spans="1:4" ht="30" customHeight="1" x14ac:dyDescent="0.35">
      <c r="A1347"/>
      <c r="B1347"/>
      <c r="C1347" s="71"/>
      <c r="D1347" s="72"/>
    </row>
    <row r="1348" spans="1:4" ht="30" customHeight="1" x14ac:dyDescent="0.35">
      <c r="A1348"/>
      <c r="B1348"/>
      <c r="C1348" s="71"/>
      <c r="D1348" s="72"/>
    </row>
    <row r="1349" spans="1:4" ht="30" customHeight="1" x14ac:dyDescent="0.35">
      <c r="A1349"/>
      <c r="B1349"/>
      <c r="C1349" s="71"/>
      <c r="D1349" s="72"/>
    </row>
    <row r="1350" spans="1:4" ht="30" customHeight="1" x14ac:dyDescent="0.35">
      <c r="A1350"/>
      <c r="B1350"/>
      <c r="C1350" s="71"/>
      <c r="D1350" s="72"/>
    </row>
    <row r="1351" spans="1:4" ht="30" customHeight="1" x14ac:dyDescent="0.35">
      <c r="A1351"/>
      <c r="B1351"/>
      <c r="C1351" s="71"/>
      <c r="D1351" s="72"/>
    </row>
    <row r="1352" spans="1:4" ht="30" customHeight="1" x14ac:dyDescent="0.35">
      <c r="A1352"/>
      <c r="B1352"/>
      <c r="C1352" s="71"/>
      <c r="D1352" s="72"/>
    </row>
    <row r="1353" spans="1:4" ht="30" customHeight="1" x14ac:dyDescent="0.35">
      <c r="A1353"/>
      <c r="B1353"/>
      <c r="C1353" s="71"/>
      <c r="D1353" s="72"/>
    </row>
    <row r="1354" spans="1:4" ht="30" customHeight="1" x14ac:dyDescent="0.35">
      <c r="A1354"/>
      <c r="B1354"/>
      <c r="C1354" s="71"/>
      <c r="D1354" s="72"/>
    </row>
    <row r="1355" spans="1:4" ht="30" customHeight="1" x14ac:dyDescent="0.35">
      <c r="A1355"/>
      <c r="B1355"/>
      <c r="C1355" s="71"/>
      <c r="D1355" s="72"/>
    </row>
    <row r="1356" spans="1:4" ht="30" customHeight="1" x14ac:dyDescent="0.35">
      <c r="A1356"/>
      <c r="B1356"/>
      <c r="C1356" s="71"/>
      <c r="D1356" s="72"/>
    </row>
    <row r="1357" spans="1:4" ht="30" customHeight="1" x14ac:dyDescent="0.35">
      <c r="A1357"/>
      <c r="B1357"/>
      <c r="C1357" s="71"/>
      <c r="D1357" s="72"/>
    </row>
    <row r="1358" spans="1:4" ht="30" customHeight="1" x14ac:dyDescent="0.35">
      <c r="A1358"/>
      <c r="B1358"/>
      <c r="C1358" s="71"/>
      <c r="D1358" s="72"/>
    </row>
    <row r="1359" spans="1:4" ht="30" customHeight="1" x14ac:dyDescent="0.35">
      <c r="A1359"/>
      <c r="B1359"/>
      <c r="C1359" s="71"/>
      <c r="D1359" s="72"/>
    </row>
    <row r="1360" spans="1:4" ht="30" customHeight="1" x14ac:dyDescent="0.35">
      <c r="A1360"/>
      <c r="B1360"/>
      <c r="C1360" s="71"/>
      <c r="D1360" s="72"/>
    </row>
    <row r="1361" spans="1:4" ht="30" customHeight="1" x14ac:dyDescent="0.35">
      <c r="A1361"/>
      <c r="B1361"/>
      <c r="C1361" s="71"/>
      <c r="D1361" s="72"/>
    </row>
    <row r="1362" spans="1:4" ht="30" customHeight="1" x14ac:dyDescent="0.35">
      <c r="A1362"/>
      <c r="B1362"/>
      <c r="C1362" s="71"/>
      <c r="D1362" s="72"/>
    </row>
    <row r="1363" spans="1:4" ht="30" customHeight="1" x14ac:dyDescent="0.35">
      <c r="A1363"/>
      <c r="B1363"/>
      <c r="C1363" s="71"/>
      <c r="D1363" s="72"/>
    </row>
    <row r="1364" spans="1:4" ht="30" customHeight="1" x14ac:dyDescent="0.35">
      <c r="A1364"/>
      <c r="B1364"/>
      <c r="C1364" s="71"/>
      <c r="D1364" s="72"/>
    </row>
    <row r="1365" spans="1:4" ht="30" customHeight="1" x14ac:dyDescent="0.35">
      <c r="A1365"/>
      <c r="B1365"/>
      <c r="C1365" s="71"/>
      <c r="D1365" s="72"/>
    </row>
    <row r="1366" spans="1:4" ht="30" customHeight="1" x14ac:dyDescent="0.35">
      <c r="A1366"/>
      <c r="B1366"/>
      <c r="C1366" s="71"/>
      <c r="D1366" s="72"/>
    </row>
    <row r="1367" spans="1:4" ht="30" customHeight="1" x14ac:dyDescent="0.35">
      <c r="A1367"/>
      <c r="B1367"/>
      <c r="C1367" s="71"/>
      <c r="D1367" s="72"/>
    </row>
    <row r="1368" spans="1:4" ht="30" customHeight="1" x14ac:dyDescent="0.35">
      <c r="A1368"/>
      <c r="B1368"/>
      <c r="C1368" s="71"/>
      <c r="D1368" s="72"/>
    </row>
    <row r="1369" spans="1:4" ht="30" customHeight="1" x14ac:dyDescent="0.35">
      <c r="A1369"/>
      <c r="B1369"/>
      <c r="C1369" s="71"/>
      <c r="D1369" s="72"/>
    </row>
    <row r="1370" spans="1:4" ht="30" customHeight="1" x14ac:dyDescent="0.35">
      <c r="A1370"/>
      <c r="B1370"/>
      <c r="C1370" s="71"/>
      <c r="D1370" s="72"/>
    </row>
    <row r="1371" spans="1:4" ht="30" customHeight="1" x14ac:dyDescent="0.35">
      <c r="A1371"/>
      <c r="B1371"/>
      <c r="C1371" s="71"/>
      <c r="D1371" s="72"/>
    </row>
    <row r="1372" spans="1:4" ht="30" customHeight="1" x14ac:dyDescent="0.35">
      <c r="A1372"/>
      <c r="B1372"/>
      <c r="C1372" s="71"/>
      <c r="D1372" s="72"/>
    </row>
    <row r="1373" spans="1:4" ht="30" customHeight="1" x14ac:dyDescent="0.35">
      <c r="A1373"/>
      <c r="B1373"/>
      <c r="C1373" s="71"/>
      <c r="D1373" s="72"/>
    </row>
    <row r="1374" spans="1:4" ht="30" customHeight="1" x14ac:dyDescent="0.35">
      <c r="A1374"/>
      <c r="B1374"/>
      <c r="C1374" s="71"/>
      <c r="D1374" s="72"/>
    </row>
    <row r="1375" spans="1:4" ht="30" customHeight="1" x14ac:dyDescent="0.35">
      <c r="A1375"/>
      <c r="B1375"/>
      <c r="C1375" s="71"/>
      <c r="D1375" s="72"/>
    </row>
    <row r="1376" spans="1:4" ht="30" customHeight="1" x14ac:dyDescent="0.35">
      <c r="A1376"/>
      <c r="B1376"/>
      <c r="C1376" s="71"/>
      <c r="D1376" s="72"/>
    </row>
    <row r="1377" spans="1:4" ht="30" customHeight="1" x14ac:dyDescent="0.35">
      <c r="A1377"/>
      <c r="B1377"/>
      <c r="C1377" s="71"/>
      <c r="D1377" s="72"/>
    </row>
    <row r="1378" spans="1:4" ht="30" customHeight="1" x14ac:dyDescent="0.35">
      <c r="A1378"/>
      <c r="B1378"/>
      <c r="C1378" s="71"/>
      <c r="D1378" s="72"/>
    </row>
    <row r="1379" spans="1:4" ht="30" customHeight="1" x14ac:dyDescent="0.35">
      <c r="A1379"/>
      <c r="B1379"/>
      <c r="C1379" s="71"/>
      <c r="D1379" s="72"/>
    </row>
    <row r="1380" spans="1:4" ht="30" customHeight="1" x14ac:dyDescent="0.35">
      <c r="A1380"/>
      <c r="B1380"/>
      <c r="C1380" s="71"/>
      <c r="D1380" s="72"/>
    </row>
    <row r="1381" spans="1:4" ht="30" customHeight="1" x14ac:dyDescent="0.35">
      <c r="A1381"/>
      <c r="B1381"/>
      <c r="C1381" s="71"/>
      <c r="D1381" s="72"/>
    </row>
    <row r="1382" spans="1:4" ht="30" customHeight="1" x14ac:dyDescent="0.35">
      <c r="A1382"/>
      <c r="B1382"/>
      <c r="C1382" s="71"/>
      <c r="D1382" s="72"/>
    </row>
    <row r="1383" spans="1:4" ht="30" customHeight="1" x14ac:dyDescent="0.35">
      <c r="A1383"/>
      <c r="B1383"/>
      <c r="C1383" s="71"/>
      <c r="D1383" s="72"/>
    </row>
    <row r="1384" spans="1:4" ht="30" customHeight="1" x14ac:dyDescent="0.35">
      <c r="A1384"/>
      <c r="B1384"/>
      <c r="C1384" s="71"/>
      <c r="D1384" s="72"/>
    </row>
    <row r="1385" spans="1:4" ht="30" customHeight="1" x14ac:dyDescent="0.35">
      <c r="A1385"/>
      <c r="B1385"/>
      <c r="C1385" s="71"/>
      <c r="D1385" s="72"/>
    </row>
    <row r="1386" spans="1:4" ht="30" customHeight="1" x14ac:dyDescent="0.35">
      <c r="A1386"/>
      <c r="B1386"/>
      <c r="C1386" s="71"/>
      <c r="D1386" s="72"/>
    </row>
    <row r="1387" spans="1:4" ht="30" customHeight="1" x14ac:dyDescent="0.35">
      <c r="A1387"/>
      <c r="B1387"/>
      <c r="C1387" s="71"/>
      <c r="D1387" s="72"/>
    </row>
    <row r="1388" spans="1:4" ht="30" customHeight="1" x14ac:dyDescent="0.35">
      <c r="A1388"/>
      <c r="B1388"/>
      <c r="C1388" s="71"/>
      <c r="D1388" s="72"/>
    </row>
    <row r="1389" spans="1:4" ht="30" customHeight="1" x14ac:dyDescent="0.35">
      <c r="A1389"/>
      <c r="B1389"/>
      <c r="C1389" s="71"/>
      <c r="D1389" s="72"/>
    </row>
    <row r="1390" spans="1:4" ht="30" customHeight="1" x14ac:dyDescent="0.35">
      <c r="A1390"/>
      <c r="B1390"/>
      <c r="C1390" s="71"/>
      <c r="D1390" s="72"/>
    </row>
    <row r="1391" spans="1:4" ht="30" customHeight="1" x14ac:dyDescent="0.35">
      <c r="A1391"/>
      <c r="B1391"/>
      <c r="C1391" s="71"/>
      <c r="D1391" s="72"/>
    </row>
    <row r="1392" spans="1:4" ht="30" customHeight="1" x14ac:dyDescent="0.35">
      <c r="A1392"/>
      <c r="B1392"/>
      <c r="C1392" s="71"/>
      <c r="D1392" s="72"/>
    </row>
    <row r="1393" spans="1:4" ht="30" customHeight="1" x14ac:dyDescent="0.35">
      <c r="A1393"/>
      <c r="B1393"/>
      <c r="C1393" s="71"/>
      <c r="D1393" s="72"/>
    </row>
    <row r="1394" spans="1:4" ht="30" customHeight="1" x14ac:dyDescent="0.35">
      <c r="A1394"/>
      <c r="B1394"/>
      <c r="C1394" s="71"/>
      <c r="D1394" s="72"/>
    </row>
    <row r="1395" spans="1:4" ht="30" customHeight="1" x14ac:dyDescent="0.35">
      <c r="A1395"/>
      <c r="B1395"/>
      <c r="C1395" s="71"/>
      <c r="D1395" s="72"/>
    </row>
    <row r="1396" spans="1:4" ht="30" customHeight="1" x14ac:dyDescent="0.35">
      <c r="A1396"/>
      <c r="B1396"/>
      <c r="C1396" s="71"/>
      <c r="D1396" s="72"/>
    </row>
    <row r="1397" spans="1:4" ht="30" customHeight="1" x14ac:dyDescent="0.35">
      <c r="A1397"/>
      <c r="B1397"/>
      <c r="C1397" s="71"/>
      <c r="D1397" s="72"/>
    </row>
    <row r="1398" spans="1:4" ht="30" customHeight="1" x14ac:dyDescent="0.35">
      <c r="A1398"/>
      <c r="B1398"/>
      <c r="C1398" s="71"/>
      <c r="D1398" s="72"/>
    </row>
    <row r="1399" spans="1:4" ht="30" customHeight="1" x14ac:dyDescent="0.35">
      <c r="A1399"/>
      <c r="B1399"/>
      <c r="C1399" s="71"/>
      <c r="D1399" s="72"/>
    </row>
    <row r="1400" spans="1:4" ht="30" customHeight="1" x14ac:dyDescent="0.35">
      <c r="A1400"/>
      <c r="B1400"/>
      <c r="C1400" s="71"/>
      <c r="D1400" s="72"/>
    </row>
    <row r="1401" spans="1:4" ht="30" customHeight="1" x14ac:dyDescent="0.35">
      <c r="A1401"/>
      <c r="B1401"/>
      <c r="C1401" s="71"/>
      <c r="D1401" s="72"/>
    </row>
    <row r="1402" spans="1:4" ht="30" customHeight="1" x14ac:dyDescent="0.35">
      <c r="A1402"/>
      <c r="B1402"/>
      <c r="C1402" s="71"/>
      <c r="D1402" s="72"/>
    </row>
    <row r="1403" spans="1:4" ht="30" customHeight="1" x14ac:dyDescent="0.35">
      <c r="A1403"/>
      <c r="B1403"/>
      <c r="C1403" s="71"/>
      <c r="D1403" s="72"/>
    </row>
    <row r="1404" spans="1:4" ht="30" customHeight="1" x14ac:dyDescent="0.35">
      <c r="A1404"/>
      <c r="B1404"/>
      <c r="C1404" s="71"/>
      <c r="D1404" s="72"/>
    </row>
    <row r="1405" spans="1:4" ht="30" customHeight="1" x14ac:dyDescent="0.35">
      <c r="A1405"/>
      <c r="B1405"/>
      <c r="C1405" s="71"/>
      <c r="D1405" s="72"/>
    </row>
    <row r="1406" spans="1:4" ht="30" customHeight="1" x14ac:dyDescent="0.35">
      <c r="A1406"/>
      <c r="B1406"/>
      <c r="C1406" s="71"/>
      <c r="D1406" s="72"/>
    </row>
    <row r="1407" spans="1:4" ht="30" customHeight="1" x14ac:dyDescent="0.35">
      <c r="A1407"/>
      <c r="B1407"/>
      <c r="C1407" s="71"/>
      <c r="D1407" s="72"/>
    </row>
    <row r="1408" spans="1:4" ht="30" customHeight="1" x14ac:dyDescent="0.35">
      <c r="A1408"/>
      <c r="B1408"/>
      <c r="C1408" s="71"/>
      <c r="D1408" s="72"/>
    </row>
    <row r="1409" spans="1:4" ht="30" customHeight="1" x14ac:dyDescent="0.35">
      <c r="A1409"/>
      <c r="B1409"/>
      <c r="C1409" s="71"/>
      <c r="D1409" s="72"/>
    </row>
    <row r="1410" spans="1:4" ht="30" customHeight="1" x14ac:dyDescent="0.35">
      <c r="A1410"/>
      <c r="B1410"/>
      <c r="C1410" s="71"/>
      <c r="D1410" s="72"/>
    </row>
    <row r="1411" spans="1:4" ht="30" customHeight="1" x14ac:dyDescent="0.35">
      <c r="A1411"/>
      <c r="B1411"/>
      <c r="C1411" s="71"/>
      <c r="D1411" s="72"/>
    </row>
    <row r="1412" spans="1:4" ht="30" customHeight="1" x14ac:dyDescent="0.35">
      <c r="A1412"/>
      <c r="B1412"/>
      <c r="C1412" s="71"/>
      <c r="D1412" s="72"/>
    </row>
    <row r="1413" spans="1:4" ht="30" customHeight="1" x14ac:dyDescent="0.35">
      <c r="A1413"/>
      <c r="B1413"/>
      <c r="C1413" s="71"/>
      <c r="D1413" s="72"/>
    </row>
    <row r="1414" spans="1:4" ht="30" customHeight="1" x14ac:dyDescent="0.35">
      <c r="A1414"/>
      <c r="B1414"/>
      <c r="C1414" s="71"/>
      <c r="D1414" s="72"/>
    </row>
    <row r="1415" spans="1:4" ht="30" customHeight="1" x14ac:dyDescent="0.35">
      <c r="A1415"/>
      <c r="B1415"/>
      <c r="C1415" s="71"/>
      <c r="D1415" s="72"/>
    </row>
    <row r="1416" spans="1:4" ht="30" customHeight="1" x14ac:dyDescent="0.35">
      <c r="A1416"/>
      <c r="B1416"/>
      <c r="C1416" s="71"/>
      <c r="D1416" s="72"/>
    </row>
    <row r="1417" spans="1:4" ht="30" customHeight="1" x14ac:dyDescent="0.35">
      <c r="A1417"/>
      <c r="B1417"/>
      <c r="C1417" s="71"/>
      <c r="D1417" s="72"/>
    </row>
    <row r="1418" spans="1:4" ht="30" customHeight="1" x14ac:dyDescent="0.35">
      <c r="A1418"/>
      <c r="B1418"/>
      <c r="C1418" s="71"/>
      <c r="D1418" s="72"/>
    </row>
    <row r="1419" spans="1:4" ht="30" customHeight="1" x14ac:dyDescent="0.35">
      <c r="A1419"/>
      <c r="B1419"/>
      <c r="C1419" s="71"/>
      <c r="D1419" s="72"/>
    </row>
    <row r="1420" spans="1:4" ht="30" customHeight="1" x14ac:dyDescent="0.35">
      <c r="A1420"/>
      <c r="B1420"/>
      <c r="C1420" s="71"/>
      <c r="D1420" s="72"/>
    </row>
    <row r="1421" spans="1:4" ht="30" customHeight="1" x14ac:dyDescent="0.35">
      <c r="A1421"/>
      <c r="B1421"/>
      <c r="C1421" s="71"/>
      <c r="D1421" s="72"/>
    </row>
    <row r="1422" spans="1:4" ht="30" customHeight="1" x14ac:dyDescent="0.35">
      <c r="A1422"/>
      <c r="B1422"/>
      <c r="C1422" s="71"/>
      <c r="D1422" s="72"/>
    </row>
    <row r="1423" spans="1:4" ht="30" customHeight="1" x14ac:dyDescent="0.35">
      <c r="A1423"/>
      <c r="B1423"/>
      <c r="C1423" s="71"/>
      <c r="D1423" s="72"/>
    </row>
    <row r="1424" spans="1:4" ht="30" customHeight="1" x14ac:dyDescent="0.35">
      <c r="A1424"/>
      <c r="B1424"/>
      <c r="C1424" s="71"/>
      <c r="D1424" s="72"/>
    </row>
    <row r="1425" spans="1:4" ht="30" customHeight="1" x14ac:dyDescent="0.35">
      <c r="A1425"/>
      <c r="B1425"/>
      <c r="C1425" s="71"/>
      <c r="D1425" s="72"/>
    </row>
    <row r="1426" spans="1:4" ht="30" customHeight="1" x14ac:dyDescent="0.35">
      <c r="A1426"/>
      <c r="B1426"/>
      <c r="C1426" s="71"/>
      <c r="D1426" s="72"/>
    </row>
    <row r="1427" spans="1:4" ht="30" customHeight="1" x14ac:dyDescent="0.35">
      <c r="A1427"/>
      <c r="B1427"/>
      <c r="C1427" s="71"/>
      <c r="D1427" s="72"/>
    </row>
    <row r="1428" spans="1:4" ht="30" customHeight="1" x14ac:dyDescent="0.35">
      <c r="A1428"/>
      <c r="B1428"/>
      <c r="C1428" s="71"/>
      <c r="D1428" s="72"/>
    </row>
    <row r="1429" spans="1:4" ht="30" customHeight="1" x14ac:dyDescent="0.35">
      <c r="A1429"/>
      <c r="B1429"/>
      <c r="C1429" s="71"/>
      <c r="D1429" s="72"/>
    </row>
    <row r="1430" spans="1:4" ht="30" customHeight="1" x14ac:dyDescent="0.35">
      <c r="A1430"/>
      <c r="B1430"/>
      <c r="C1430" s="71"/>
      <c r="D1430" s="72"/>
    </row>
    <row r="1431" spans="1:4" ht="30" customHeight="1" x14ac:dyDescent="0.35">
      <c r="A1431"/>
      <c r="B1431"/>
      <c r="C1431" s="71"/>
      <c r="D1431" s="72"/>
    </row>
    <row r="1432" spans="1:4" ht="30" customHeight="1" x14ac:dyDescent="0.35">
      <c r="A1432"/>
      <c r="B1432"/>
      <c r="C1432" s="71"/>
      <c r="D1432" s="72"/>
    </row>
    <row r="1433" spans="1:4" ht="30" customHeight="1" x14ac:dyDescent="0.35">
      <c r="A1433"/>
      <c r="B1433"/>
      <c r="C1433" s="71"/>
      <c r="D1433" s="72"/>
    </row>
    <row r="1434" spans="1:4" ht="30" customHeight="1" x14ac:dyDescent="0.35">
      <c r="A1434"/>
      <c r="B1434"/>
      <c r="C1434" s="71"/>
      <c r="D1434" s="72"/>
    </row>
    <row r="1435" spans="1:4" ht="30" customHeight="1" x14ac:dyDescent="0.35">
      <c r="A1435"/>
      <c r="B1435"/>
      <c r="C1435" s="71"/>
      <c r="D1435" s="72"/>
    </row>
    <row r="1436" spans="1:4" ht="30" customHeight="1" x14ac:dyDescent="0.35">
      <c r="A1436"/>
      <c r="B1436"/>
      <c r="C1436" s="71"/>
      <c r="D1436" s="72"/>
    </row>
    <row r="1437" spans="1:4" ht="30" customHeight="1" x14ac:dyDescent="0.35">
      <c r="A1437"/>
      <c r="B1437"/>
      <c r="C1437" s="71"/>
      <c r="D1437" s="72"/>
    </row>
    <row r="1438" spans="1:4" ht="30" customHeight="1" x14ac:dyDescent="0.35">
      <c r="A1438"/>
      <c r="B1438"/>
      <c r="C1438" s="71"/>
      <c r="D1438" s="72"/>
    </row>
    <row r="1439" spans="1:4" ht="30" customHeight="1" x14ac:dyDescent="0.35">
      <c r="A1439"/>
      <c r="B1439"/>
      <c r="C1439" s="71"/>
      <c r="D1439" s="72"/>
    </row>
    <row r="1440" spans="1:4" ht="30" customHeight="1" x14ac:dyDescent="0.35">
      <c r="A1440"/>
      <c r="B1440"/>
      <c r="C1440" s="71"/>
      <c r="D1440" s="72"/>
    </row>
    <row r="1441" spans="1:4" ht="30" customHeight="1" x14ac:dyDescent="0.35">
      <c r="A1441"/>
      <c r="B1441"/>
      <c r="C1441" s="71"/>
      <c r="D1441" s="72"/>
    </row>
    <row r="1442" spans="1:4" ht="30" customHeight="1" x14ac:dyDescent="0.35">
      <c r="A1442"/>
      <c r="B1442"/>
      <c r="C1442" s="71"/>
      <c r="D1442" s="72"/>
    </row>
    <row r="1443" spans="1:4" ht="30" customHeight="1" x14ac:dyDescent="0.35">
      <c r="A1443"/>
      <c r="B1443"/>
      <c r="C1443" s="71"/>
      <c r="D1443" s="72"/>
    </row>
    <row r="1444" spans="1:4" ht="30" customHeight="1" x14ac:dyDescent="0.35">
      <c r="A1444"/>
      <c r="B1444"/>
      <c r="C1444" s="71"/>
      <c r="D1444" s="72"/>
    </row>
    <row r="1445" spans="1:4" ht="30" customHeight="1" x14ac:dyDescent="0.35">
      <c r="A1445"/>
      <c r="B1445"/>
      <c r="C1445" s="71"/>
      <c r="D1445" s="72"/>
    </row>
    <row r="1446" spans="1:4" ht="30" customHeight="1" x14ac:dyDescent="0.35">
      <c r="A1446"/>
      <c r="B1446"/>
      <c r="C1446" s="71"/>
      <c r="D1446" s="72"/>
    </row>
    <row r="1447" spans="1:4" ht="30" customHeight="1" x14ac:dyDescent="0.35">
      <c r="A1447"/>
      <c r="B1447"/>
      <c r="C1447" s="71"/>
      <c r="D1447" s="72"/>
    </row>
    <row r="1448" spans="1:4" ht="30" customHeight="1" x14ac:dyDescent="0.35">
      <c r="A1448"/>
      <c r="B1448"/>
      <c r="C1448" s="71"/>
      <c r="D1448" s="72"/>
    </row>
    <row r="1449" spans="1:4" ht="30" customHeight="1" x14ac:dyDescent="0.35">
      <c r="A1449"/>
      <c r="B1449"/>
      <c r="C1449" s="71"/>
      <c r="D1449" s="72"/>
    </row>
    <row r="1450" spans="1:4" ht="30" customHeight="1" x14ac:dyDescent="0.35">
      <c r="A1450"/>
      <c r="B1450"/>
      <c r="C1450" s="71"/>
      <c r="D1450" s="72"/>
    </row>
    <row r="1451" spans="1:4" ht="30" customHeight="1" x14ac:dyDescent="0.35">
      <c r="A1451"/>
      <c r="B1451"/>
      <c r="C1451" s="71"/>
      <c r="D1451" s="72"/>
    </row>
    <row r="1452" spans="1:4" ht="30" customHeight="1" x14ac:dyDescent="0.35">
      <c r="A1452"/>
      <c r="B1452"/>
      <c r="C1452" s="71"/>
      <c r="D1452" s="72"/>
    </row>
    <row r="1453" spans="1:4" ht="30" customHeight="1" x14ac:dyDescent="0.35">
      <c r="A1453"/>
      <c r="B1453"/>
      <c r="C1453" s="71"/>
      <c r="D1453" s="72"/>
    </row>
    <row r="1454" spans="1:4" ht="30" customHeight="1" x14ac:dyDescent="0.35">
      <c r="A1454"/>
      <c r="B1454"/>
      <c r="C1454" s="71"/>
      <c r="D1454" s="72"/>
    </row>
    <row r="1455" spans="1:4" ht="30" customHeight="1" x14ac:dyDescent="0.35">
      <c r="A1455"/>
      <c r="B1455"/>
      <c r="C1455" s="71"/>
      <c r="D1455" s="72"/>
    </row>
    <row r="1456" spans="1:4" ht="30" customHeight="1" x14ac:dyDescent="0.35">
      <c r="A1456"/>
      <c r="B1456"/>
      <c r="C1456" s="71"/>
      <c r="D1456" s="72"/>
    </row>
    <row r="1457" spans="1:4" ht="30" customHeight="1" x14ac:dyDescent="0.35">
      <c r="A1457"/>
      <c r="B1457"/>
      <c r="C1457" s="71"/>
      <c r="D1457" s="72"/>
    </row>
    <row r="1458" spans="1:4" ht="30" customHeight="1" x14ac:dyDescent="0.35">
      <c r="A1458"/>
      <c r="B1458"/>
      <c r="C1458" s="71"/>
      <c r="D1458" s="72"/>
    </row>
    <row r="1459" spans="1:4" ht="30" customHeight="1" x14ac:dyDescent="0.35">
      <c r="A1459"/>
      <c r="B1459"/>
      <c r="C1459" s="71"/>
      <c r="D1459" s="72"/>
    </row>
    <row r="1460" spans="1:4" ht="30" customHeight="1" x14ac:dyDescent="0.35">
      <c r="A1460"/>
      <c r="B1460"/>
      <c r="C1460" s="71"/>
      <c r="D1460" s="72"/>
    </row>
    <row r="1461" spans="1:4" ht="30" customHeight="1" x14ac:dyDescent="0.35">
      <c r="A1461"/>
      <c r="B1461"/>
      <c r="C1461" s="71"/>
      <c r="D1461" s="72"/>
    </row>
    <row r="1462" spans="1:4" ht="30" customHeight="1" x14ac:dyDescent="0.35">
      <c r="A1462"/>
      <c r="B1462"/>
      <c r="C1462" s="71"/>
      <c r="D1462" s="72"/>
    </row>
    <row r="1463" spans="1:4" ht="30" customHeight="1" x14ac:dyDescent="0.35">
      <c r="A1463"/>
      <c r="B1463"/>
      <c r="C1463" s="71"/>
      <c r="D1463" s="72"/>
    </row>
    <row r="1464" spans="1:4" ht="30" customHeight="1" x14ac:dyDescent="0.35">
      <c r="A1464"/>
      <c r="B1464"/>
      <c r="C1464" s="71"/>
      <c r="D1464" s="72"/>
    </row>
    <row r="1465" spans="1:4" ht="30" customHeight="1" x14ac:dyDescent="0.35">
      <c r="A1465"/>
      <c r="B1465"/>
      <c r="C1465" s="71"/>
      <c r="D1465" s="72"/>
    </row>
    <row r="1466" spans="1:4" ht="30" customHeight="1" x14ac:dyDescent="0.35">
      <c r="A1466"/>
      <c r="B1466"/>
      <c r="C1466" s="71"/>
      <c r="D1466" s="72"/>
    </row>
    <row r="1467" spans="1:4" ht="30" customHeight="1" x14ac:dyDescent="0.35">
      <c r="A1467"/>
      <c r="B1467"/>
      <c r="C1467" s="71"/>
      <c r="D1467" s="72"/>
    </row>
    <row r="1468" spans="1:4" ht="30" customHeight="1" x14ac:dyDescent="0.35">
      <c r="A1468"/>
      <c r="B1468"/>
      <c r="C1468" s="71"/>
      <c r="D1468" s="72"/>
    </row>
    <row r="1469" spans="1:4" ht="30" customHeight="1" x14ac:dyDescent="0.35">
      <c r="A1469"/>
      <c r="B1469"/>
      <c r="C1469" s="71"/>
      <c r="D1469" s="72"/>
    </row>
    <row r="1470" spans="1:4" ht="30" customHeight="1" x14ac:dyDescent="0.35">
      <c r="A1470"/>
      <c r="B1470"/>
      <c r="C1470" s="71"/>
      <c r="D1470" s="72"/>
    </row>
    <row r="1471" spans="1:4" ht="30" customHeight="1" x14ac:dyDescent="0.35">
      <c r="A1471"/>
      <c r="B1471"/>
      <c r="C1471" s="71"/>
      <c r="D1471" s="72"/>
    </row>
    <row r="1472" spans="1:4" ht="30" customHeight="1" x14ac:dyDescent="0.35">
      <c r="A1472"/>
      <c r="B1472"/>
      <c r="C1472" s="71"/>
      <c r="D1472" s="72"/>
    </row>
    <row r="1473" spans="1:4" ht="30" customHeight="1" x14ac:dyDescent="0.35">
      <c r="A1473"/>
      <c r="B1473"/>
      <c r="C1473" s="71"/>
      <c r="D1473" s="72"/>
    </row>
    <row r="1474" spans="1:4" ht="30" customHeight="1" x14ac:dyDescent="0.35">
      <c r="A1474"/>
      <c r="B1474"/>
      <c r="C1474" s="71"/>
      <c r="D1474" s="72"/>
    </row>
    <row r="1475" spans="1:4" ht="30" customHeight="1" x14ac:dyDescent="0.35">
      <c r="A1475"/>
      <c r="B1475"/>
      <c r="C1475" s="71"/>
      <c r="D1475" s="72"/>
    </row>
    <row r="1476" spans="1:4" ht="30" customHeight="1" x14ac:dyDescent="0.35">
      <c r="A1476"/>
      <c r="B1476"/>
      <c r="C1476" s="71"/>
      <c r="D1476" s="72"/>
    </row>
    <row r="1477" spans="1:4" ht="30" customHeight="1" x14ac:dyDescent="0.35">
      <c r="A1477"/>
      <c r="B1477"/>
      <c r="C1477" s="71"/>
      <c r="D1477" s="72"/>
    </row>
    <row r="1478" spans="1:4" ht="30" customHeight="1" x14ac:dyDescent="0.35">
      <c r="A1478"/>
      <c r="B1478"/>
      <c r="C1478" s="71"/>
      <c r="D1478" s="72"/>
    </row>
    <row r="1479" spans="1:4" ht="30" customHeight="1" x14ac:dyDescent="0.35">
      <c r="A1479"/>
      <c r="B1479"/>
      <c r="C1479" s="71"/>
      <c r="D1479" s="72"/>
    </row>
    <row r="1480" spans="1:4" ht="30" customHeight="1" x14ac:dyDescent="0.35">
      <c r="A1480"/>
      <c r="B1480"/>
      <c r="C1480" s="71"/>
      <c r="D1480" s="72"/>
    </row>
    <row r="1481" spans="1:4" ht="30" customHeight="1" x14ac:dyDescent="0.35">
      <c r="A1481"/>
      <c r="B1481"/>
      <c r="C1481" s="71"/>
      <c r="D1481" s="72"/>
    </row>
    <row r="1482" spans="1:4" ht="30" customHeight="1" x14ac:dyDescent="0.35">
      <c r="A1482"/>
      <c r="B1482"/>
      <c r="C1482" s="71"/>
      <c r="D1482" s="72"/>
    </row>
    <row r="1483" spans="1:4" ht="30" customHeight="1" x14ac:dyDescent="0.35">
      <c r="A1483"/>
      <c r="B1483"/>
      <c r="C1483" s="71"/>
      <c r="D1483" s="72"/>
    </row>
    <row r="1484" spans="1:4" ht="30" customHeight="1" x14ac:dyDescent="0.35">
      <c r="A1484"/>
      <c r="B1484"/>
      <c r="C1484" s="71"/>
      <c r="D1484" s="72"/>
    </row>
    <row r="1485" spans="1:4" ht="30" customHeight="1" x14ac:dyDescent="0.35">
      <c r="A1485"/>
      <c r="B1485"/>
      <c r="C1485" s="71"/>
      <c r="D1485" s="72"/>
    </row>
    <row r="1486" spans="1:4" ht="30" customHeight="1" x14ac:dyDescent="0.35">
      <c r="A1486"/>
      <c r="B1486"/>
      <c r="C1486" s="71"/>
      <c r="D1486" s="72"/>
    </row>
    <row r="1487" spans="1:4" ht="30" customHeight="1" x14ac:dyDescent="0.35">
      <c r="A1487"/>
      <c r="B1487"/>
      <c r="C1487" s="71"/>
      <c r="D1487" s="72"/>
    </row>
    <row r="1488" spans="1:4" ht="30" customHeight="1" x14ac:dyDescent="0.35">
      <c r="A1488"/>
      <c r="B1488"/>
      <c r="C1488" s="71"/>
      <c r="D1488" s="72"/>
    </row>
    <row r="1489" spans="1:4" ht="30" customHeight="1" x14ac:dyDescent="0.35">
      <c r="A1489"/>
      <c r="B1489"/>
      <c r="C1489" s="71"/>
      <c r="D1489" s="72"/>
    </row>
    <row r="1490" spans="1:4" ht="30" customHeight="1" x14ac:dyDescent="0.35">
      <c r="A1490"/>
      <c r="B1490"/>
      <c r="C1490" s="71"/>
      <c r="D1490" s="72"/>
    </row>
    <row r="1491" spans="1:4" ht="30" customHeight="1" x14ac:dyDescent="0.35">
      <c r="A1491"/>
      <c r="B1491"/>
      <c r="C1491" s="71"/>
      <c r="D1491" s="72"/>
    </row>
    <row r="1492" spans="1:4" ht="30" customHeight="1" x14ac:dyDescent="0.35">
      <c r="A1492"/>
      <c r="B1492"/>
      <c r="C1492" s="71"/>
      <c r="D1492" s="72"/>
    </row>
    <row r="1493" spans="1:4" ht="30" customHeight="1" x14ac:dyDescent="0.35">
      <c r="A1493"/>
      <c r="B1493"/>
      <c r="C1493" s="71"/>
      <c r="D1493" s="72"/>
    </row>
    <row r="1494" spans="1:4" ht="30" customHeight="1" x14ac:dyDescent="0.35">
      <c r="A1494"/>
      <c r="B1494"/>
      <c r="C1494" s="71"/>
      <c r="D1494" s="72"/>
    </row>
    <row r="1495" spans="1:4" ht="30" customHeight="1" x14ac:dyDescent="0.35">
      <c r="A1495"/>
      <c r="B1495"/>
      <c r="C1495" s="71"/>
      <c r="D1495" s="72"/>
    </row>
    <row r="1496" spans="1:4" ht="30" customHeight="1" x14ac:dyDescent="0.35">
      <c r="A1496"/>
      <c r="B1496"/>
      <c r="C1496" s="71"/>
      <c r="D1496" s="72"/>
    </row>
    <row r="1497" spans="1:4" ht="30" customHeight="1" x14ac:dyDescent="0.35">
      <c r="A1497"/>
      <c r="B1497"/>
      <c r="C1497" s="71"/>
      <c r="D1497" s="72"/>
    </row>
    <row r="1498" spans="1:4" ht="30" customHeight="1" x14ac:dyDescent="0.35">
      <c r="A1498"/>
      <c r="B1498"/>
      <c r="C1498" s="71"/>
      <c r="D1498" s="72"/>
    </row>
    <row r="1499" spans="1:4" ht="30" customHeight="1" x14ac:dyDescent="0.35">
      <c r="A1499"/>
      <c r="B1499"/>
      <c r="C1499" s="71"/>
      <c r="D1499" s="72"/>
    </row>
    <row r="1500" spans="1:4" ht="30" customHeight="1" x14ac:dyDescent="0.35">
      <c r="A1500"/>
      <c r="B1500"/>
      <c r="C1500" s="71"/>
      <c r="D1500" s="72"/>
    </row>
    <row r="1501" spans="1:4" ht="30" customHeight="1" x14ac:dyDescent="0.35">
      <c r="A1501"/>
      <c r="B1501"/>
      <c r="C1501" s="71"/>
      <c r="D1501" s="72"/>
    </row>
    <row r="1502" spans="1:4" ht="30" customHeight="1" x14ac:dyDescent="0.35">
      <c r="A1502"/>
      <c r="B1502"/>
      <c r="C1502" s="71"/>
      <c r="D1502" s="72"/>
    </row>
    <row r="1503" spans="1:4" ht="30" customHeight="1" x14ac:dyDescent="0.35">
      <c r="A1503"/>
      <c r="B1503"/>
      <c r="C1503" s="71"/>
      <c r="D1503" s="72"/>
    </row>
    <row r="1504" spans="1:4" ht="30" customHeight="1" x14ac:dyDescent="0.35">
      <c r="A1504"/>
      <c r="B1504"/>
      <c r="C1504" s="71"/>
      <c r="D1504" s="72"/>
    </row>
    <row r="1505" spans="1:4" ht="30" customHeight="1" x14ac:dyDescent="0.35">
      <c r="A1505"/>
      <c r="B1505"/>
      <c r="C1505" s="71"/>
      <c r="D1505" s="72"/>
    </row>
    <row r="1506" spans="1:4" ht="30" customHeight="1" x14ac:dyDescent="0.35">
      <c r="A1506"/>
      <c r="B1506"/>
      <c r="C1506" s="71"/>
      <c r="D1506" s="72"/>
    </row>
    <row r="1507" spans="1:4" ht="30" customHeight="1" x14ac:dyDescent="0.35">
      <c r="A1507"/>
      <c r="B1507"/>
      <c r="C1507" s="71"/>
      <c r="D1507" s="72"/>
    </row>
    <row r="1508" spans="1:4" ht="30" customHeight="1" x14ac:dyDescent="0.35">
      <c r="A1508"/>
      <c r="B1508"/>
      <c r="C1508" s="71"/>
      <c r="D1508" s="72"/>
    </row>
    <row r="1509" spans="1:4" ht="30" customHeight="1" x14ac:dyDescent="0.35">
      <c r="A1509"/>
      <c r="B1509"/>
      <c r="C1509" s="71"/>
      <c r="D1509" s="72"/>
    </row>
    <row r="1510" spans="1:4" ht="30" customHeight="1" x14ac:dyDescent="0.35">
      <c r="A1510"/>
      <c r="B1510"/>
      <c r="C1510" s="71"/>
      <c r="D1510" s="72"/>
    </row>
    <row r="1511" spans="1:4" ht="30" customHeight="1" x14ac:dyDescent="0.35">
      <c r="A1511"/>
      <c r="B1511"/>
      <c r="C1511" s="71"/>
      <c r="D1511" s="72"/>
    </row>
    <row r="1512" spans="1:4" ht="30" customHeight="1" x14ac:dyDescent="0.35">
      <c r="A1512"/>
      <c r="B1512"/>
      <c r="C1512" s="71"/>
      <c r="D1512" s="72"/>
    </row>
    <row r="1513" spans="1:4" ht="30" customHeight="1" x14ac:dyDescent="0.35">
      <c r="A1513"/>
      <c r="B1513"/>
      <c r="C1513" s="71"/>
      <c r="D1513" s="72"/>
    </row>
    <row r="1514" spans="1:4" ht="30" customHeight="1" x14ac:dyDescent="0.35">
      <c r="A1514"/>
      <c r="B1514"/>
      <c r="C1514" s="71"/>
      <c r="D1514" s="72"/>
    </row>
    <row r="1515" spans="1:4" ht="30" customHeight="1" x14ac:dyDescent="0.35">
      <c r="A1515"/>
      <c r="B1515"/>
      <c r="C1515" s="71"/>
      <c r="D1515" s="72"/>
    </row>
    <row r="1516" spans="1:4" ht="30" customHeight="1" x14ac:dyDescent="0.35">
      <c r="A1516"/>
      <c r="B1516"/>
      <c r="C1516" s="71"/>
      <c r="D1516" s="72"/>
    </row>
    <row r="1517" spans="1:4" ht="30" customHeight="1" x14ac:dyDescent="0.35">
      <c r="A1517"/>
      <c r="B1517"/>
      <c r="C1517" s="71"/>
      <c r="D1517" s="72"/>
    </row>
    <row r="1518" spans="1:4" ht="30" customHeight="1" x14ac:dyDescent="0.35">
      <c r="A1518"/>
      <c r="B1518"/>
      <c r="C1518" s="71"/>
      <c r="D1518" s="72"/>
    </row>
    <row r="1519" spans="1:4" ht="30" customHeight="1" x14ac:dyDescent="0.35">
      <c r="A1519"/>
      <c r="B1519"/>
      <c r="C1519" s="71"/>
      <c r="D1519" s="72"/>
    </row>
    <row r="1520" spans="1:4" ht="30" customHeight="1" x14ac:dyDescent="0.35">
      <c r="A1520"/>
      <c r="B1520"/>
      <c r="C1520" s="71"/>
      <c r="D1520" s="72"/>
    </row>
    <row r="1521" spans="1:4" ht="30" customHeight="1" x14ac:dyDescent="0.35">
      <c r="A1521"/>
      <c r="B1521"/>
      <c r="C1521" s="71"/>
      <c r="D1521" s="72"/>
    </row>
    <row r="1522" spans="1:4" ht="30" customHeight="1" x14ac:dyDescent="0.35">
      <c r="A1522"/>
      <c r="B1522"/>
      <c r="C1522" s="71"/>
      <c r="D1522" s="72"/>
    </row>
    <row r="1523" spans="1:4" ht="30" customHeight="1" x14ac:dyDescent="0.35">
      <c r="A1523"/>
      <c r="B1523"/>
      <c r="C1523" s="71"/>
      <c r="D1523" s="72"/>
    </row>
    <row r="1524" spans="1:4" ht="30" customHeight="1" x14ac:dyDescent="0.35">
      <c r="A1524"/>
      <c r="B1524"/>
      <c r="C1524" s="71"/>
      <c r="D1524" s="72"/>
    </row>
    <row r="1525" spans="1:4" ht="30" customHeight="1" x14ac:dyDescent="0.35">
      <c r="A1525"/>
      <c r="B1525"/>
      <c r="C1525" s="71"/>
      <c r="D1525" s="72"/>
    </row>
    <row r="1526" spans="1:4" ht="30" customHeight="1" x14ac:dyDescent="0.35">
      <c r="A1526"/>
      <c r="B1526"/>
      <c r="C1526" s="71"/>
      <c r="D1526" s="72"/>
    </row>
    <row r="1527" spans="1:4" ht="30" customHeight="1" x14ac:dyDescent="0.35">
      <c r="A1527"/>
      <c r="B1527"/>
      <c r="C1527" s="71"/>
      <c r="D1527" s="72"/>
    </row>
    <row r="1528" spans="1:4" ht="30" customHeight="1" x14ac:dyDescent="0.35">
      <c r="A1528"/>
      <c r="B1528"/>
      <c r="C1528" s="71"/>
      <c r="D1528" s="72"/>
    </row>
    <row r="1529" spans="1:4" ht="30" customHeight="1" x14ac:dyDescent="0.35">
      <c r="A1529"/>
      <c r="B1529"/>
      <c r="C1529" s="71"/>
      <c r="D1529" s="72"/>
    </row>
    <row r="1530" spans="1:4" ht="30" customHeight="1" x14ac:dyDescent="0.35">
      <c r="A1530"/>
      <c r="B1530"/>
      <c r="C1530" s="71"/>
      <c r="D1530" s="72"/>
    </row>
    <row r="1531" spans="1:4" ht="30" customHeight="1" x14ac:dyDescent="0.35">
      <c r="A1531"/>
      <c r="B1531"/>
      <c r="C1531" s="71"/>
      <c r="D1531" s="72"/>
    </row>
    <row r="1532" spans="1:4" ht="30" customHeight="1" x14ac:dyDescent="0.35">
      <c r="A1532"/>
      <c r="B1532"/>
      <c r="C1532" s="71"/>
      <c r="D1532" s="72"/>
    </row>
    <row r="1533" spans="1:4" ht="30" customHeight="1" x14ac:dyDescent="0.35">
      <c r="A1533"/>
      <c r="B1533"/>
      <c r="C1533" s="71"/>
      <c r="D1533" s="72"/>
    </row>
    <row r="1534" spans="1:4" ht="30" customHeight="1" x14ac:dyDescent="0.35">
      <c r="A1534"/>
      <c r="B1534"/>
      <c r="C1534" s="71"/>
      <c r="D1534" s="72"/>
    </row>
    <row r="1535" spans="1:4" ht="30" customHeight="1" x14ac:dyDescent="0.35">
      <c r="A1535"/>
      <c r="B1535"/>
      <c r="C1535" s="71"/>
      <c r="D1535" s="72"/>
    </row>
    <row r="1536" spans="1:4" ht="30" customHeight="1" x14ac:dyDescent="0.35">
      <c r="A1536"/>
      <c r="B1536"/>
      <c r="C1536" s="71"/>
      <c r="D1536" s="72"/>
    </row>
    <row r="1537" spans="1:4" ht="30" customHeight="1" x14ac:dyDescent="0.35">
      <c r="A1537"/>
      <c r="B1537"/>
      <c r="C1537" s="71"/>
      <c r="D1537" s="72"/>
    </row>
    <row r="1538" spans="1:4" ht="30" customHeight="1" x14ac:dyDescent="0.35">
      <c r="A1538"/>
      <c r="B1538"/>
      <c r="C1538" s="71"/>
      <c r="D1538" s="72"/>
    </row>
    <row r="1539" spans="1:4" ht="30" customHeight="1" x14ac:dyDescent="0.35">
      <c r="A1539"/>
      <c r="B1539"/>
      <c r="C1539" s="71"/>
      <c r="D1539" s="72"/>
    </row>
    <row r="1540" spans="1:4" ht="30" customHeight="1" x14ac:dyDescent="0.35">
      <c r="A1540"/>
      <c r="B1540"/>
      <c r="C1540" s="71"/>
      <c r="D1540" s="72"/>
    </row>
    <row r="1541" spans="1:4" ht="30" customHeight="1" x14ac:dyDescent="0.35">
      <c r="A1541"/>
      <c r="B1541"/>
      <c r="C1541" s="71"/>
      <c r="D1541" s="72"/>
    </row>
    <row r="1542" spans="1:4" ht="30" customHeight="1" x14ac:dyDescent="0.35">
      <c r="A1542"/>
      <c r="B1542"/>
      <c r="C1542" s="71"/>
      <c r="D1542" s="72"/>
    </row>
    <row r="1543" spans="1:4" ht="30" customHeight="1" x14ac:dyDescent="0.35">
      <c r="A1543"/>
      <c r="B1543"/>
      <c r="C1543" s="71"/>
      <c r="D1543" s="72"/>
    </row>
    <row r="1544" spans="1:4" ht="30" customHeight="1" x14ac:dyDescent="0.35">
      <c r="A1544"/>
      <c r="B1544"/>
      <c r="C1544" s="71"/>
      <c r="D1544" s="72"/>
    </row>
    <row r="1545" spans="1:4" ht="30" customHeight="1" x14ac:dyDescent="0.35">
      <c r="A1545"/>
      <c r="B1545"/>
      <c r="C1545" s="71"/>
      <c r="D1545" s="72"/>
    </row>
    <row r="1546" spans="1:4" ht="30" customHeight="1" x14ac:dyDescent="0.35">
      <c r="A1546"/>
      <c r="B1546"/>
      <c r="C1546" s="71"/>
      <c r="D1546" s="72"/>
    </row>
    <row r="1547" spans="1:4" ht="30" customHeight="1" x14ac:dyDescent="0.35">
      <c r="A1547"/>
      <c r="B1547"/>
      <c r="C1547" s="71"/>
      <c r="D1547" s="72"/>
    </row>
    <row r="1548" spans="1:4" ht="30" customHeight="1" x14ac:dyDescent="0.35">
      <c r="A1548"/>
      <c r="B1548"/>
      <c r="C1548" s="71"/>
      <c r="D1548" s="72"/>
    </row>
    <row r="1549" spans="1:4" ht="30" customHeight="1" x14ac:dyDescent="0.35">
      <c r="A1549"/>
      <c r="B1549"/>
      <c r="C1549" s="71"/>
      <c r="D1549" s="72"/>
    </row>
    <row r="1550" spans="1:4" ht="30" customHeight="1" x14ac:dyDescent="0.35">
      <c r="A1550"/>
      <c r="B1550"/>
      <c r="C1550" s="71"/>
      <c r="D1550" s="72"/>
    </row>
    <row r="1551" spans="1:4" ht="30" customHeight="1" x14ac:dyDescent="0.35">
      <c r="A1551"/>
      <c r="B1551"/>
      <c r="C1551" s="71"/>
      <c r="D1551" s="72"/>
    </row>
    <row r="1552" spans="1:4" ht="30" customHeight="1" x14ac:dyDescent="0.35">
      <c r="A1552"/>
      <c r="B1552"/>
      <c r="C1552" s="71"/>
      <c r="D1552" s="72"/>
    </row>
    <row r="1553" spans="1:4" ht="30" customHeight="1" x14ac:dyDescent="0.35">
      <c r="A1553"/>
      <c r="B1553"/>
      <c r="C1553" s="71"/>
      <c r="D1553" s="72"/>
    </row>
    <row r="1554" spans="1:4" ht="30" customHeight="1" x14ac:dyDescent="0.35">
      <c r="A1554"/>
      <c r="B1554"/>
      <c r="C1554" s="71"/>
      <c r="D1554" s="72"/>
    </row>
    <row r="1555" spans="1:4" ht="30" customHeight="1" x14ac:dyDescent="0.35">
      <c r="A1555"/>
      <c r="B1555"/>
      <c r="C1555" s="71"/>
      <c r="D1555" s="72"/>
    </row>
    <row r="1556" spans="1:4" ht="30" customHeight="1" x14ac:dyDescent="0.35">
      <c r="A1556"/>
      <c r="B1556"/>
      <c r="C1556" s="71"/>
      <c r="D1556" s="72"/>
    </row>
    <row r="1557" spans="1:4" ht="30" customHeight="1" x14ac:dyDescent="0.35">
      <c r="A1557"/>
      <c r="B1557"/>
      <c r="C1557" s="71"/>
      <c r="D1557" s="72"/>
    </row>
    <row r="1558" spans="1:4" ht="30" customHeight="1" x14ac:dyDescent="0.35">
      <c r="A1558"/>
      <c r="B1558"/>
      <c r="C1558" s="71"/>
      <c r="D1558" s="72"/>
    </row>
    <row r="1559" spans="1:4" ht="30" customHeight="1" x14ac:dyDescent="0.35">
      <c r="A1559"/>
      <c r="B1559"/>
      <c r="C1559" s="71"/>
      <c r="D1559" s="72"/>
    </row>
    <row r="1560" spans="1:4" ht="30" customHeight="1" x14ac:dyDescent="0.35">
      <c r="A1560"/>
      <c r="B1560"/>
      <c r="C1560" s="71"/>
      <c r="D1560" s="72"/>
    </row>
    <row r="1561" spans="1:4" ht="30" customHeight="1" x14ac:dyDescent="0.35">
      <c r="A1561"/>
      <c r="B1561"/>
      <c r="C1561" s="71"/>
      <c r="D1561" s="72"/>
    </row>
    <row r="1562" spans="1:4" ht="30" customHeight="1" x14ac:dyDescent="0.35">
      <c r="A1562"/>
      <c r="B1562"/>
      <c r="C1562" s="71"/>
      <c r="D1562" s="72"/>
    </row>
    <row r="1563" spans="1:4" ht="30" customHeight="1" x14ac:dyDescent="0.35">
      <c r="A1563"/>
      <c r="B1563"/>
      <c r="C1563" s="71"/>
      <c r="D1563" s="72"/>
    </row>
    <row r="1564" spans="1:4" ht="30" customHeight="1" x14ac:dyDescent="0.35">
      <c r="A1564"/>
      <c r="B1564"/>
      <c r="C1564" s="71"/>
      <c r="D1564" s="72"/>
    </row>
    <row r="1565" spans="1:4" ht="30" customHeight="1" x14ac:dyDescent="0.35">
      <c r="A1565"/>
      <c r="B1565"/>
      <c r="C1565" s="71"/>
      <c r="D1565" s="72"/>
    </row>
    <row r="1566" spans="1:4" ht="30" customHeight="1" x14ac:dyDescent="0.35">
      <c r="A1566"/>
      <c r="B1566"/>
      <c r="C1566" s="71"/>
      <c r="D1566" s="72"/>
    </row>
    <row r="1567" spans="1:4" ht="30" customHeight="1" x14ac:dyDescent="0.35">
      <c r="A1567"/>
      <c r="B1567"/>
      <c r="C1567" s="71"/>
      <c r="D1567" s="72"/>
    </row>
    <row r="1568" spans="1:4" ht="30" customHeight="1" x14ac:dyDescent="0.35">
      <c r="A1568"/>
      <c r="B1568"/>
      <c r="C1568" s="71"/>
      <c r="D1568" s="72"/>
    </row>
    <row r="1569" spans="1:4" ht="30" customHeight="1" x14ac:dyDescent="0.35">
      <c r="A1569"/>
      <c r="B1569"/>
      <c r="C1569" s="71"/>
      <c r="D1569" s="72"/>
    </row>
    <row r="1570" spans="1:4" ht="30" customHeight="1" x14ac:dyDescent="0.35">
      <c r="A1570"/>
      <c r="B1570"/>
      <c r="C1570" s="71"/>
      <c r="D1570" s="72"/>
    </row>
    <row r="1571" spans="1:4" ht="30" customHeight="1" x14ac:dyDescent="0.35">
      <c r="A1571"/>
      <c r="B1571"/>
      <c r="C1571" s="71"/>
      <c r="D1571" s="72"/>
    </row>
    <row r="1572" spans="1:4" ht="30" customHeight="1" x14ac:dyDescent="0.35">
      <c r="A1572"/>
      <c r="B1572"/>
      <c r="C1572" s="71"/>
      <c r="D1572" s="72"/>
    </row>
    <row r="1573" spans="1:4" ht="30" customHeight="1" x14ac:dyDescent="0.35">
      <c r="A1573"/>
      <c r="B1573"/>
      <c r="C1573" s="71"/>
      <c r="D1573" s="72"/>
    </row>
    <row r="1574" spans="1:4" ht="30" customHeight="1" x14ac:dyDescent="0.35">
      <c r="A1574"/>
      <c r="B1574"/>
      <c r="C1574" s="71"/>
      <c r="D1574" s="72"/>
    </row>
    <row r="1575" spans="1:4" ht="30" customHeight="1" x14ac:dyDescent="0.35">
      <c r="A1575"/>
      <c r="B1575"/>
      <c r="C1575" s="71"/>
      <c r="D1575" s="72"/>
    </row>
    <row r="1576" spans="1:4" ht="30" customHeight="1" x14ac:dyDescent="0.35">
      <c r="A1576"/>
      <c r="B1576"/>
      <c r="C1576" s="71"/>
      <c r="D1576" s="72"/>
    </row>
    <row r="1577" spans="1:4" ht="30" customHeight="1" x14ac:dyDescent="0.35">
      <c r="A1577"/>
      <c r="B1577"/>
      <c r="C1577" s="71"/>
      <c r="D1577" s="72"/>
    </row>
    <row r="1578" spans="1:4" ht="30" customHeight="1" x14ac:dyDescent="0.35">
      <c r="A1578"/>
      <c r="B1578"/>
      <c r="C1578" s="71"/>
      <c r="D1578" s="72"/>
    </row>
    <row r="1579" spans="1:4" ht="30" customHeight="1" x14ac:dyDescent="0.35">
      <c r="A1579"/>
      <c r="B1579"/>
      <c r="C1579" s="71"/>
      <c r="D1579" s="72"/>
    </row>
    <row r="1580" spans="1:4" ht="30" customHeight="1" x14ac:dyDescent="0.35">
      <c r="A1580"/>
      <c r="B1580"/>
      <c r="C1580" s="71"/>
      <c r="D1580" s="72"/>
    </row>
    <row r="1581" spans="1:4" ht="30" customHeight="1" x14ac:dyDescent="0.35">
      <c r="A1581"/>
      <c r="B1581"/>
      <c r="C1581" s="71"/>
      <c r="D1581" s="72"/>
    </row>
    <row r="1582" spans="1:4" ht="30" customHeight="1" x14ac:dyDescent="0.35">
      <c r="A1582"/>
      <c r="B1582"/>
      <c r="C1582" s="71"/>
      <c r="D1582" s="72"/>
    </row>
    <row r="1583" spans="1:4" ht="30" customHeight="1" x14ac:dyDescent="0.35">
      <c r="A1583"/>
      <c r="B1583"/>
      <c r="C1583" s="71"/>
      <c r="D1583" s="72"/>
    </row>
    <row r="1584" spans="1:4" ht="30" customHeight="1" x14ac:dyDescent="0.35">
      <c r="A1584"/>
      <c r="B1584"/>
      <c r="C1584" s="71"/>
      <c r="D1584" s="72"/>
    </row>
    <row r="1585" spans="1:4" ht="30" customHeight="1" x14ac:dyDescent="0.35">
      <c r="A1585"/>
      <c r="B1585"/>
      <c r="C1585" s="71"/>
      <c r="D1585" s="72"/>
    </row>
    <row r="1586" spans="1:4" ht="30" customHeight="1" x14ac:dyDescent="0.35">
      <c r="A1586"/>
      <c r="B1586"/>
      <c r="C1586" s="71"/>
      <c r="D1586" s="72"/>
    </row>
    <row r="1587" spans="1:4" ht="30" customHeight="1" x14ac:dyDescent="0.35">
      <c r="A1587"/>
      <c r="B1587"/>
      <c r="C1587" s="71"/>
      <c r="D1587" s="72"/>
    </row>
    <row r="1588" spans="1:4" ht="30" customHeight="1" x14ac:dyDescent="0.35">
      <c r="A1588"/>
      <c r="B1588"/>
      <c r="C1588" s="71"/>
      <c r="D1588" s="72"/>
    </row>
    <row r="1589" spans="1:4" ht="30" customHeight="1" x14ac:dyDescent="0.35">
      <c r="A1589"/>
      <c r="B1589"/>
      <c r="C1589" s="71"/>
      <c r="D1589" s="72"/>
    </row>
    <row r="1590" spans="1:4" ht="30" customHeight="1" x14ac:dyDescent="0.35">
      <c r="A1590"/>
      <c r="B1590"/>
      <c r="C1590" s="71"/>
      <c r="D1590" s="72"/>
    </row>
    <row r="1591" spans="1:4" ht="30" customHeight="1" x14ac:dyDescent="0.35">
      <c r="A1591"/>
      <c r="B1591"/>
      <c r="C1591" s="71"/>
      <c r="D1591" s="72"/>
    </row>
    <row r="1592" spans="1:4" ht="30" customHeight="1" x14ac:dyDescent="0.35">
      <c r="A1592"/>
      <c r="B1592"/>
      <c r="C1592" s="71"/>
      <c r="D1592" s="72"/>
    </row>
    <row r="1593" spans="1:4" ht="30" customHeight="1" x14ac:dyDescent="0.35">
      <c r="A1593"/>
      <c r="B1593"/>
      <c r="C1593" s="71"/>
      <c r="D1593" s="72"/>
    </row>
    <row r="1594" spans="1:4" ht="30" customHeight="1" x14ac:dyDescent="0.35">
      <c r="A1594"/>
      <c r="B1594"/>
      <c r="C1594" s="71"/>
      <c r="D1594" s="72"/>
    </row>
    <row r="1595" spans="1:4" ht="30" customHeight="1" x14ac:dyDescent="0.35">
      <c r="A1595"/>
      <c r="B1595"/>
      <c r="C1595" s="71"/>
      <c r="D1595" s="72"/>
    </row>
    <row r="1596" spans="1:4" ht="30" customHeight="1" x14ac:dyDescent="0.35">
      <c r="A1596"/>
      <c r="B1596"/>
      <c r="C1596" s="71"/>
      <c r="D1596" s="72"/>
    </row>
    <row r="1597" spans="1:4" ht="30" customHeight="1" x14ac:dyDescent="0.35">
      <c r="A1597"/>
      <c r="B1597"/>
      <c r="C1597" s="71"/>
      <c r="D1597" s="72"/>
    </row>
    <row r="1598" spans="1:4" ht="30" customHeight="1" x14ac:dyDescent="0.35">
      <c r="A1598"/>
      <c r="B1598"/>
      <c r="C1598" s="71"/>
      <c r="D1598" s="72"/>
    </row>
    <row r="1599" spans="1:4" ht="30" customHeight="1" x14ac:dyDescent="0.35">
      <c r="A1599"/>
      <c r="B1599"/>
      <c r="C1599" s="71"/>
      <c r="D1599" s="72"/>
    </row>
    <row r="1600" spans="1:4" ht="30" customHeight="1" x14ac:dyDescent="0.35">
      <c r="A1600"/>
      <c r="B1600"/>
      <c r="C1600" s="71"/>
      <c r="D1600" s="72"/>
    </row>
    <row r="1601" spans="1:4" ht="30" customHeight="1" x14ac:dyDescent="0.35">
      <c r="A1601"/>
      <c r="B1601"/>
      <c r="C1601" s="71"/>
      <c r="D1601" s="72"/>
    </row>
    <row r="1602" spans="1:4" ht="30" customHeight="1" x14ac:dyDescent="0.35">
      <c r="A1602"/>
      <c r="B1602"/>
      <c r="C1602" s="71"/>
      <c r="D1602" s="72"/>
    </row>
    <row r="1603" spans="1:4" ht="30" customHeight="1" x14ac:dyDescent="0.35">
      <c r="A1603"/>
      <c r="B1603"/>
      <c r="C1603" s="71"/>
      <c r="D1603" s="72"/>
    </row>
    <row r="1604" spans="1:4" ht="30" customHeight="1" x14ac:dyDescent="0.35">
      <c r="A1604"/>
      <c r="B1604"/>
      <c r="C1604" s="71"/>
      <c r="D1604" s="72"/>
    </row>
    <row r="1605" spans="1:4" ht="30" customHeight="1" x14ac:dyDescent="0.35">
      <c r="A1605"/>
      <c r="B1605"/>
      <c r="C1605" s="71"/>
      <c r="D1605" s="72"/>
    </row>
    <row r="1606" spans="1:4" ht="30" customHeight="1" x14ac:dyDescent="0.35">
      <c r="A1606"/>
      <c r="B1606"/>
      <c r="C1606" s="71"/>
      <c r="D1606" s="72"/>
    </row>
    <row r="1607" spans="1:4" ht="30" customHeight="1" x14ac:dyDescent="0.35">
      <c r="A1607"/>
      <c r="B1607"/>
      <c r="C1607" s="71"/>
      <c r="D1607" s="72"/>
    </row>
    <row r="1608" spans="1:4" ht="30" customHeight="1" x14ac:dyDescent="0.35">
      <c r="A1608"/>
      <c r="B1608"/>
      <c r="C1608" s="71"/>
      <c r="D1608" s="72"/>
    </row>
    <row r="1609" spans="1:4" ht="30" customHeight="1" x14ac:dyDescent="0.35">
      <c r="A1609"/>
      <c r="B1609"/>
      <c r="C1609" s="71"/>
      <c r="D1609" s="72"/>
    </row>
    <row r="1610" spans="1:4" ht="30" customHeight="1" x14ac:dyDescent="0.35">
      <c r="A1610"/>
      <c r="B1610"/>
      <c r="C1610" s="71"/>
      <c r="D1610" s="72"/>
    </row>
    <row r="1611" spans="1:4" ht="30" customHeight="1" x14ac:dyDescent="0.35">
      <c r="A1611"/>
      <c r="B1611"/>
      <c r="C1611" s="71"/>
      <c r="D1611" s="72"/>
    </row>
    <row r="1612" spans="1:4" ht="30" customHeight="1" x14ac:dyDescent="0.35">
      <c r="A1612"/>
      <c r="B1612"/>
      <c r="C1612" s="71"/>
      <c r="D1612" s="72"/>
    </row>
    <row r="1613" spans="1:4" ht="30" customHeight="1" x14ac:dyDescent="0.35">
      <c r="A1613"/>
      <c r="B1613"/>
      <c r="C1613" s="71"/>
      <c r="D1613" s="72"/>
    </row>
    <row r="1614" spans="1:4" ht="30" customHeight="1" x14ac:dyDescent="0.35">
      <c r="A1614"/>
      <c r="B1614"/>
      <c r="C1614" s="71"/>
      <c r="D1614" s="72"/>
    </row>
    <row r="1615" spans="1:4" ht="30" customHeight="1" x14ac:dyDescent="0.35">
      <c r="A1615"/>
      <c r="B1615"/>
      <c r="C1615" s="71"/>
      <c r="D1615" s="72"/>
    </row>
    <row r="1616" spans="1:4" ht="30" customHeight="1" x14ac:dyDescent="0.35">
      <c r="A1616"/>
      <c r="B1616"/>
      <c r="C1616" s="71"/>
      <c r="D1616" s="72"/>
    </row>
    <row r="1617" spans="1:4" ht="30" customHeight="1" x14ac:dyDescent="0.35">
      <c r="A1617"/>
      <c r="B1617"/>
      <c r="C1617" s="71"/>
      <c r="D1617" s="72"/>
    </row>
    <row r="1618" spans="1:4" ht="30" customHeight="1" x14ac:dyDescent="0.35">
      <c r="A1618"/>
      <c r="B1618"/>
      <c r="C1618" s="71"/>
      <c r="D1618" s="72"/>
    </row>
    <row r="1619" spans="1:4" ht="30" customHeight="1" x14ac:dyDescent="0.35">
      <c r="A1619"/>
      <c r="B1619"/>
      <c r="C1619" s="71"/>
      <c r="D1619" s="72"/>
    </row>
    <row r="1620" spans="1:4" ht="30" customHeight="1" x14ac:dyDescent="0.35">
      <c r="A1620"/>
      <c r="B1620"/>
      <c r="C1620" s="71"/>
      <c r="D1620" s="72"/>
    </row>
    <row r="1621" spans="1:4" ht="30" customHeight="1" x14ac:dyDescent="0.35">
      <c r="A1621"/>
      <c r="B1621"/>
      <c r="C1621" s="71"/>
      <c r="D1621" s="72"/>
    </row>
    <row r="1622" spans="1:4" ht="30" customHeight="1" x14ac:dyDescent="0.35">
      <c r="A1622"/>
      <c r="B1622"/>
      <c r="C1622" s="71"/>
      <c r="D1622" s="72"/>
    </row>
    <row r="1623" spans="1:4" ht="30" customHeight="1" x14ac:dyDescent="0.35">
      <c r="A1623"/>
      <c r="B1623"/>
      <c r="C1623" s="71"/>
      <c r="D1623" s="72"/>
    </row>
    <row r="1624" spans="1:4" ht="30" customHeight="1" x14ac:dyDescent="0.35">
      <c r="A1624"/>
      <c r="B1624"/>
      <c r="C1624" s="71"/>
      <c r="D1624" s="72"/>
    </row>
    <row r="1625" spans="1:4" ht="30" customHeight="1" x14ac:dyDescent="0.35">
      <c r="A1625"/>
      <c r="B1625"/>
      <c r="C1625" s="71"/>
      <c r="D1625" s="72"/>
    </row>
    <row r="1626" spans="1:4" ht="30" customHeight="1" x14ac:dyDescent="0.35">
      <c r="A1626"/>
      <c r="B1626"/>
      <c r="C1626" s="71"/>
      <c r="D1626" s="72"/>
    </row>
    <row r="1627" spans="1:4" ht="30" customHeight="1" x14ac:dyDescent="0.35">
      <c r="A1627"/>
      <c r="B1627"/>
      <c r="C1627" s="71"/>
      <c r="D1627" s="72"/>
    </row>
    <row r="1628" spans="1:4" ht="30" customHeight="1" x14ac:dyDescent="0.35">
      <c r="A1628"/>
      <c r="B1628"/>
      <c r="C1628" s="71"/>
      <c r="D1628" s="72"/>
    </row>
    <row r="1629" spans="1:4" ht="30" customHeight="1" x14ac:dyDescent="0.35">
      <c r="A1629"/>
      <c r="B1629"/>
      <c r="C1629" s="71"/>
      <c r="D1629" s="72"/>
    </row>
    <row r="1630" spans="1:4" ht="30" customHeight="1" x14ac:dyDescent="0.35">
      <c r="A1630"/>
      <c r="B1630"/>
      <c r="C1630" s="71"/>
      <c r="D1630" s="72"/>
    </row>
    <row r="1631" spans="1:4" ht="30" customHeight="1" x14ac:dyDescent="0.35">
      <c r="A1631"/>
      <c r="B1631"/>
      <c r="C1631" s="71"/>
      <c r="D1631" s="72"/>
    </row>
    <row r="1632" spans="1:4" ht="30" customHeight="1" x14ac:dyDescent="0.35">
      <c r="A1632"/>
      <c r="B1632"/>
      <c r="C1632" s="71"/>
      <c r="D1632" s="72"/>
    </row>
    <row r="1633" spans="1:4" ht="30" customHeight="1" x14ac:dyDescent="0.35">
      <c r="A1633"/>
      <c r="B1633"/>
      <c r="C1633" s="71"/>
      <c r="D1633" s="72"/>
    </row>
    <row r="1634" spans="1:4" ht="30" customHeight="1" x14ac:dyDescent="0.35">
      <c r="A1634"/>
      <c r="B1634"/>
      <c r="C1634" s="71"/>
      <c r="D1634" s="72"/>
    </row>
    <row r="1635" spans="1:4" ht="30" customHeight="1" x14ac:dyDescent="0.35">
      <c r="A1635"/>
      <c r="B1635"/>
      <c r="C1635" s="71"/>
      <c r="D1635" s="72"/>
    </row>
    <row r="1636" spans="1:4" ht="30" customHeight="1" x14ac:dyDescent="0.35">
      <c r="A1636"/>
      <c r="B1636"/>
      <c r="C1636" s="71"/>
      <c r="D1636" s="72"/>
    </row>
    <row r="1637" spans="1:4" ht="30" customHeight="1" x14ac:dyDescent="0.35">
      <c r="A1637"/>
      <c r="B1637"/>
      <c r="C1637" s="71"/>
      <c r="D1637" s="72"/>
    </row>
    <row r="1638" spans="1:4" ht="30" customHeight="1" x14ac:dyDescent="0.35">
      <c r="A1638"/>
      <c r="B1638"/>
      <c r="C1638" s="71"/>
      <c r="D1638" s="72"/>
    </row>
    <row r="1639" spans="1:4" ht="30" customHeight="1" x14ac:dyDescent="0.35">
      <c r="A1639"/>
      <c r="B1639"/>
      <c r="C1639" s="71"/>
      <c r="D1639" s="72"/>
    </row>
    <row r="1640" spans="1:4" ht="30" customHeight="1" x14ac:dyDescent="0.35">
      <c r="A1640"/>
      <c r="B1640"/>
      <c r="C1640" s="71"/>
      <c r="D1640" s="72"/>
    </row>
    <row r="1641" spans="1:4" ht="30" customHeight="1" x14ac:dyDescent="0.35">
      <c r="A1641"/>
      <c r="B1641"/>
      <c r="C1641" s="71"/>
      <c r="D1641" s="72"/>
    </row>
    <row r="1642" spans="1:4" ht="30" customHeight="1" x14ac:dyDescent="0.35">
      <c r="A1642"/>
      <c r="B1642"/>
      <c r="C1642" s="71"/>
      <c r="D1642" s="72"/>
    </row>
    <row r="1643" spans="1:4" ht="30" customHeight="1" x14ac:dyDescent="0.35">
      <c r="A1643"/>
      <c r="B1643"/>
      <c r="C1643" s="71"/>
      <c r="D1643" s="72"/>
    </row>
    <row r="1644" spans="1:4" ht="30" customHeight="1" x14ac:dyDescent="0.35">
      <c r="A1644"/>
      <c r="B1644"/>
      <c r="C1644" s="71"/>
      <c r="D1644" s="72"/>
    </row>
    <row r="1645" spans="1:4" ht="30" customHeight="1" x14ac:dyDescent="0.35">
      <c r="A1645"/>
      <c r="B1645"/>
      <c r="C1645" s="71"/>
      <c r="D1645" s="72"/>
    </row>
    <row r="1646" spans="1:4" ht="30" customHeight="1" x14ac:dyDescent="0.35">
      <c r="A1646"/>
      <c r="B1646"/>
      <c r="C1646" s="71"/>
      <c r="D1646" s="72"/>
    </row>
    <row r="1647" spans="1:4" ht="30" customHeight="1" x14ac:dyDescent="0.35">
      <c r="A1647"/>
      <c r="B1647"/>
      <c r="C1647" s="71"/>
      <c r="D1647" s="72"/>
    </row>
    <row r="1648" spans="1:4" ht="30" customHeight="1" x14ac:dyDescent="0.35">
      <c r="A1648"/>
      <c r="B1648"/>
      <c r="C1648" s="71"/>
      <c r="D1648" s="72"/>
    </row>
    <row r="1649" spans="1:4" ht="30" customHeight="1" x14ac:dyDescent="0.35">
      <c r="A1649"/>
      <c r="B1649"/>
      <c r="C1649" s="71"/>
      <c r="D1649" s="72"/>
    </row>
    <row r="1650" spans="1:4" ht="30" customHeight="1" x14ac:dyDescent="0.35">
      <c r="A1650"/>
      <c r="B1650"/>
      <c r="C1650" s="71"/>
      <c r="D1650" s="72"/>
    </row>
    <row r="1651" spans="1:4" ht="30" customHeight="1" x14ac:dyDescent="0.35">
      <c r="A1651"/>
      <c r="B1651"/>
      <c r="C1651" s="71"/>
      <c r="D1651" s="72"/>
    </row>
    <row r="1652" spans="1:4" ht="30" customHeight="1" x14ac:dyDescent="0.35">
      <c r="A1652"/>
      <c r="B1652"/>
      <c r="C1652" s="71"/>
      <c r="D1652" s="72"/>
    </row>
    <row r="1653" spans="1:4" ht="30" customHeight="1" x14ac:dyDescent="0.35">
      <c r="A1653"/>
      <c r="B1653"/>
      <c r="C1653" s="71"/>
      <c r="D1653" s="72"/>
    </row>
    <row r="1654" spans="1:4" ht="30" customHeight="1" x14ac:dyDescent="0.35">
      <c r="A1654"/>
      <c r="B1654"/>
      <c r="C1654" s="71"/>
      <c r="D1654" s="72"/>
    </row>
    <row r="1655" spans="1:4" ht="30" customHeight="1" x14ac:dyDescent="0.35">
      <c r="A1655"/>
      <c r="B1655"/>
      <c r="C1655" s="71"/>
      <c r="D1655" s="72"/>
    </row>
    <row r="1656" spans="1:4" ht="30" customHeight="1" x14ac:dyDescent="0.35">
      <c r="A1656"/>
      <c r="B1656"/>
      <c r="C1656" s="71"/>
      <c r="D1656" s="72"/>
    </row>
    <row r="1657" spans="1:4" ht="30" customHeight="1" x14ac:dyDescent="0.35">
      <c r="A1657"/>
      <c r="B1657"/>
      <c r="C1657" s="71"/>
      <c r="D1657" s="72"/>
    </row>
    <row r="1658" spans="1:4" ht="30" customHeight="1" x14ac:dyDescent="0.35">
      <c r="A1658"/>
      <c r="B1658"/>
      <c r="C1658" s="71"/>
      <c r="D1658" s="72"/>
    </row>
    <row r="1659" spans="1:4" ht="30" customHeight="1" x14ac:dyDescent="0.35">
      <c r="A1659"/>
      <c r="B1659"/>
      <c r="C1659" s="71"/>
      <c r="D1659" s="72"/>
    </row>
    <row r="1660" spans="1:4" ht="30" customHeight="1" x14ac:dyDescent="0.35">
      <c r="A1660"/>
      <c r="B1660"/>
      <c r="C1660" s="71"/>
      <c r="D1660" s="72"/>
    </row>
    <row r="1661" spans="1:4" ht="30" customHeight="1" x14ac:dyDescent="0.35">
      <c r="A1661"/>
      <c r="B1661"/>
      <c r="C1661" s="71"/>
      <c r="D1661" s="72"/>
    </row>
    <row r="1662" spans="1:4" ht="30" customHeight="1" x14ac:dyDescent="0.35">
      <c r="A1662"/>
      <c r="B1662"/>
      <c r="C1662" s="71"/>
      <c r="D1662" s="72"/>
    </row>
    <row r="1663" spans="1:4" ht="30" customHeight="1" x14ac:dyDescent="0.35">
      <c r="A1663"/>
      <c r="B1663"/>
      <c r="C1663" s="71"/>
      <c r="D1663" s="72"/>
    </row>
    <row r="1664" spans="1:4" ht="30" customHeight="1" x14ac:dyDescent="0.35">
      <c r="A1664"/>
      <c r="B1664"/>
      <c r="C1664" s="71"/>
      <c r="D1664" s="72"/>
    </row>
    <row r="1665" spans="1:4" ht="30" customHeight="1" x14ac:dyDescent="0.35">
      <c r="A1665"/>
      <c r="B1665"/>
      <c r="C1665" s="71"/>
      <c r="D1665" s="72"/>
    </row>
    <row r="1666" spans="1:4" ht="30" customHeight="1" x14ac:dyDescent="0.35">
      <c r="A1666"/>
      <c r="B1666"/>
      <c r="C1666" s="71"/>
      <c r="D1666" s="72"/>
    </row>
    <row r="1667" spans="1:4" ht="30" customHeight="1" x14ac:dyDescent="0.35">
      <c r="A1667"/>
      <c r="B1667"/>
      <c r="C1667" s="71"/>
      <c r="D1667" s="72"/>
    </row>
    <row r="1668" spans="1:4" ht="30" customHeight="1" x14ac:dyDescent="0.35">
      <c r="A1668"/>
      <c r="B1668"/>
      <c r="C1668" s="71"/>
      <c r="D1668" s="72"/>
    </row>
    <row r="1669" spans="1:4" ht="30" customHeight="1" x14ac:dyDescent="0.35">
      <c r="A1669"/>
      <c r="B1669"/>
      <c r="C1669" s="71"/>
      <c r="D1669" s="72"/>
    </row>
    <row r="1670" spans="1:4" ht="30" customHeight="1" x14ac:dyDescent="0.35">
      <c r="A1670"/>
      <c r="B1670"/>
      <c r="C1670" s="71"/>
      <c r="D1670" s="72"/>
    </row>
    <row r="1671" spans="1:4" ht="30" customHeight="1" x14ac:dyDescent="0.35">
      <c r="A1671"/>
      <c r="B1671"/>
      <c r="C1671" s="71"/>
      <c r="D1671" s="72"/>
    </row>
    <row r="1672" spans="1:4" ht="30" customHeight="1" x14ac:dyDescent="0.35">
      <c r="A1672"/>
      <c r="B1672"/>
      <c r="C1672" s="71"/>
      <c r="D1672" s="72"/>
    </row>
    <row r="1673" spans="1:4" ht="30" customHeight="1" x14ac:dyDescent="0.35">
      <c r="A1673"/>
      <c r="B1673"/>
      <c r="C1673" s="71"/>
      <c r="D1673" s="72"/>
    </row>
    <row r="1674" spans="1:4" ht="30" customHeight="1" x14ac:dyDescent="0.35">
      <c r="A1674"/>
      <c r="B1674"/>
      <c r="C1674" s="71"/>
      <c r="D1674" s="72"/>
    </row>
    <row r="1675" spans="1:4" ht="30" customHeight="1" x14ac:dyDescent="0.35">
      <c r="A1675"/>
      <c r="B1675"/>
      <c r="C1675" s="71"/>
      <c r="D1675" s="72"/>
    </row>
    <row r="1676" spans="1:4" ht="30" customHeight="1" x14ac:dyDescent="0.35">
      <c r="A1676"/>
      <c r="B1676"/>
      <c r="C1676" s="71"/>
      <c r="D1676" s="72"/>
    </row>
    <row r="1677" spans="1:4" ht="30" customHeight="1" x14ac:dyDescent="0.35">
      <c r="A1677"/>
      <c r="B1677"/>
      <c r="C1677" s="71"/>
      <c r="D1677" s="72"/>
    </row>
    <row r="1678" spans="1:4" ht="30" customHeight="1" x14ac:dyDescent="0.35">
      <c r="A1678"/>
      <c r="B1678"/>
      <c r="C1678" s="71"/>
      <c r="D1678" s="72"/>
    </row>
    <row r="1679" spans="1:4" ht="30" customHeight="1" x14ac:dyDescent="0.35">
      <c r="A1679"/>
      <c r="B1679"/>
      <c r="C1679" s="71"/>
      <c r="D1679" s="72"/>
    </row>
    <row r="1680" spans="1:4" ht="30" customHeight="1" x14ac:dyDescent="0.35">
      <c r="A1680"/>
      <c r="B1680"/>
      <c r="C1680" s="71"/>
      <c r="D1680" s="72"/>
    </row>
    <row r="1681" spans="1:4" ht="30" customHeight="1" x14ac:dyDescent="0.35">
      <c r="A1681"/>
      <c r="B1681"/>
      <c r="C1681" s="71"/>
      <c r="D1681" s="72"/>
    </row>
    <row r="1682" spans="1:4" ht="30" customHeight="1" x14ac:dyDescent="0.35">
      <c r="A1682"/>
      <c r="B1682"/>
      <c r="C1682" s="71"/>
      <c r="D1682" s="72"/>
    </row>
    <row r="1683" spans="1:4" ht="30" customHeight="1" x14ac:dyDescent="0.35">
      <c r="A1683"/>
      <c r="B1683"/>
      <c r="C1683" s="71"/>
      <c r="D1683" s="72"/>
    </row>
    <row r="1684" spans="1:4" ht="30" customHeight="1" x14ac:dyDescent="0.35">
      <c r="A1684"/>
      <c r="B1684"/>
      <c r="C1684" s="71"/>
      <c r="D1684" s="72"/>
    </row>
    <row r="1685" spans="1:4" ht="30" customHeight="1" x14ac:dyDescent="0.35">
      <c r="A1685"/>
      <c r="B1685"/>
      <c r="C1685" s="71"/>
      <c r="D1685" s="72"/>
    </row>
    <row r="1686" spans="1:4" ht="30" customHeight="1" x14ac:dyDescent="0.35">
      <c r="A1686"/>
      <c r="B1686"/>
      <c r="C1686" s="71"/>
      <c r="D1686" s="72"/>
    </row>
    <row r="1687" spans="1:4" ht="30" customHeight="1" x14ac:dyDescent="0.35">
      <c r="A1687"/>
      <c r="B1687"/>
      <c r="C1687" s="71"/>
      <c r="D1687" s="72"/>
    </row>
    <row r="1688" spans="1:4" ht="30" customHeight="1" x14ac:dyDescent="0.35">
      <c r="A1688"/>
      <c r="B1688"/>
      <c r="C1688" s="71"/>
      <c r="D1688" s="72"/>
    </row>
    <row r="1689" spans="1:4" ht="30" customHeight="1" x14ac:dyDescent="0.35">
      <c r="A1689"/>
      <c r="B1689"/>
      <c r="C1689" s="71"/>
      <c r="D1689" s="72"/>
    </row>
    <row r="1690" spans="1:4" ht="30" customHeight="1" x14ac:dyDescent="0.35">
      <c r="A1690"/>
      <c r="B1690"/>
      <c r="C1690" s="71"/>
      <c r="D1690" s="72"/>
    </row>
    <row r="1691" spans="1:4" ht="30" customHeight="1" x14ac:dyDescent="0.35">
      <c r="A1691"/>
      <c r="B1691"/>
      <c r="C1691" s="71"/>
      <c r="D1691" s="72"/>
    </row>
    <row r="1692" spans="1:4" ht="30" customHeight="1" x14ac:dyDescent="0.35">
      <c r="A1692"/>
      <c r="B1692"/>
      <c r="C1692" s="71"/>
      <c r="D1692" s="72"/>
    </row>
    <row r="1693" spans="1:4" ht="30" customHeight="1" x14ac:dyDescent="0.35">
      <c r="A1693"/>
      <c r="B1693"/>
      <c r="C1693" s="71"/>
      <c r="D1693" s="72"/>
    </row>
    <row r="1694" spans="1:4" ht="30" customHeight="1" x14ac:dyDescent="0.35">
      <c r="A1694"/>
      <c r="B1694"/>
      <c r="C1694" s="71"/>
      <c r="D1694" s="72"/>
    </row>
    <row r="1695" spans="1:4" ht="30" customHeight="1" x14ac:dyDescent="0.35">
      <c r="A1695"/>
      <c r="B1695"/>
      <c r="C1695" s="71"/>
      <c r="D1695" s="72"/>
    </row>
    <row r="1696" spans="1:4" ht="30" customHeight="1" x14ac:dyDescent="0.35">
      <c r="A1696"/>
      <c r="B1696"/>
      <c r="C1696" s="71"/>
      <c r="D1696" s="72"/>
    </row>
    <row r="1697" spans="1:4" ht="30" customHeight="1" x14ac:dyDescent="0.35">
      <c r="A1697"/>
      <c r="B1697"/>
      <c r="C1697" s="71"/>
      <c r="D1697" s="72"/>
    </row>
    <row r="1698" spans="1:4" ht="30" customHeight="1" x14ac:dyDescent="0.35">
      <c r="A1698"/>
      <c r="B1698"/>
      <c r="C1698" s="71"/>
      <c r="D1698" s="72"/>
    </row>
    <row r="1699" spans="1:4" ht="30" customHeight="1" x14ac:dyDescent="0.35">
      <c r="A1699"/>
      <c r="B1699"/>
      <c r="C1699" s="71"/>
      <c r="D1699" s="72"/>
    </row>
    <row r="1700" spans="1:4" ht="30" customHeight="1" x14ac:dyDescent="0.35">
      <c r="A1700"/>
      <c r="B1700"/>
      <c r="C1700" s="71"/>
      <c r="D1700" s="72"/>
    </row>
    <row r="1701" spans="1:4" ht="30" customHeight="1" x14ac:dyDescent="0.35">
      <c r="A1701"/>
      <c r="B1701"/>
      <c r="C1701" s="71"/>
      <c r="D1701" s="72"/>
    </row>
    <row r="1702" spans="1:4" ht="30" customHeight="1" x14ac:dyDescent="0.35">
      <c r="A1702"/>
      <c r="B1702"/>
      <c r="C1702" s="71"/>
      <c r="D1702" s="72"/>
    </row>
    <row r="1703" spans="1:4" ht="30" customHeight="1" x14ac:dyDescent="0.35">
      <c r="A1703"/>
      <c r="B1703"/>
      <c r="C1703" s="71"/>
      <c r="D1703" s="72"/>
    </row>
    <row r="1704" spans="1:4" ht="30" customHeight="1" x14ac:dyDescent="0.35">
      <c r="A1704"/>
      <c r="B1704"/>
      <c r="C1704" s="71"/>
      <c r="D1704" s="72"/>
    </row>
    <row r="1705" spans="1:4" ht="30" customHeight="1" x14ac:dyDescent="0.35">
      <c r="A1705"/>
      <c r="B1705"/>
      <c r="C1705" s="71"/>
      <c r="D1705" s="72"/>
    </row>
    <row r="1706" spans="1:4" ht="30" customHeight="1" x14ac:dyDescent="0.35">
      <c r="A1706"/>
      <c r="B1706"/>
      <c r="C1706" s="71"/>
      <c r="D1706" s="72"/>
    </row>
    <row r="1707" spans="1:4" ht="30" customHeight="1" x14ac:dyDescent="0.35">
      <c r="A1707"/>
      <c r="B1707"/>
      <c r="C1707" s="71"/>
      <c r="D1707" s="72"/>
    </row>
    <row r="1708" spans="1:4" ht="30" customHeight="1" x14ac:dyDescent="0.35">
      <c r="A1708"/>
      <c r="B1708"/>
      <c r="C1708" s="71"/>
      <c r="D1708" s="72"/>
    </row>
    <row r="1709" spans="1:4" ht="30" customHeight="1" x14ac:dyDescent="0.35">
      <c r="A1709"/>
      <c r="B1709"/>
      <c r="C1709" s="71"/>
      <c r="D1709" s="72"/>
    </row>
    <row r="1710" spans="1:4" ht="30" customHeight="1" x14ac:dyDescent="0.35">
      <c r="A1710"/>
      <c r="B1710"/>
      <c r="C1710" s="71"/>
      <c r="D1710" s="72"/>
    </row>
    <row r="1711" spans="1:4" ht="30" customHeight="1" x14ac:dyDescent="0.35">
      <c r="A1711"/>
      <c r="B1711"/>
      <c r="C1711" s="71"/>
      <c r="D1711" s="72"/>
    </row>
    <row r="1712" spans="1:4" ht="30" customHeight="1" x14ac:dyDescent="0.35">
      <c r="A1712"/>
      <c r="B1712"/>
      <c r="C1712" s="71"/>
      <c r="D1712" s="72"/>
    </row>
    <row r="1713" spans="1:4" ht="30" customHeight="1" x14ac:dyDescent="0.35">
      <c r="A1713"/>
      <c r="B1713"/>
      <c r="C1713" s="71"/>
      <c r="D1713" s="72"/>
    </row>
    <row r="1714" spans="1:4" ht="30" customHeight="1" x14ac:dyDescent="0.35">
      <c r="A1714"/>
      <c r="B1714"/>
      <c r="C1714" s="71"/>
      <c r="D1714" s="72"/>
    </row>
    <row r="1715" spans="1:4" ht="30" customHeight="1" x14ac:dyDescent="0.35">
      <c r="A1715"/>
      <c r="B1715"/>
      <c r="C1715" s="71"/>
      <c r="D1715" s="72"/>
    </row>
    <row r="1716" spans="1:4" ht="30" customHeight="1" x14ac:dyDescent="0.35">
      <c r="A1716"/>
      <c r="B1716"/>
      <c r="C1716" s="71"/>
      <c r="D1716" s="72"/>
    </row>
    <row r="1717" spans="1:4" ht="30" customHeight="1" x14ac:dyDescent="0.35">
      <c r="A1717"/>
      <c r="B1717"/>
      <c r="C1717" s="71"/>
      <c r="D1717" s="72"/>
    </row>
    <row r="1718" spans="1:4" ht="30" customHeight="1" x14ac:dyDescent="0.35">
      <c r="A1718"/>
      <c r="B1718"/>
      <c r="C1718" s="71"/>
      <c r="D1718" s="72"/>
    </row>
    <row r="1719" spans="1:4" ht="30" customHeight="1" x14ac:dyDescent="0.35">
      <c r="A1719"/>
      <c r="B1719"/>
      <c r="C1719" s="71"/>
      <c r="D1719" s="72"/>
    </row>
    <row r="1720" spans="1:4" ht="30" customHeight="1" x14ac:dyDescent="0.35">
      <c r="A1720"/>
      <c r="B1720"/>
      <c r="C1720" s="71"/>
      <c r="D1720" s="72"/>
    </row>
    <row r="1721" spans="1:4" ht="30" customHeight="1" x14ac:dyDescent="0.35">
      <c r="A1721"/>
      <c r="B1721"/>
      <c r="C1721" s="71"/>
      <c r="D1721" s="72"/>
    </row>
    <row r="1722" spans="1:4" ht="30" customHeight="1" x14ac:dyDescent="0.35">
      <c r="A1722"/>
      <c r="B1722"/>
      <c r="C1722" s="71"/>
      <c r="D1722" s="72"/>
    </row>
    <row r="1723" spans="1:4" ht="30" customHeight="1" x14ac:dyDescent="0.35">
      <c r="A1723"/>
      <c r="B1723"/>
      <c r="C1723" s="71"/>
      <c r="D1723" s="72"/>
    </row>
    <row r="1724" spans="1:4" ht="30" customHeight="1" x14ac:dyDescent="0.35">
      <c r="A1724"/>
      <c r="B1724"/>
      <c r="C1724" s="71"/>
      <c r="D1724" s="72"/>
    </row>
    <row r="1725" spans="1:4" ht="30" customHeight="1" x14ac:dyDescent="0.35">
      <c r="A1725"/>
      <c r="B1725"/>
      <c r="C1725" s="71"/>
      <c r="D1725" s="72"/>
    </row>
    <row r="1726" spans="1:4" ht="30" customHeight="1" x14ac:dyDescent="0.35">
      <c r="A1726"/>
      <c r="B1726"/>
      <c r="C1726" s="71"/>
      <c r="D1726" s="72"/>
    </row>
    <row r="1727" spans="1:4" ht="30" customHeight="1" x14ac:dyDescent="0.35">
      <c r="A1727"/>
      <c r="B1727"/>
      <c r="C1727" s="71"/>
      <c r="D1727" s="72"/>
    </row>
    <row r="1728" spans="1:4" ht="30" customHeight="1" x14ac:dyDescent="0.35">
      <c r="A1728"/>
      <c r="B1728"/>
      <c r="C1728" s="71"/>
      <c r="D1728" s="72"/>
    </row>
    <row r="1729" spans="1:4" ht="30" customHeight="1" x14ac:dyDescent="0.35">
      <c r="A1729"/>
      <c r="B1729"/>
      <c r="C1729" s="71"/>
      <c r="D1729" s="72"/>
    </row>
    <row r="1730" spans="1:4" ht="30" customHeight="1" x14ac:dyDescent="0.35">
      <c r="A1730"/>
      <c r="B1730"/>
      <c r="C1730" s="71"/>
      <c r="D1730" s="72"/>
    </row>
    <row r="1731" spans="1:4" ht="30" customHeight="1" x14ac:dyDescent="0.35">
      <c r="A1731"/>
      <c r="B1731"/>
      <c r="C1731" s="71"/>
      <c r="D1731" s="72"/>
    </row>
    <row r="1732" spans="1:4" ht="30" customHeight="1" x14ac:dyDescent="0.35">
      <c r="A1732"/>
      <c r="B1732"/>
      <c r="C1732" s="71"/>
      <c r="D1732" s="72"/>
    </row>
    <row r="1733" spans="1:4" ht="30" customHeight="1" x14ac:dyDescent="0.35">
      <c r="A1733"/>
      <c r="B1733"/>
      <c r="C1733" s="71"/>
      <c r="D1733" s="72"/>
    </row>
    <row r="1734" spans="1:4" ht="30" customHeight="1" x14ac:dyDescent="0.35">
      <c r="A1734"/>
      <c r="B1734"/>
      <c r="C1734" s="71"/>
      <c r="D1734" s="72"/>
    </row>
    <row r="1735" spans="1:4" ht="30" customHeight="1" x14ac:dyDescent="0.35">
      <c r="A1735"/>
      <c r="B1735"/>
      <c r="C1735" s="71"/>
      <c r="D1735" s="72"/>
    </row>
    <row r="1736" spans="1:4" ht="30" customHeight="1" x14ac:dyDescent="0.35">
      <c r="A1736"/>
      <c r="B1736"/>
      <c r="C1736" s="71"/>
      <c r="D1736" s="72"/>
    </row>
    <row r="1737" spans="1:4" ht="30" customHeight="1" x14ac:dyDescent="0.35">
      <c r="A1737"/>
      <c r="B1737"/>
      <c r="C1737" s="71"/>
      <c r="D1737" s="72"/>
    </row>
    <row r="1738" spans="1:4" ht="30" customHeight="1" x14ac:dyDescent="0.35">
      <c r="A1738"/>
      <c r="B1738"/>
      <c r="C1738" s="71"/>
      <c r="D1738" s="72"/>
    </row>
    <row r="1739" spans="1:4" ht="30" customHeight="1" x14ac:dyDescent="0.35">
      <c r="A1739"/>
      <c r="B1739"/>
      <c r="C1739" s="71"/>
      <c r="D1739" s="72"/>
    </row>
    <row r="1740" spans="1:4" ht="30" customHeight="1" x14ac:dyDescent="0.35">
      <c r="A1740"/>
      <c r="B1740"/>
      <c r="C1740" s="71"/>
      <c r="D1740" s="72"/>
    </row>
    <row r="1741" spans="1:4" ht="30" customHeight="1" x14ac:dyDescent="0.35">
      <c r="A1741"/>
      <c r="B1741"/>
      <c r="C1741" s="71"/>
      <c r="D1741" s="72"/>
    </row>
    <row r="1742" spans="1:4" ht="30" customHeight="1" x14ac:dyDescent="0.35">
      <c r="A1742"/>
      <c r="B1742"/>
      <c r="C1742" s="71"/>
      <c r="D1742" s="72"/>
    </row>
    <row r="1743" spans="1:4" ht="30" customHeight="1" x14ac:dyDescent="0.35">
      <c r="A1743"/>
      <c r="B1743"/>
      <c r="C1743" s="71"/>
      <c r="D1743" s="72"/>
    </row>
    <row r="1744" spans="1:4" ht="30" customHeight="1" x14ac:dyDescent="0.35">
      <c r="A1744"/>
      <c r="B1744"/>
      <c r="C1744" s="71"/>
      <c r="D1744" s="72"/>
    </row>
    <row r="1745" spans="1:4" ht="30" customHeight="1" x14ac:dyDescent="0.35">
      <c r="A1745"/>
      <c r="B1745"/>
      <c r="C1745" s="71"/>
      <c r="D1745" s="72"/>
    </row>
    <row r="1746" spans="1:4" ht="30" customHeight="1" x14ac:dyDescent="0.35">
      <c r="A1746"/>
      <c r="B1746"/>
      <c r="C1746" s="71"/>
      <c r="D1746" s="72"/>
    </row>
    <row r="1747" spans="1:4" ht="30" customHeight="1" x14ac:dyDescent="0.35">
      <c r="A1747"/>
      <c r="B1747"/>
      <c r="C1747" s="71"/>
      <c r="D1747" s="72"/>
    </row>
    <row r="1748" spans="1:4" ht="30" customHeight="1" x14ac:dyDescent="0.35">
      <c r="A1748"/>
      <c r="B1748"/>
      <c r="C1748" s="71"/>
      <c r="D1748" s="72"/>
    </row>
    <row r="1749" spans="1:4" ht="30" customHeight="1" x14ac:dyDescent="0.35">
      <c r="A1749"/>
      <c r="B1749"/>
      <c r="C1749" s="71"/>
      <c r="D1749" s="72"/>
    </row>
    <row r="1750" spans="1:4" ht="30" customHeight="1" x14ac:dyDescent="0.35">
      <c r="A1750"/>
      <c r="B1750"/>
      <c r="C1750" s="71"/>
      <c r="D1750" s="72"/>
    </row>
    <row r="1751" spans="1:4" ht="30" customHeight="1" x14ac:dyDescent="0.35">
      <c r="A1751"/>
      <c r="B1751"/>
      <c r="C1751" s="71"/>
      <c r="D1751" s="72"/>
    </row>
    <row r="1752" spans="1:4" ht="30" customHeight="1" x14ac:dyDescent="0.35">
      <c r="A1752"/>
      <c r="B1752"/>
      <c r="C1752" s="71"/>
      <c r="D1752" s="72"/>
    </row>
    <row r="1753" spans="1:4" ht="30" customHeight="1" x14ac:dyDescent="0.35">
      <c r="A1753"/>
      <c r="B1753"/>
      <c r="C1753" s="71"/>
      <c r="D1753" s="72"/>
    </row>
    <row r="1754" spans="1:4" ht="30" customHeight="1" x14ac:dyDescent="0.35">
      <c r="A1754"/>
      <c r="B1754"/>
      <c r="C1754" s="71"/>
      <c r="D1754" s="72"/>
    </row>
    <row r="1755" spans="1:4" ht="30" customHeight="1" x14ac:dyDescent="0.35">
      <c r="A1755"/>
      <c r="B1755"/>
      <c r="C1755" s="71"/>
      <c r="D1755" s="72"/>
    </row>
    <row r="1756" spans="1:4" ht="30" customHeight="1" x14ac:dyDescent="0.35">
      <c r="A1756"/>
      <c r="B1756"/>
      <c r="C1756" s="71"/>
      <c r="D1756" s="72"/>
    </row>
    <row r="1757" spans="1:4" ht="30" customHeight="1" x14ac:dyDescent="0.35">
      <c r="A1757"/>
      <c r="B1757"/>
      <c r="C1757" s="71"/>
      <c r="D1757" s="72"/>
    </row>
    <row r="1758" spans="1:4" ht="30" customHeight="1" x14ac:dyDescent="0.35">
      <c r="A1758"/>
      <c r="B1758"/>
      <c r="C1758" s="71"/>
      <c r="D1758" s="72"/>
    </row>
    <row r="1759" spans="1:4" ht="30" customHeight="1" x14ac:dyDescent="0.35">
      <c r="A1759"/>
      <c r="B1759"/>
      <c r="C1759" s="71"/>
      <c r="D1759" s="72"/>
    </row>
    <row r="1760" spans="1:4" ht="30" customHeight="1" x14ac:dyDescent="0.35">
      <c r="A1760"/>
      <c r="B1760"/>
      <c r="C1760" s="71"/>
      <c r="D1760" s="72"/>
    </row>
    <row r="1761" spans="1:4" ht="30" customHeight="1" x14ac:dyDescent="0.35">
      <c r="A1761"/>
      <c r="B1761"/>
      <c r="C1761" s="71"/>
      <c r="D1761" s="72"/>
    </row>
    <row r="1762" spans="1:4" ht="30" customHeight="1" x14ac:dyDescent="0.35">
      <c r="A1762"/>
      <c r="B1762"/>
      <c r="C1762" s="71"/>
      <c r="D1762" s="72"/>
    </row>
    <row r="1763" spans="1:4" ht="30" customHeight="1" x14ac:dyDescent="0.35">
      <c r="A1763"/>
      <c r="B1763"/>
      <c r="C1763" s="71"/>
      <c r="D1763" s="72"/>
    </row>
    <row r="1764" spans="1:4" ht="30" customHeight="1" x14ac:dyDescent="0.35">
      <c r="A1764"/>
      <c r="B1764"/>
      <c r="C1764" s="71"/>
      <c r="D1764" s="72"/>
    </row>
    <row r="1765" spans="1:4" ht="30" customHeight="1" x14ac:dyDescent="0.35">
      <c r="A1765"/>
      <c r="B1765"/>
      <c r="C1765" s="71"/>
      <c r="D1765" s="72"/>
    </row>
    <row r="1766" spans="1:4" ht="30" customHeight="1" x14ac:dyDescent="0.35">
      <c r="A1766"/>
      <c r="B1766"/>
      <c r="C1766" s="71"/>
      <c r="D1766" s="72"/>
    </row>
    <row r="1767" spans="1:4" ht="30" customHeight="1" x14ac:dyDescent="0.35">
      <c r="A1767"/>
      <c r="B1767"/>
      <c r="C1767" s="71"/>
      <c r="D1767" s="72"/>
    </row>
    <row r="1768" spans="1:4" ht="30" customHeight="1" x14ac:dyDescent="0.35">
      <c r="A1768"/>
      <c r="B1768"/>
      <c r="C1768" s="71"/>
      <c r="D1768" s="72"/>
    </row>
    <row r="1769" spans="1:4" ht="30" customHeight="1" x14ac:dyDescent="0.35">
      <c r="A1769"/>
      <c r="B1769"/>
      <c r="C1769" s="71"/>
      <c r="D1769" s="72"/>
    </row>
    <row r="1770" spans="1:4" ht="30" customHeight="1" x14ac:dyDescent="0.35">
      <c r="A1770"/>
      <c r="B1770"/>
      <c r="C1770" s="71"/>
      <c r="D1770" s="72"/>
    </row>
    <row r="1771" spans="1:4" ht="30" customHeight="1" x14ac:dyDescent="0.35">
      <c r="A1771"/>
      <c r="B1771"/>
      <c r="C1771" s="71"/>
      <c r="D1771" s="72"/>
    </row>
    <row r="1772" spans="1:4" ht="30" customHeight="1" x14ac:dyDescent="0.35">
      <c r="A1772"/>
      <c r="B1772"/>
      <c r="C1772" s="71"/>
      <c r="D1772" s="72"/>
    </row>
    <row r="1773" spans="1:4" ht="30" customHeight="1" x14ac:dyDescent="0.35">
      <c r="A1773"/>
      <c r="B1773"/>
      <c r="C1773" s="71"/>
      <c r="D1773" s="72"/>
    </row>
    <row r="1774" spans="1:4" ht="30" customHeight="1" x14ac:dyDescent="0.35">
      <c r="A1774"/>
      <c r="B1774"/>
      <c r="C1774" s="71"/>
      <c r="D1774" s="72"/>
    </row>
    <row r="1775" spans="1:4" ht="30" customHeight="1" x14ac:dyDescent="0.35">
      <c r="A1775"/>
      <c r="B1775"/>
      <c r="C1775" s="71"/>
      <c r="D1775" s="72"/>
    </row>
    <row r="1776" spans="1:4" ht="30" customHeight="1" x14ac:dyDescent="0.35">
      <c r="A1776"/>
      <c r="B1776"/>
      <c r="C1776" s="71"/>
      <c r="D1776" s="72"/>
    </row>
    <row r="1777" spans="1:4" ht="30" customHeight="1" x14ac:dyDescent="0.35">
      <c r="A1777"/>
      <c r="B1777"/>
      <c r="C1777" s="71"/>
      <c r="D1777" s="72"/>
    </row>
    <row r="1778" spans="1:4" ht="30" customHeight="1" x14ac:dyDescent="0.35">
      <c r="A1778"/>
      <c r="B1778"/>
      <c r="C1778" s="71"/>
      <c r="D1778" s="72"/>
    </row>
    <row r="1779" spans="1:4" ht="30" customHeight="1" x14ac:dyDescent="0.35">
      <c r="A1779"/>
      <c r="B1779"/>
      <c r="C1779" s="71"/>
      <c r="D1779" s="72"/>
    </row>
    <row r="1780" spans="1:4" ht="30" customHeight="1" x14ac:dyDescent="0.35">
      <c r="A1780"/>
      <c r="B1780"/>
      <c r="C1780" s="71"/>
      <c r="D1780" s="72"/>
    </row>
    <row r="1781" spans="1:4" ht="30" customHeight="1" x14ac:dyDescent="0.35">
      <c r="A1781"/>
      <c r="B1781"/>
      <c r="C1781" s="71"/>
      <c r="D1781" s="72"/>
    </row>
    <row r="1782" spans="1:4" ht="30" customHeight="1" x14ac:dyDescent="0.35">
      <c r="A1782"/>
      <c r="B1782"/>
      <c r="C1782" s="71"/>
      <c r="D1782" s="72"/>
    </row>
    <row r="1783" spans="1:4" ht="30" customHeight="1" x14ac:dyDescent="0.35">
      <c r="A1783"/>
      <c r="B1783"/>
      <c r="C1783" s="71"/>
      <c r="D1783" s="72"/>
    </row>
    <row r="1784" spans="1:4" ht="30" customHeight="1" x14ac:dyDescent="0.35">
      <c r="A1784"/>
      <c r="B1784"/>
      <c r="C1784" s="71"/>
      <c r="D1784" s="72"/>
    </row>
    <row r="1785" spans="1:4" ht="30" customHeight="1" x14ac:dyDescent="0.35">
      <c r="A1785"/>
      <c r="B1785"/>
      <c r="C1785" s="71"/>
      <c r="D1785" s="72"/>
    </row>
    <row r="1786" spans="1:4" ht="30" customHeight="1" x14ac:dyDescent="0.35">
      <c r="A1786"/>
      <c r="B1786"/>
      <c r="C1786" s="71"/>
      <c r="D1786" s="72"/>
    </row>
    <row r="1787" spans="1:4" ht="30" customHeight="1" x14ac:dyDescent="0.35">
      <c r="A1787"/>
      <c r="B1787"/>
      <c r="C1787" s="71"/>
      <c r="D1787" s="72"/>
    </row>
    <row r="1788" spans="1:4" ht="30" customHeight="1" x14ac:dyDescent="0.35">
      <c r="A1788"/>
      <c r="B1788"/>
      <c r="C1788" s="71"/>
      <c r="D1788" s="72"/>
    </row>
    <row r="1789" spans="1:4" ht="30" customHeight="1" x14ac:dyDescent="0.35">
      <c r="A1789"/>
      <c r="B1789"/>
      <c r="C1789" s="71"/>
      <c r="D1789" s="72"/>
    </row>
    <row r="1790" spans="1:4" ht="30" customHeight="1" x14ac:dyDescent="0.35">
      <c r="A1790"/>
      <c r="B1790"/>
      <c r="C1790" s="71"/>
      <c r="D1790" s="72"/>
    </row>
    <row r="1791" spans="1:4" ht="30" customHeight="1" x14ac:dyDescent="0.35">
      <c r="A1791"/>
      <c r="B1791"/>
      <c r="C1791" s="71"/>
      <c r="D1791" s="72"/>
    </row>
    <row r="1792" spans="1:4" ht="30" customHeight="1" x14ac:dyDescent="0.35">
      <c r="A1792"/>
      <c r="B1792"/>
      <c r="C1792" s="71"/>
      <c r="D1792" s="72"/>
    </row>
    <row r="1793" spans="1:4" ht="30" customHeight="1" x14ac:dyDescent="0.35">
      <c r="A1793"/>
      <c r="B1793"/>
      <c r="C1793" s="71"/>
      <c r="D1793" s="72"/>
    </row>
    <row r="1794" spans="1:4" ht="30" customHeight="1" x14ac:dyDescent="0.35">
      <c r="A1794"/>
      <c r="B1794"/>
      <c r="C1794" s="71"/>
      <c r="D1794" s="72"/>
    </row>
    <row r="1795" spans="1:4" ht="30" customHeight="1" x14ac:dyDescent="0.35">
      <c r="A1795"/>
      <c r="B1795"/>
      <c r="C1795" s="71"/>
      <c r="D1795" s="72"/>
    </row>
    <row r="1796" spans="1:4" ht="30" customHeight="1" x14ac:dyDescent="0.35">
      <c r="A1796"/>
      <c r="B1796"/>
      <c r="C1796" s="71"/>
      <c r="D1796" s="72"/>
    </row>
    <row r="1797" spans="1:4" ht="30" customHeight="1" x14ac:dyDescent="0.35">
      <c r="A1797"/>
      <c r="B1797"/>
      <c r="C1797" s="71"/>
      <c r="D1797" s="72"/>
    </row>
    <row r="1798" spans="1:4" ht="30" customHeight="1" x14ac:dyDescent="0.35">
      <c r="A1798"/>
      <c r="B1798"/>
      <c r="C1798" s="71"/>
      <c r="D1798" s="72"/>
    </row>
    <row r="1799" spans="1:4" ht="30" customHeight="1" x14ac:dyDescent="0.35">
      <c r="A1799"/>
      <c r="B1799"/>
      <c r="C1799" s="71"/>
      <c r="D1799" s="72"/>
    </row>
    <row r="1800" spans="1:4" ht="30" customHeight="1" x14ac:dyDescent="0.35">
      <c r="A1800"/>
      <c r="B1800"/>
      <c r="C1800" s="71"/>
      <c r="D1800" s="72"/>
    </row>
    <row r="1801" spans="1:4" ht="30" customHeight="1" x14ac:dyDescent="0.35">
      <c r="A1801"/>
      <c r="B1801"/>
      <c r="C1801" s="71"/>
      <c r="D1801" s="72"/>
    </row>
    <row r="1802" spans="1:4" ht="30" customHeight="1" x14ac:dyDescent="0.35">
      <c r="A1802"/>
      <c r="B1802"/>
      <c r="C1802" s="71"/>
      <c r="D1802" s="72"/>
    </row>
    <row r="1803" spans="1:4" ht="30" customHeight="1" x14ac:dyDescent="0.35">
      <c r="A1803"/>
      <c r="B1803"/>
      <c r="C1803" s="71"/>
      <c r="D1803" s="72"/>
    </row>
    <row r="1804" spans="1:4" ht="30" customHeight="1" x14ac:dyDescent="0.35">
      <c r="A1804"/>
      <c r="B1804"/>
      <c r="C1804" s="71"/>
      <c r="D1804" s="72"/>
    </row>
    <row r="1805" spans="1:4" ht="30" customHeight="1" x14ac:dyDescent="0.35">
      <c r="A1805"/>
      <c r="B1805"/>
      <c r="C1805" s="71"/>
      <c r="D1805" s="72"/>
    </row>
    <row r="1806" spans="1:4" ht="30" customHeight="1" x14ac:dyDescent="0.35">
      <c r="A1806"/>
      <c r="B1806"/>
      <c r="C1806" s="71"/>
      <c r="D1806" s="72"/>
    </row>
    <row r="1807" spans="1:4" ht="30" customHeight="1" x14ac:dyDescent="0.35">
      <c r="A1807"/>
      <c r="B1807"/>
      <c r="C1807" s="71"/>
      <c r="D1807" s="72"/>
    </row>
    <row r="1808" spans="1:4" ht="30" customHeight="1" x14ac:dyDescent="0.35">
      <c r="A1808"/>
      <c r="B1808"/>
      <c r="C1808" s="71"/>
      <c r="D1808" s="72"/>
    </row>
    <row r="1809" spans="1:4" ht="30" customHeight="1" x14ac:dyDescent="0.35">
      <c r="A1809"/>
      <c r="B1809"/>
      <c r="C1809" s="71"/>
      <c r="D1809" s="72"/>
    </row>
    <row r="1810" spans="1:4" ht="30" customHeight="1" x14ac:dyDescent="0.35">
      <c r="A1810"/>
      <c r="B1810"/>
      <c r="C1810" s="71"/>
      <c r="D1810" s="72"/>
    </row>
    <row r="1811" spans="1:4" ht="30" customHeight="1" x14ac:dyDescent="0.35">
      <c r="A1811"/>
      <c r="B1811"/>
      <c r="C1811" s="71"/>
      <c r="D1811" s="72"/>
    </row>
    <row r="1812" spans="1:4" ht="30" customHeight="1" x14ac:dyDescent="0.35">
      <c r="A1812"/>
      <c r="B1812"/>
      <c r="C1812" s="71"/>
      <c r="D1812" s="72"/>
    </row>
    <row r="1813" spans="1:4" ht="30" customHeight="1" x14ac:dyDescent="0.35">
      <c r="A1813"/>
      <c r="B1813"/>
      <c r="C1813" s="71"/>
      <c r="D1813" s="72"/>
    </row>
    <row r="1814" spans="1:4" ht="30" customHeight="1" x14ac:dyDescent="0.35">
      <c r="A1814"/>
      <c r="B1814"/>
      <c r="C1814" s="71"/>
      <c r="D1814" s="72"/>
    </row>
    <row r="1815" spans="1:4" ht="30" customHeight="1" x14ac:dyDescent="0.35">
      <c r="A1815"/>
      <c r="B1815"/>
      <c r="C1815" s="71"/>
      <c r="D1815" s="72"/>
    </row>
    <row r="1816" spans="1:4" ht="30" customHeight="1" x14ac:dyDescent="0.35">
      <c r="A1816"/>
      <c r="B1816"/>
      <c r="C1816" s="71"/>
      <c r="D1816" s="72"/>
    </row>
    <row r="1817" spans="1:4" ht="30" customHeight="1" x14ac:dyDescent="0.35">
      <c r="A1817"/>
      <c r="B1817"/>
      <c r="C1817" s="71"/>
      <c r="D1817" s="72"/>
    </row>
    <row r="1818" spans="1:4" ht="30" customHeight="1" x14ac:dyDescent="0.35">
      <c r="A1818"/>
      <c r="B1818"/>
      <c r="C1818" s="71"/>
      <c r="D1818" s="72"/>
    </row>
    <row r="1819" spans="1:4" ht="30" customHeight="1" x14ac:dyDescent="0.35">
      <c r="A1819"/>
      <c r="B1819"/>
      <c r="C1819" s="71"/>
      <c r="D1819" s="72"/>
    </row>
    <row r="1820" spans="1:4" ht="30" customHeight="1" x14ac:dyDescent="0.35">
      <c r="A1820"/>
      <c r="B1820"/>
      <c r="C1820" s="71"/>
      <c r="D1820" s="72"/>
    </row>
    <row r="1821" spans="1:4" ht="30" customHeight="1" x14ac:dyDescent="0.35">
      <c r="A1821"/>
      <c r="B1821"/>
      <c r="C1821" s="71"/>
      <c r="D1821" s="72"/>
    </row>
    <row r="1822" spans="1:4" ht="30" customHeight="1" x14ac:dyDescent="0.35">
      <c r="A1822"/>
      <c r="B1822"/>
      <c r="C1822" s="71"/>
      <c r="D1822" s="72"/>
    </row>
    <row r="1823" spans="1:4" ht="30" customHeight="1" x14ac:dyDescent="0.35">
      <c r="A1823"/>
      <c r="B1823"/>
      <c r="C1823" s="71"/>
      <c r="D1823" s="72"/>
    </row>
    <row r="1824" spans="1:4" ht="30" customHeight="1" x14ac:dyDescent="0.35">
      <c r="A1824"/>
      <c r="B1824"/>
      <c r="C1824" s="71"/>
      <c r="D1824" s="72"/>
    </row>
    <row r="1825" spans="1:4" ht="30" customHeight="1" x14ac:dyDescent="0.35">
      <c r="A1825"/>
      <c r="B1825"/>
      <c r="C1825" s="71"/>
      <c r="D1825" s="72"/>
    </row>
    <row r="1826" spans="1:4" ht="30" customHeight="1" x14ac:dyDescent="0.35">
      <c r="A1826"/>
      <c r="B1826"/>
      <c r="C1826" s="71"/>
      <c r="D1826" s="72"/>
    </row>
    <row r="1827" spans="1:4" ht="30" customHeight="1" x14ac:dyDescent="0.35">
      <c r="A1827"/>
      <c r="B1827"/>
      <c r="C1827" s="71"/>
      <c r="D1827" s="72"/>
    </row>
    <row r="1828" spans="1:4" ht="30" customHeight="1" x14ac:dyDescent="0.35">
      <c r="A1828"/>
      <c r="B1828"/>
      <c r="C1828" s="71"/>
      <c r="D1828" s="72"/>
    </row>
    <row r="1829" spans="1:4" ht="30" customHeight="1" x14ac:dyDescent="0.35">
      <c r="A1829"/>
      <c r="B1829"/>
      <c r="C1829" s="71"/>
      <c r="D1829" s="72"/>
    </row>
    <row r="1830" spans="1:4" ht="30" customHeight="1" x14ac:dyDescent="0.35">
      <c r="A1830"/>
      <c r="B1830"/>
      <c r="C1830" s="71"/>
      <c r="D1830" s="72"/>
    </row>
    <row r="1831" spans="1:4" ht="30" customHeight="1" x14ac:dyDescent="0.35">
      <c r="A1831"/>
      <c r="B1831"/>
      <c r="C1831" s="71"/>
      <c r="D1831" s="72"/>
    </row>
    <row r="1832" spans="1:4" ht="30" customHeight="1" x14ac:dyDescent="0.35">
      <c r="A1832"/>
      <c r="B1832"/>
      <c r="C1832" s="71"/>
      <c r="D1832" s="72"/>
    </row>
    <row r="1833" spans="1:4" ht="30" customHeight="1" x14ac:dyDescent="0.35">
      <c r="A1833"/>
      <c r="B1833"/>
      <c r="C1833" s="71"/>
      <c r="D1833" s="72"/>
    </row>
    <row r="1834" spans="1:4" ht="30" customHeight="1" x14ac:dyDescent="0.35">
      <c r="A1834"/>
      <c r="B1834"/>
      <c r="C1834" s="71"/>
      <c r="D1834" s="72"/>
    </row>
    <row r="1835" spans="1:4" ht="30" customHeight="1" x14ac:dyDescent="0.35">
      <c r="A1835"/>
      <c r="B1835"/>
      <c r="C1835" s="71"/>
      <c r="D1835" s="72"/>
    </row>
    <row r="1836" spans="1:4" ht="30" customHeight="1" x14ac:dyDescent="0.35">
      <c r="A1836"/>
      <c r="B1836"/>
      <c r="C1836" s="71"/>
      <c r="D1836" s="72"/>
    </row>
    <row r="1837" spans="1:4" ht="30" customHeight="1" x14ac:dyDescent="0.35">
      <c r="A1837"/>
      <c r="B1837"/>
      <c r="C1837" s="71"/>
      <c r="D1837" s="72"/>
    </row>
    <row r="1838" spans="1:4" ht="30" customHeight="1" x14ac:dyDescent="0.35">
      <c r="A1838"/>
      <c r="B1838"/>
      <c r="C1838" s="71"/>
      <c r="D1838" s="72"/>
    </row>
    <row r="1839" spans="1:4" ht="30" customHeight="1" x14ac:dyDescent="0.35">
      <c r="A1839"/>
      <c r="B1839"/>
      <c r="C1839" s="71"/>
      <c r="D1839" s="72"/>
    </row>
    <row r="1840" spans="1:4" ht="30" customHeight="1" x14ac:dyDescent="0.35">
      <c r="A1840"/>
      <c r="B1840"/>
      <c r="C1840" s="71"/>
      <c r="D1840" s="72"/>
    </row>
    <row r="1841" spans="1:4" ht="30" customHeight="1" x14ac:dyDescent="0.35">
      <c r="A1841"/>
      <c r="B1841"/>
      <c r="C1841" s="71"/>
      <c r="D1841" s="72"/>
    </row>
    <row r="1842" spans="1:4" ht="30" customHeight="1" x14ac:dyDescent="0.35">
      <c r="A1842"/>
      <c r="B1842"/>
      <c r="C1842" s="71"/>
      <c r="D1842" s="72"/>
    </row>
    <row r="1843" spans="1:4" ht="30" customHeight="1" x14ac:dyDescent="0.35">
      <c r="A1843"/>
      <c r="B1843"/>
      <c r="C1843" s="71"/>
      <c r="D1843" s="72"/>
    </row>
    <row r="1844" spans="1:4" ht="30" customHeight="1" x14ac:dyDescent="0.35">
      <c r="A1844"/>
      <c r="B1844"/>
      <c r="C1844" s="71"/>
      <c r="D1844" s="72"/>
    </row>
    <row r="1845" spans="1:4" ht="30" customHeight="1" x14ac:dyDescent="0.35">
      <c r="A1845"/>
      <c r="B1845"/>
      <c r="C1845" s="71"/>
      <c r="D1845" s="72"/>
    </row>
    <row r="1846" spans="1:4" ht="30" customHeight="1" x14ac:dyDescent="0.35">
      <c r="A1846"/>
      <c r="B1846"/>
      <c r="C1846" s="71"/>
      <c r="D1846" s="72"/>
    </row>
    <row r="1847" spans="1:4" ht="30" customHeight="1" x14ac:dyDescent="0.35">
      <c r="A1847"/>
      <c r="B1847"/>
      <c r="C1847" s="71"/>
      <c r="D1847" s="72"/>
    </row>
    <row r="1848" spans="1:4" ht="30" customHeight="1" x14ac:dyDescent="0.35">
      <c r="A1848"/>
      <c r="B1848"/>
      <c r="C1848" s="71"/>
      <c r="D1848" s="72"/>
    </row>
    <row r="1849" spans="1:4" ht="30" customHeight="1" x14ac:dyDescent="0.35">
      <c r="A1849"/>
      <c r="B1849"/>
      <c r="C1849" s="71"/>
      <c r="D1849" s="72"/>
    </row>
    <row r="1850" spans="1:4" ht="30" customHeight="1" x14ac:dyDescent="0.35">
      <c r="A1850"/>
      <c r="B1850"/>
      <c r="C1850" s="71"/>
      <c r="D1850" s="72"/>
    </row>
    <row r="1851" spans="1:4" ht="30" customHeight="1" x14ac:dyDescent="0.35">
      <c r="A1851"/>
      <c r="B1851"/>
      <c r="C1851" s="71"/>
      <c r="D1851" s="72"/>
    </row>
    <row r="1852" spans="1:4" ht="30" customHeight="1" x14ac:dyDescent="0.35">
      <c r="A1852"/>
      <c r="B1852"/>
      <c r="C1852" s="71"/>
      <c r="D1852" s="72"/>
    </row>
    <row r="1853" spans="1:4" ht="30" customHeight="1" x14ac:dyDescent="0.35">
      <c r="A1853"/>
      <c r="B1853"/>
      <c r="C1853" s="71"/>
      <c r="D1853" s="72"/>
    </row>
    <row r="1854" spans="1:4" ht="30" customHeight="1" x14ac:dyDescent="0.35">
      <c r="A1854"/>
      <c r="B1854"/>
      <c r="C1854" s="71"/>
      <c r="D1854" s="72"/>
    </row>
    <row r="1855" spans="1:4" ht="30" customHeight="1" x14ac:dyDescent="0.35">
      <c r="A1855"/>
      <c r="B1855"/>
      <c r="C1855" s="71"/>
      <c r="D1855" s="72"/>
    </row>
    <row r="1856" spans="1:4" ht="30" customHeight="1" x14ac:dyDescent="0.35">
      <c r="A1856"/>
      <c r="B1856"/>
      <c r="C1856" s="71"/>
      <c r="D1856" s="72"/>
    </row>
    <row r="1857" spans="1:4" ht="30" customHeight="1" x14ac:dyDescent="0.35">
      <c r="A1857"/>
      <c r="B1857"/>
      <c r="C1857" s="71"/>
      <c r="D1857" s="72"/>
    </row>
    <row r="1858" spans="1:4" ht="30" customHeight="1" x14ac:dyDescent="0.35">
      <c r="A1858"/>
      <c r="B1858"/>
      <c r="C1858" s="71"/>
      <c r="D1858" s="72"/>
    </row>
    <row r="1859" spans="1:4" ht="30" customHeight="1" x14ac:dyDescent="0.35">
      <c r="A1859"/>
      <c r="B1859"/>
      <c r="C1859" s="71"/>
      <c r="D1859" s="72"/>
    </row>
    <row r="1860" spans="1:4" ht="30" customHeight="1" x14ac:dyDescent="0.35">
      <c r="A1860"/>
      <c r="B1860"/>
      <c r="C1860" s="71"/>
      <c r="D1860" s="72"/>
    </row>
    <row r="1861" spans="1:4" ht="30" customHeight="1" x14ac:dyDescent="0.35">
      <c r="A1861"/>
      <c r="B1861"/>
      <c r="C1861" s="71"/>
      <c r="D1861" s="72"/>
    </row>
    <row r="1862" spans="1:4" ht="30" customHeight="1" x14ac:dyDescent="0.35">
      <c r="A1862"/>
      <c r="B1862"/>
      <c r="C1862" s="71"/>
      <c r="D1862" s="72"/>
    </row>
    <row r="1863" spans="1:4" ht="30" customHeight="1" x14ac:dyDescent="0.35">
      <c r="A1863"/>
      <c r="B1863"/>
      <c r="C1863" s="71"/>
      <c r="D1863" s="72"/>
    </row>
    <row r="1864" spans="1:4" ht="30" customHeight="1" x14ac:dyDescent="0.35">
      <c r="A1864"/>
      <c r="B1864"/>
      <c r="C1864" s="71"/>
      <c r="D1864" s="72"/>
    </row>
    <row r="1865" spans="1:4" ht="30" customHeight="1" x14ac:dyDescent="0.35">
      <c r="A1865"/>
      <c r="B1865"/>
      <c r="C1865" s="71"/>
      <c r="D1865" s="72"/>
    </row>
    <row r="1866" spans="1:4" ht="30" customHeight="1" x14ac:dyDescent="0.35">
      <c r="A1866"/>
      <c r="B1866"/>
      <c r="C1866" s="71"/>
      <c r="D1866" s="72"/>
    </row>
    <row r="1867" spans="1:4" ht="30" customHeight="1" x14ac:dyDescent="0.35">
      <c r="A1867"/>
      <c r="B1867"/>
      <c r="C1867" s="71"/>
      <c r="D1867" s="72"/>
    </row>
    <row r="1868" spans="1:4" ht="30" customHeight="1" x14ac:dyDescent="0.35">
      <c r="A1868"/>
      <c r="B1868"/>
      <c r="C1868" s="71"/>
      <c r="D1868" s="72"/>
    </row>
    <row r="1869" spans="1:4" ht="30" customHeight="1" x14ac:dyDescent="0.35">
      <c r="A1869"/>
      <c r="B1869"/>
      <c r="C1869" s="71"/>
      <c r="D1869" s="72"/>
    </row>
    <row r="1870" spans="1:4" ht="30" customHeight="1" x14ac:dyDescent="0.35">
      <c r="A1870"/>
      <c r="B1870"/>
      <c r="C1870" s="71"/>
      <c r="D1870" s="72"/>
    </row>
    <row r="1871" spans="1:4" ht="30" customHeight="1" x14ac:dyDescent="0.35">
      <c r="A1871"/>
      <c r="B1871"/>
      <c r="C1871" s="71"/>
      <c r="D1871" s="72"/>
    </row>
    <row r="1872" spans="1:4" ht="30" customHeight="1" x14ac:dyDescent="0.35">
      <c r="A1872"/>
      <c r="B1872"/>
      <c r="C1872" s="71"/>
      <c r="D1872" s="72"/>
    </row>
    <row r="1873" spans="1:4" ht="30" customHeight="1" x14ac:dyDescent="0.35">
      <c r="A1873"/>
      <c r="B1873"/>
      <c r="C1873" s="71"/>
      <c r="D1873" s="72"/>
    </row>
    <row r="1874" spans="1:4" ht="30" customHeight="1" x14ac:dyDescent="0.35">
      <c r="A1874"/>
      <c r="B1874"/>
      <c r="C1874" s="71"/>
      <c r="D1874" s="72"/>
    </row>
    <row r="1875" spans="1:4" ht="30" customHeight="1" x14ac:dyDescent="0.35">
      <c r="A1875"/>
      <c r="B1875"/>
      <c r="C1875" s="71"/>
      <c r="D1875" s="72"/>
    </row>
    <row r="1876" spans="1:4" ht="30" customHeight="1" x14ac:dyDescent="0.35">
      <c r="A1876"/>
      <c r="B1876"/>
      <c r="C1876" s="71"/>
      <c r="D1876" s="72"/>
    </row>
    <row r="1877" spans="1:4" ht="30" customHeight="1" x14ac:dyDescent="0.35">
      <c r="A1877"/>
      <c r="B1877"/>
      <c r="C1877" s="71"/>
      <c r="D1877" s="72"/>
    </row>
    <row r="1878" spans="1:4" ht="30" customHeight="1" x14ac:dyDescent="0.35">
      <c r="A1878"/>
      <c r="B1878"/>
      <c r="C1878" s="71"/>
      <c r="D1878" s="72"/>
    </row>
    <row r="1879" spans="1:4" ht="30" customHeight="1" x14ac:dyDescent="0.35">
      <c r="A1879"/>
      <c r="B1879"/>
      <c r="C1879" s="71"/>
      <c r="D1879" s="72"/>
    </row>
    <row r="1880" spans="1:4" ht="30" customHeight="1" x14ac:dyDescent="0.35">
      <c r="A1880"/>
      <c r="B1880"/>
      <c r="C1880" s="71"/>
      <c r="D1880" s="72"/>
    </row>
    <row r="1881" spans="1:4" ht="30" customHeight="1" x14ac:dyDescent="0.35">
      <c r="A1881"/>
      <c r="B1881"/>
      <c r="C1881" s="71"/>
      <c r="D1881" s="72"/>
    </row>
    <row r="1882" spans="1:4" ht="30" customHeight="1" x14ac:dyDescent="0.35">
      <c r="A1882"/>
      <c r="B1882"/>
      <c r="C1882" s="71"/>
      <c r="D1882" s="72"/>
    </row>
    <row r="1883" spans="1:4" ht="30" customHeight="1" x14ac:dyDescent="0.35">
      <c r="A1883"/>
      <c r="B1883"/>
      <c r="C1883" s="71"/>
      <c r="D1883" s="72"/>
    </row>
    <row r="1884" spans="1:4" ht="30" customHeight="1" x14ac:dyDescent="0.35">
      <c r="A1884"/>
      <c r="B1884"/>
      <c r="C1884" s="71"/>
      <c r="D1884" s="72"/>
    </row>
    <row r="1885" spans="1:4" ht="30" customHeight="1" x14ac:dyDescent="0.35">
      <c r="A1885"/>
      <c r="B1885"/>
      <c r="C1885" s="71"/>
      <c r="D1885" s="72"/>
    </row>
    <row r="1886" spans="1:4" ht="30" customHeight="1" x14ac:dyDescent="0.35">
      <c r="A1886"/>
      <c r="B1886"/>
      <c r="C1886" s="71"/>
      <c r="D1886" s="72"/>
    </row>
    <row r="1887" spans="1:4" ht="30" customHeight="1" x14ac:dyDescent="0.35">
      <c r="A1887"/>
      <c r="B1887"/>
      <c r="C1887" s="71"/>
      <c r="D1887" s="72"/>
    </row>
    <row r="1888" spans="1:4" ht="30" customHeight="1" x14ac:dyDescent="0.35">
      <c r="A1888"/>
      <c r="B1888"/>
      <c r="C1888" s="71"/>
      <c r="D1888" s="72"/>
    </row>
    <row r="1889" spans="1:4" ht="30" customHeight="1" x14ac:dyDescent="0.35">
      <c r="A1889"/>
      <c r="B1889"/>
      <c r="C1889" s="71"/>
      <c r="D1889" s="72"/>
    </row>
    <row r="1890" spans="1:4" ht="30" customHeight="1" x14ac:dyDescent="0.35">
      <c r="A1890"/>
      <c r="B1890"/>
      <c r="C1890" s="71"/>
      <c r="D1890" s="72"/>
    </row>
    <row r="1891" spans="1:4" ht="30" customHeight="1" x14ac:dyDescent="0.35">
      <c r="A1891"/>
      <c r="B1891"/>
      <c r="C1891" s="71"/>
      <c r="D1891" s="72"/>
    </row>
    <row r="1892" spans="1:4" ht="30" customHeight="1" x14ac:dyDescent="0.35">
      <c r="A1892"/>
      <c r="B1892"/>
      <c r="C1892" s="71"/>
      <c r="D1892" s="72"/>
    </row>
    <row r="1893" spans="1:4" ht="30" customHeight="1" x14ac:dyDescent="0.35">
      <c r="A1893"/>
      <c r="B1893"/>
      <c r="C1893" s="71"/>
      <c r="D1893" s="72"/>
    </row>
    <row r="1894" spans="1:4" ht="30" customHeight="1" x14ac:dyDescent="0.35">
      <c r="A1894"/>
      <c r="B1894"/>
      <c r="C1894" s="71"/>
      <c r="D1894" s="72"/>
    </row>
    <row r="1895" spans="1:4" ht="30" customHeight="1" x14ac:dyDescent="0.35">
      <c r="A1895"/>
      <c r="B1895"/>
      <c r="C1895" s="71"/>
      <c r="D1895" s="72"/>
    </row>
    <row r="1896" spans="1:4" ht="30" customHeight="1" x14ac:dyDescent="0.35">
      <c r="A1896"/>
      <c r="B1896"/>
      <c r="C1896" s="71"/>
      <c r="D1896" s="72"/>
    </row>
    <row r="1897" spans="1:4" ht="30" customHeight="1" x14ac:dyDescent="0.35">
      <c r="A1897"/>
      <c r="B1897"/>
      <c r="C1897" s="71"/>
      <c r="D1897" s="72"/>
    </row>
    <row r="1898" spans="1:4" ht="30" customHeight="1" x14ac:dyDescent="0.35">
      <c r="A1898"/>
      <c r="B1898"/>
      <c r="C1898" s="71"/>
      <c r="D1898" s="72"/>
    </row>
    <row r="1899" spans="1:4" ht="30" customHeight="1" x14ac:dyDescent="0.35">
      <c r="A1899"/>
      <c r="B1899"/>
      <c r="C1899" s="71"/>
      <c r="D1899" s="72"/>
    </row>
    <row r="1900" spans="1:4" ht="30" customHeight="1" x14ac:dyDescent="0.35">
      <c r="A1900"/>
      <c r="B1900"/>
      <c r="C1900" s="71"/>
      <c r="D1900" s="72"/>
    </row>
    <row r="1901" spans="1:4" ht="30" customHeight="1" x14ac:dyDescent="0.35">
      <c r="A1901"/>
      <c r="B1901"/>
      <c r="C1901" s="71"/>
      <c r="D1901" s="72"/>
    </row>
    <row r="1902" spans="1:4" ht="30" customHeight="1" x14ac:dyDescent="0.35">
      <c r="A1902"/>
      <c r="B1902"/>
      <c r="C1902" s="71"/>
      <c r="D1902" s="72"/>
    </row>
    <row r="1903" spans="1:4" ht="30" customHeight="1" x14ac:dyDescent="0.35">
      <c r="A1903"/>
      <c r="B1903"/>
      <c r="C1903" s="71"/>
      <c r="D1903" s="72"/>
    </row>
    <row r="1904" spans="1:4" ht="30" customHeight="1" x14ac:dyDescent="0.35">
      <c r="A1904"/>
      <c r="B1904"/>
      <c r="C1904" s="71"/>
      <c r="D1904" s="72"/>
    </row>
    <row r="1905" spans="1:4" ht="30" customHeight="1" x14ac:dyDescent="0.35">
      <c r="A1905"/>
      <c r="B1905"/>
      <c r="C1905" s="71"/>
      <c r="D1905" s="72"/>
    </row>
    <row r="1906" spans="1:4" ht="30" customHeight="1" x14ac:dyDescent="0.35">
      <c r="A1906"/>
      <c r="B1906"/>
      <c r="C1906" s="71"/>
      <c r="D1906" s="72"/>
    </row>
    <row r="1907" spans="1:4" ht="30" customHeight="1" x14ac:dyDescent="0.35">
      <c r="A1907"/>
      <c r="B1907"/>
      <c r="C1907" s="71"/>
      <c r="D1907" s="72"/>
    </row>
    <row r="1908" spans="1:4" ht="30" customHeight="1" x14ac:dyDescent="0.35">
      <c r="A1908"/>
      <c r="B1908"/>
      <c r="C1908" s="71"/>
      <c r="D1908" s="72"/>
    </row>
    <row r="1909" spans="1:4" ht="30" customHeight="1" x14ac:dyDescent="0.35">
      <c r="A1909"/>
      <c r="B1909"/>
      <c r="C1909" s="71"/>
      <c r="D1909" s="72"/>
    </row>
    <row r="1910" spans="1:4" ht="30" customHeight="1" x14ac:dyDescent="0.35">
      <c r="A1910"/>
      <c r="B1910"/>
      <c r="C1910" s="71"/>
      <c r="D1910" s="72"/>
    </row>
    <row r="1911" spans="1:4" ht="30" customHeight="1" x14ac:dyDescent="0.35">
      <c r="A1911"/>
      <c r="B1911"/>
      <c r="C1911" s="71"/>
      <c r="D1911" s="72"/>
    </row>
    <row r="1912" spans="1:4" ht="30" customHeight="1" x14ac:dyDescent="0.35">
      <c r="A1912"/>
      <c r="B1912"/>
      <c r="C1912" s="71"/>
      <c r="D1912" s="72"/>
    </row>
    <row r="1913" spans="1:4" ht="30" customHeight="1" x14ac:dyDescent="0.35">
      <c r="A1913"/>
      <c r="B1913"/>
      <c r="C1913" s="71"/>
      <c r="D1913" s="72"/>
    </row>
    <row r="1914" spans="1:4" ht="30" customHeight="1" x14ac:dyDescent="0.35">
      <c r="A1914"/>
      <c r="B1914"/>
      <c r="C1914" s="71"/>
      <c r="D1914" s="72"/>
    </row>
    <row r="1915" spans="1:4" ht="30" customHeight="1" x14ac:dyDescent="0.35">
      <c r="A1915"/>
      <c r="B1915"/>
      <c r="C1915" s="71"/>
      <c r="D1915" s="72"/>
    </row>
    <row r="1916" spans="1:4" ht="30" customHeight="1" x14ac:dyDescent="0.35">
      <c r="A1916"/>
      <c r="B1916"/>
      <c r="C1916" s="71"/>
      <c r="D1916" s="72"/>
    </row>
    <row r="1917" spans="1:4" ht="30" customHeight="1" x14ac:dyDescent="0.35">
      <c r="A1917"/>
      <c r="B1917"/>
      <c r="C1917" s="71"/>
      <c r="D1917" s="72"/>
    </row>
    <row r="1918" spans="1:4" ht="30" customHeight="1" x14ac:dyDescent="0.35">
      <c r="A1918"/>
      <c r="B1918"/>
      <c r="C1918" s="71"/>
      <c r="D1918" s="72"/>
    </row>
    <row r="1919" spans="1:4" ht="30" customHeight="1" x14ac:dyDescent="0.35">
      <c r="A1919"/>
      <c r="B1919"/>
      <c r="C1919" s="71"/>
      <c r="D1919" s="72"/>
    </row>
    <row r="1920" spans="1:4" ht="30" customHeight="1" x14ac:dyDescent="0.35">
      <c r="A1920"/>
      <c r="B1920"/>
      <c r="C1920" s="71"/>
      <c r="D1920" s="72"/>
    </row>
    <row r="1921" spans="1:4" ht="30" customHeight="1" x14ac:dyDescent="0.35">
      <c r="A1921"/>
      <c r="B1921"/>
      <c r="C1921" s="71"/>
      <c r="D1921" s="72"/>
    </row>
    <row r="1922" spans="1:4" ht="30" customHeight="1" x14ac:dyDescent="0.35">
      <c r="A1922"/>
      <c r="B1922"/>
      <c r="C1922" s="71"/>
      <c r="D1922" s="72"/>
    </row>
    <row r="1923" spans="1:4" ht="30" customHeight="1" x14ac:dyDescent="0.35">
      <c r="A1923"/>
      <c r="B1923"/>
      <c r="C1923" s="71"/>
      <c r="D1923" s="72"/>
    </row>
    <row r="1924" spans="1:4" ht="30" customHeight="1" x14ac:dyDescent="0.35">
      <c r="A1924"/>
      <c r="B1924"/>
      <c r="C1924" s="71"/>
      <c r="D1924" s="72"/>
    </row>
    <row r="1925" spans="1:4" ht="30" customHeight="1" x14ac:dyDescent="0.35">
      <c r="A1925"/>
      <c r="B1925"/>
      <c r="C1925" s="71"/>
      <c r="D1925" s="72"/>
    </row>
    <row r="1926" spans="1:4" ht="30" customHeight="1" x14ac:dyDescent="0.35">
      <c r="A1926"/>
      <c r="B1926"/>
      <c r="C1926" s="71"/>
      <c r="D1926" s="72"/>
    </row>
    <row r="1927" spans="1:4" ht="30" customHeight="1" x14ac:dyDescent="0.35">
      <c r="A1927"/>
      <c r="B1927"/>
      <c r="C1927" s="71"/>
      <c r="D1927" s="72"/>
    </row>
    <row r="1928" spans="1:4" ht="30" customHeight="1" x14ac:dyDescent="0.35">
      <c r="A1928"/>
      <c r="B1928"/>
      <c r="C1928" s="71"/>
      <c r="D1928" s="72"/>
    </row>
    <row r="1929" spans="1:4" ht="30" customHeight="1" x14ac:dyDescent="0.35">
      <c r="A1929"/>
      <c r="B1929"/>
      <c r="C1929" s="71"/>
      <c r="D1929" s="72"/>
    </row>
    <row r="1930" spans="1:4" ht="30" customHeight="1" x14ac:dyDescent="0.35">
      <c r="A1930"/>
      <c r="B1930"/>
      <c r="C1930" s="71"/>
      <c r="D1930" s="72"/>
    </row>
    <row r="1931" spans="1:4" ht="30" customHeight="1" x14ac:dyDescent="0.35">
      <c r="A1931"/>
      <c r="B1931"/>
      <c r="C1931" s="71"/>
      <c r="D1931" s="72"/>
    </row>
    <row r="1932" spans="1:4" ht="30" customHeight="1" x14ac:dyDescent="0.35">
      <c r="A1932"/>
      <c r="B1932"/>
      <c r="C1932" s="71"/>
      <c r="D1932" s="72"/>
    </row>
    <row r="1933" spans="1:4" ht="30" customHeight="1" x14ac:dyDescent="0.35">
      <c r="A1933"/>
      <c r="B1933"/>
      <c r="C1933" s="71"/>
      <c r="D1933" s="72"/>
    </row>
    <row r="1934" spans="1:4" ht="30" customHeight="1" x14ac:dyDescent="0.35">
      <c r="A1934"/>
      <c r="B1934"/>
      <c r="C1934" s="71"/>
      <c r="D1934" s="72"/>
    </row>
    <row r="1935" spans="1:4" ht="30" customHeight="1" x14ac:dyDescent="0.35">
      <c r="A1935"/>
      <c r="B1935"/>
      <c r="C1935" s="71"/>
      <c r="D1935" s="72"/>
    </row>
    <row r="1936" spans="1:4" ht="30" customHeight="1" x14ac:dyDescent="0.35">
      <c r="A1936"/>
      <c r="B1936"/>
      <c r="C1936" s="71"/>
      <c r="D1936" s="72"/>
    </row>
    <row r="1937" spans="1:4" ht="30" customHeight="1" x14ac:dyDescent="0.35">
      <c r="A1937"/>
      <c r="B1937"/>
      <c r="C1937" s="71"/>
      <c r="D1937" s="72"/>
    </row>
    <row r="1938" spans="1:4" ht="30" customHeight="1" x14ac:dyDescent="0.35">
      <c r="A1938"/>
      <c r="B1938"/>
      <c r="C1938" s="71"/>
      <c r="D1938" s="72"/>
    </row>
    <row r="1939" spans="1:4" ht="30" customHeight="1" x14ac:dyDescent="0.35">
      <c r="A1939"/>
      <c r="B1939"/>
      <c r="C1939" s="71"/>
      <c r="D1939" s="72"/>
    </row>
    <row r="1940" spans="1:4" ht="30" customHeight="1" x14ac:dyDescent="0.35">
      <c r="A1940"/>
      <c r="B1940"/>
      <c r="C1940" s="71"/>
      <c r="D1940" s="72"/>
    </row>
    <row r="1941" spans="1:4" ht="30" customHeight="1" x14ac:dyDescent="0.35">
      <c r="A1941"/>
      <c r="B1941"/>
      <c r="C1941" s="71"/>
      <c r="D1941" s="72"/>
    </row>
    <row r="1942" spans="1:4" ht="30" customHeight="1" x14ac:dyDescent="0.35">
      <c r="A1942"/>
      <c r="B1942"/>
      <c r="C1942" s="71"/>
      <c r="D1942" s="72"/>
    </row>
    <row r="1943" spans="1:4" ht="30" customHeight="1" x14ac:dyDescent="0.35">
      <c r="A1943"/>
      <c r="B1943"/>
      <c r="C1943" s="71"/>
      <c r="D1943" s="72"/>
    </row>
    <row r="1944" spans="1:4" ht="30" customHeight="1" x14ac:dyDescent="0.35">
      <c r="A1944"/>
      <c r="B1944"/>
      <c r="C1944" s="71"/>
      <c r="D1944" s="72"/>
    </row>
    <row r="1945" spans="1:4" ht="30" customHeight="1" x14ac:dyDescent="0.35">
      <c r="A1945"/>
      <c r="B1945"/>
      <c r="C1945" s="71"/>
      <c r="D1945" s="72"/>
    </row>
    <row r="1946" spans="1:4" ht="30" customHeight="1" x14ac:dyDescent="0.35">
      <c r="A1946"/>
      <c r="B1946"/>
      <c r="C1946" s="71"/>
      <c r="D1946" s="72"/>
    </row>
    <row r="1947" spans="1:4" ht="30" customHeight="1" x14ac:dyDescent="0.35">
      <c r="A1947"/>
      <c r="B1947"/>
      <c r="C1947" s="71"/>
      <c r="D1947" s="72"/>
    </row>
    <row r="1948" spans="1:4" ht="30" customHeight="1" x14ac:dyDescent="0.35">
      <c r="A1948"/>
      <c r="B1948"/>
      <c r="C1948" s="71"/>
      <c r="D1948" s="72"/>
    </row>
    <row r="1949" spans="1:4" ht="30" customHeight="1" x14ac:dyDescent="0.35">
      <c r="A1949"/>
      <c r="B1949"/>
      <c r="C1949" s="71"/>
      <c r="D1949" s="72"/>
    </row>
    <row r="1950" spans="1:4" ht="30" customHeight="1" x14ac:dyDescent="0.35">
      <c r="A1950"/>
      <c r="B1950"/>
      <c r="C1950" s="71"/>
      <c r="D1950" s="72"/>
    </row>
    <row r="1951" spans="1:4" ht="30" customHeight="1" x14ac:dyDescent="0.35">
      <c r="A1951"/>
      <c r="B1951"/>
      <c r="C1951" s="71"/>
      <c r="D1951" s="72"/>
    </row>
    <row r="1952" spans="1:4" ht="30" customHeight="1" x14ac:dyDescent="0.35">
      <c r="A1952"/>
      <c r="B1952"/>
      <c r="C1952" s="71"/>
      <c r="D1952" s="72"/>
    </row>
    <row r="1953" spans="1:4" ht="30" customHeight="1" x14ac:dyDescent="0.35">
      <c r="A1953"/>
      <c r="B1953"/>
      <c r="C1953" s="71"/>
      <c r="D1953" s="72"/>
    </row>
    <row r="1954" spans="1:4" ht="30" customHeight="1" x14ac:dyDescent="0.35">
      <c r="A1954"/>
      <c r="B1954"/>
      <c r="C1954" s="71"/>
      <c r="D1954" s="72"/>
    </row>
    <row r="1955" spans="1:4" ht="30" customHeight="1" x14ac:dyDescent="0.35">
      <c r="A1955"/>
      <c r="B1955"/>
      <c r="C1955" s="71"/>
      <c r="D1955" s="72"/>
    </row>
    <row r="1956" spans="1:4" ht="30" customHeight="1" x14ac:dyDescent="0.35">
      <c r="A1956"/>
      <c r="B1956"/>
      <c r="C1956" s="71"/>
      <c r="D1956" s="72"/>
    </row>
    <row r="1957" spans="1:4" ht="30" customHeight="1" x14ac:dyDescent="0.35">
      <c r="A1957"/>
      <c r="B1957"/>
      <c r="C1957" s="71"/>
      <c r="D1957" s="72"/>
    </row>
    <row r="1958" spans="1:4" ht="30" customHeight="1" x14ac:dyDescent="0.35">
      <c r="A1958"/>
      <c r="B1958"/>
      <c r="C1958" s="71"/>
      <c r="D1958" s="72"/>
    </row>
    <row r="1959" spans="1:4" ht="30" customHeight="1" x14ac:dyDescent="0.35">
      <c r="A1959"/>
      <c r="B1959"/>
      <c r="C1959" s="71"/>
      <c r="D1959" s="72"/>
    </row>
    <row r="1960" spans="1:4" ht="30" customHeight="1" x14ac:dyDescent="0.35">
      <c r="A1960"/>
      <c r="B1960"/>
      <c r="C1960" s="71"/>
      <c r="D1960" s="72"/>
    </row>
    <row r="1961" spans="1:4" ht="30" customHeight="1" x14ac:dyDescent="0.35">
      <c r="A1961"/>
      <c r="B1961"/>
      <c r="C1961" s="71"/>
      <c r="D1961" s="72"/>
    </row>
    <row r="1962" spans="1:4" ht="30" customHeight="1" x14ac:dyDescent="0.35">
      <c r="A1962"/>
      <c r="B1962"/>
      <c r="C1962" s="71"/>
      <c r="D1962" s="72"/>
    </row>
    <row r="1963" spans="1:4" ht="30" customHeight="1" x14ac:dyDescent="0.35">
      <c r="A1963"/>
      <c r="B1963"/>
      <c r="C1963" s="71"/>
      <c r="D1963" s="72"/>
    </row>
    <row r="1964" spans="1:4" ht="30" customHeight="1" x14ac:dyDescent="0.35">
      <c r="A1964"/>
      <c r="B1964"/>
      <c r="C1964" s="71"/>
      <c r="D1964" s="72"/>
    </row>
    <row r="1965" spans="1:4" ht="30" customHeight="1" x14ac:dyDescent="0.35">
      <c r="A1965"/>
      <c r="B1965"/>
      <c r="C1965" s="71"/>
      <c r="D1965" s="72"/>
    </row>
    <row r="1966" spans="1:4" ht="30" customHeight="1" x14ac:dyDescent="0.35">
      <c r="A1966"/>
      <c r="B1966"/>
      <c r="C1966" s="71"/>
      <c r="D1966" s="72"/>
    </row>
    <row r="1967" spans="1:4" ht="30" customHeight="1" x14ac:dyDescent="0.35">
      <c r="A1967"/>
      <c r="B1967"/>
      <c r="C1967" s="71"/>
      <c r="D1967" s="72"/>
    </row>
    <row r="1968" spans="1:4" ht="30" customHeight="1" x14ac:dyDescent="0.35">
      <c r="A1968"/>
      <c r="B1968"/>
      <c r="C1968" s="71"/>
      <c r="D1968" s="72"/>
    </row>
    <row r="1969" spans="1:4" ht="30" customHeight="1" x14ac:dyDescent="0.35">
      <c r="A1969"/>
      <c r="B1969"/>
      <c r="C1969" s="71"/>
      <c r="D1969" s="72"/>
    </row>
    <row r="1970" spans="1:4" ht="30" customHeight="1" x14ac:dyDescent="0.35">
      <c r="A1970"/>
      <c r="B1970"/>
      <c r="C1970" s="71"/>
      <c r="D1970" s="72"/>
    </row>
    <row r="1971" spans="1:4" ht="30" customHeight="1" x14ac:dyDescent="0.35">
      <c r="A1971"/>
      <c r="B1971"/>
      <c r="C1971" s="71"/>
      <c r="D1971" s="72"/>
    </row>
    <row r="1972" spans="1:4" ht="30" customHeight="1" x14ac:dyDescent="0.35">
      <c r="A1972"/>
      <c r="B1972"/>
      <c r="C1972" s="71"/>
      <c r="D1972" s="72"/>
    </row>
    <row r="1973" spans="1:4" ht="30" customHeight="1" x14ac:dyDescent="0.35">
      <c r="A1973"/>
      <c r="B1973"/>
      <c r="C1973" s="71"/>
      <c r="D1973" s="72"/>
    </row>
    <row r="1974" spans="1:4" ht="30" customHeight="1" x14ac:dyDescent="0.35">
      <c r="A1974"/>
      <c r="B1974"/>
      <c r="C1974" s="71"/>
      <c r="D1974" s="72"/>
    </row>
    <row r="1975" spans="1:4" ht="30" customHeight="1" x14ac:dyDescent="0.35">
      <c r="A1975"/>
      <c r="B1975"/>
      <c r="C1975" s="71"/>
      <c r="D1975" s="72"/>
    </row>
    <row r="1976" spans="1:4" ht="30" customHeight="1" x14ac:dyDescent="0.35">
      <c r="A1976"/>
      <c r="B1976"/>
      <c r="C1976" s="71"/>
      <c r="D1976" s="72"/>
    </row>
    <row r="1977" spans="1:4" ht="30" customHeight="1" x14ac:dyDescent="0.35">
      <c r="A1977"/>
      <c r="B1977"/>
      <c r="C1977" s="71"/>
      <c r="D1977" s="72"/>
    </row>
    <row r="1978" spans="1:4" ht="30" customHeight="1" x14ac:dyDescent="0.35">
      <c r="A1978"/>
      <c r="B1978"/>
      <c r="C1978" s="71"/>
      <c r="D1978" s="72"/>
    </row>
    <row r="1979" spans="1:4" ht="30" customHeight="1" x14ac:dyDescent="0.35">
      <c r="A1979"/>
      <c r="B1979"/>
      <c r="C1979" s="71"/>
      <c r="D1979" s="72"/>
    </row>
    <row r="1980" spans="1:4" ht="30" customHeight="1" x14ac:dyDescent="0.35">
      <c r="A1980"/>
      <c r="B1980"/>
      <c r="C1980" s="71"/>
      <c r="D1980" s="72"/>
    </row>
    <row r="1981" spans="1:4" ht="30" customHeight="1" x14ac:dyDescent="0.35">
      <c r="A1981"/>
      <c r="B1981"/>
      <c r="C1981" s="71"/>
      <c r="D1981" s="72"/>
    </row>
    <row r="1982" spans="1:4" ht="30" customHeight="1" x14ac:dyDescent="0.35">
      <c r="A1982"/>
      <c r="B1982"/>
      <c r="C1982" s="71"/>
      <c r="D1982" s="72"/>
    </row>
    <row r="1983" spans="1:4" ht="30" customHeight="1" x14ac:dyDescent="0.35">
      <c r="A1983"/>
      <c r="B1983"/>
      <c r="C1983" s="71"/>
      <c r="D1983" s="72"/>
    </row>
    <row r="1984" spans="1:4" ht="30" customHeight="1" x14ac:dyDescent="0.35">
      <c r="A1984"/>
      <c r="B1984"/>
      <c r="C1984" s="71"/>
      <c r="D1984" s="72"/>
    </row>
    <row r="1985" spans="1:4" ht="30" customHeight="1" x14ac:dyDescent="0.35">
      <c r="A1985"/>
      <c r="B1985"/>
      <c r="C1985" s="71"/>
      <c r="D1985" s="72"/>
    </row>
    <row r="1986" spans="1:4" ht="30" customHeight="1" x14ac:dyDescent="0.35">
      <c r="A1986"/>
      <c r="B1986"/>
      <c r="C1986" s="71"/>
      <c r="D1986" s="72"/>
    </row>
    <row r="1987" spans="1:4" ht="30" customHeight="1" x14ac:dyDescent="0.35">
      <c r="A1987"/>
      <c r="B1987"/>
      <c r="C1987" s="71"/>
      <c r="D1987" s="72"/>
    </row>
    <row r="1988" spans="1:4" ht="30" customHeight="1" x14ac:dyDescent="0.35">
      <c r="A1988"/>
      <c r="B1988"/>
      <c r="C1988" s="71"/>
      <c r="D1988" s="72"/>
    </row>
    <row r="1989" spans="1:4" ht="30" customHeight="1" x14ac:dyDescent="0.35">
      <c r="A1989"/>
      <c r="B1989"/>
      <c r="C1989" s="71"/>
      <c r="D1989" s="72"/>
    </row>
    <row r="1990" spans="1:4" ht="30" customHeight="1" x14ac:dyDescent="0.35">
      <c r="A1990"/>
      <c r="B1990"/>
      <c r="C1990" s="71"/>
      <c r="D1990" s="72"/>
    </row>
    <row r="1991" spans="1:4" ht="30" customHeight="1" x14ac:dyDescent="0.35">
      <c r="A1991"/>
      <c r="B1991"/>
      <c r="C1991" s="71"/>
      <c r="D1991" s="72"/>
    </row>
    <row r="1992" spans="1:4" ht="30" customHeight="1" x14ac:dyDescent="0.35">
      <c r="A1992"/>
      <c r="B1992"/>
      <c r="C1992" s="71"/>
      <c r="D1992" s="72"/>
    </row>
    <row r="1993" spans="1:4" ht="30" customHeight="1" x14ac:dyDescent="0.35">
      <c r="A1993"/>
      <c r="B1993"/>
      <c r="C1993" s="71"/>
      <c r="D1993" s="72"/>
    </row>
    <row r="1994" spans="1:4" ht="30" customHeight="1" x14ac:dyDescent="0.35">
      <c r="A1994"/>
      <c r="B1994"/>
      <c r="C1994" s="71"/>
      <c r="D1994" s="72"/>
    </row>
    <row r="1995" spans="1:4" ht="30" customHeight="1" x14ac:dyDescent="0.35">
      <c r="A1995"/>
      <c r="B1995"/>
      <c r="C1995" s="71"/>
      <c r="D1995" s="72"/>
    </row>
    <row r="1996" spans="1:4" ht="30" customHeight="1" x14ac:dyDescent="0.35">
      <c r="A1996"/>
      <c r="B1996"/>
      <c r="C1996" s="71"/>
      <c r="D1996" s="72"/>
    </row>
    <row r="1997" spans="1:4" ht="30" customHeight="1" x14ac:dyDescent="0.35">
      <c r="A1997"/>
      <c r="B1997"/>
      <c r="C1997" s="71"/>
      <c r="D1997" s="72"/>
    </row>
    <row r="1998" spans="1:4" ht="30" customHeight="1" x14ac:dyDescent="0.35">
      <c r="A1998"/>
      <c r="B1998"/>
      <c r="C1998" s="71"/>
      <c r="D1998" s="72"/>
    </row>
    <row r="1999" spans="1:4" ht="30" customHeight="1" x14ac:dyDescent="0.35">
      <c r="A1999"/>
      <c r="B1999"/>
      <c r="C1999" s="71"/>
      <c r="D1999" s="72"/>
    </row>
    <row r="2000" spans="1:4" ht="30" customHeight="1" x14ac:dyDescent="0.35">
      <c r="A2000"/>
      <c r="B2000"/>
      <c r="C2000" s="71"/>
      <c r="D2000" s="72"/>
    </row>
    <row r="2001" spans="1:4" ht="30" customHeight="1" x14ac:dyDescent="0.35">
      <c r="A2001"/>
      <c r="B2001"/>
      <c r="C2001" s="71"/>
      <c r="D2001" s="72"/>
    </row>
    <row r="2002" spans="1:4" ht="30" customHeight="1" x14ac:dyDescent="0.35">
      <c r="A2002"/>
      <c r="B2002"/>
      <c r="C2002" s="71"/>
      <c r="D2002" s="72"/>
    </row>
    <row r="2003" spans="1:4" ht="30" customHeight="1" x14ac:dyDescent="0.35">
      <c r="A2003"/>
      <c r="B2003"/>
      <c r="C2003" s="71"/>
      <c r="D2003" s="72"/>
    </row>
    <row r="2004" spans="1:4" ht="30" customHeight="1" x14ac:dyDescent="0.35">
      <c r="A2004"/>
      <c r="B2004"/>
      <c r="C2004" s="71"/>
      <c r="D2004" s="72"/>
    </row>
    <row r="2005" spans="1:4" ht="30" customHeight="1" x14ac:dyDescent="0.35">
      <c r="A2005"/>
      <c r="B2005"/>
      <c r="C2005" s="71"/>
      <c r="D2005" s="72"/>
    </row>
    <row r="2006" spans="1:4" ht="30" customHeight="1" x14ac:dyDescent="0.35">
      <c r="A2006"/>
      <c r="B2006"/>
      <c r="C2006" s="71"/>
      <c r="D2006" s="72"/>
    </row>
    <row r="2007" spans="1:4" ht="30" customHeight="1" x14ac:dyDescent="0.35">
      <c r="A2007"/>
      <c r="B2007"/>
      <c r="C2007" s="71"/>
      <c r="D2007" s="72"/>
    </row>
    <row r="2008" spans="1:4" ht="30" customHeight="1" x14ac:dyDescent="0.35">
      <c r="A2008"/>
      <c r="B2008"/>
      <c r="C2008" s="71"/>
      <c r="D2008" s="72"/>
    </row>
    <row r="2009" spans="1:4" ht="30" customHeight="1" x14ac:dyDescent="0.35">
      <c r="A2009"/>
      <c r="B2009"/>
      <c r="C2009" s="71"/>
      <c r="D2009" s="72"/>
    </row>
    <row r="2010" spans="1:4" ht="30" customHeight="1" x14ac:dyDescent="0.35">
      <c r="A2010"/>
      <c r="B2010"/>
      <c r="C2010" s="71"/>
      <c r="D2010" s="72"/>
    </row>
    <row r="2011" spans="1:4" ht="30" customHeight="1" x14ac:dyDescent="0.35">
      <c r="A2011"/>
      <c r="B2011"/>
      <c r="C2011" s="71"/>
      <c r="D2011" s="72"/>
    </row>
    <row r="2012" spans="1:4" ht="30" customHeight="1" x14ac:dyDescent="0.35">
      <c r="A2012"/>
      <c r="B2012"/>
      <c r="C2012" s="71"/>
      <c r="D2012" s="72"/>
    </row>
    <row r="2013" spans="1:4" ht="30" customHeight="1" x14ac:dyDescent="0.35">
      <c r="A2013"/>
      <c r="B2013"/>
      <c r="C2013" s="71"/>
      <c r="D2013" s="72"/>
    </row>
    <row r="2014" spans="1:4" ht="30" customHeight="1" x14ac:dyDescent="0.35">
      <c r="A2014"/>
      <c r="B2014"/>
      <c r="C2014" s="71"/>
      <c r="D2014" s="72"/>
    </row>
    <row r="2015" spans="1:4" ht="30" customHeight="1" x14ac:dyDescent="0.35">
      <c r="A2015"/>
      <c r="B2015"/>
      <c r="C2015" s="71"/>
      <c r="D2015" s="72"/>
    </row>
    <row r="2016" spans="1:4" ht="30" customHeight="1" x14ac:dyDescent="0.35">
      <c r="A2016"/>
      <c r="B2016"/>
      <c r="C2016" s="71"/>
      <c r="D2016" s="72"/>
    </row>
    <row r="2017" spans="1:4" ht="30" customHeight="1" x14ac:dyDescent="0.35">
      <c r="A2017"/>
      <c r="B2017"/>
      <c r="C2017" s="71"/>
      <c r="D2017" s="72"/>
    </row>
    <row r="2018" spans="1:4" ht="30" customHeight="1" x14ac:dyDescent="0.35">
      <c r="A2018"/>
      <c r="B2018"/>
      <c r="C2018" s="71"/>
      <c r="D2018" s="72"/>
    </row>
    <row r="2019" spans="1:4" ht="30" customHeight="1" x14ac:dyDescent="0.35">
      <c r="A2019"/>
      <c r="B2019"/>
      <c r="C2019" s="71"/>
      <c r="D2019" s="72"/>
    </row>
    <row r="2020" spans="1:4" ht="30" customHeight="1" x14ac:dyDescent="0.35">
      <c r="A2020"/>
      <c r="B2020"/>
      <c r="C2020" s="71"/>
      <c r="D2020" s="72"/>
    </row>
    <row r="2021" spans="1:4" ht="30" customHeight="1" x14ac:dyDescent="0.35">
      <c r="A2021"/>
      <c r="B2021"/>
      <c r="C2021" s="71"/>
      <c r="D2021" s="72"/>
    </row>
    <row r="2022" spans="1:4" ht="30" customHeight="1" x14ac:dyDescent="0.35">
      <c r="A2022"/>
      <c r="B2022"/>
      <c r="C2022" s="71"/>
      <c r="D2022" s="72"/>
    </row>
    <row r="2023" spans="1:4" ht="30" customHeight="1" x14ac:dyDescent="0.35">
      <c r="A2023"/>
      <c r="B2023"/>
      <c r="C2023" s="71"/>
      <c r="D2023" s="72"/>
    </row>
    <row r="2024" spans="1:4" ht="30" customHeight="1" x14ac:dyDescent="0.35">
      <c r="A2024"/>
      <c r="B2024"/>
      <c r="C2024" s="71"/>
      <c r="D2024" s="72"/>
    </row>
    <row r="2025" spans="1:4" ht="30" customHeight="1" x14ac:dyDescent="0.35">
      <c r="A2025"/>
      <c r="B2025"/>
      <c r="C2025" s="71"/>
      <c r="D2025" s="72"/>
    </row>
    <row r="2026" spans="1:4" ht="30" customHeight="1" x14ac:dyDescent="0.35">
      <c r="A2026"/>
      <c r="B2026"/>
      <c r="C2026" s="71"/>
      <c r="D2026" s="72"/>
    </row>
    <row r="2027" spans="1:4" ht="30" customHeight="1" x14ac:dyDescent="0.35">
      <c r="A2027"/>
      <c r="B2027"/>
      <c r="C2027" s="71"/>
      <c r="D2027" s="72"/>
    </row>
    <row r="2028" spans="1:4" ht="30" customHeight="1" x14ac:dyDescent="0.35">
      <c r="A2028"/>
      <c r="B2028"/>
      <c r="C2028" s="71"/>
      <c r="D2028" s="72"/>
    </row>
    <row r="2029" spans="1:4" ht="30" customHeight="1" x14ac:dyDescent="0.35">
      <c r="A2029"/>
      <c r="B2029"/>
      <c r="C2029" s="71"/>
      <c r="D2029" s="72"/>
    </row>
    <row r="2030" spans="1:4" ht="30" customHeight="1" x14ac:dyDescent="0.35">
      <c r="A2030"/>
      <c r="B2030"/>
      <c r="C2030" s="71"/>
      <c r="D2030" s="72"/>
    </row>
    <row r="2031" spans="1:4" ht="30" customHeight="1" x14ac:dyDescent="0.35">
      <c r="A2031"/>
      <c r="B2031"/>
      <c r="C2031" s="71"/>
      <c r="D2031" s="72"/>
    </row>
    <row r="2032" spans="1:4" ht="30" customHeight="1" x14ac:dyDescent="0.35">
      <c r="A2032"/>
      <c r="B2032"/>
      <c r="C2032" s="71"/>
      <c r="D2032" s="72"/>
    </row>
    <row r="2033" spans="1:4" ht="30" customHeight="1" x14ac:dyDescent="0.35">
      <c r="A2033"/>
      <c r="B2033"/>
      <c r="C2033" s="71"/>
      <c r="D2033" s="72"/>
    </row>
    <row r="2034" spans="1:4" ht="30" customHeight="1" x14ac:dyDescent="0.35">
      <c r="A2034"/>
      <c r="B2034"/>
      <c r="C2034" s="71"/>
      <c r="D2034" s="72"/>
    </row>
    <row r="2035" spans="1:4" ht="30" customHeight="1" x14ac:dyDescent="0.35">
      <c r="A2035"/>
      <c r="B2035"/>
      <c r="C2035" s="71"/>
      <c r="D2035" s="72"/>
    </row>
    <row r="2036" spans="1:4" ht="30" customHeight="1" x14ac:dyDescent="0.35">
      <c r="A2036"/>
      <c r="B2036"/>
      <c r="C2036" s="71"/>
      <c r="D2036" s="72"/>
    </row>
    <row r="2037" spans="1:4" ht="30" customHeight="1" x14ac:dyDescent="0.35">
      <c r="A2037"/>
      <c r="B2037"/>
      <c r="C2037" s="71"/>
      <c r="D2037" s="72"/>
    </row>
    <row r="2038" spans="1:4" ht="30" customHeight="1" x14ac:dyDescent="0.35">
      <c r="A2038"/>
      <c r="B2038"/>
      <c r="C2038" s="71"/>
      <c r="D2038" s="72"/>
    </row>
    <row r="2039" spans="1:4" ht="30" customHeight="1" x14ac:dyDescent="0.35">
      <c r="A2039"/>
      <c r="B2039"/>
      <c r="C2039" s="71"/>
      <c r="D2039" s="72"/>
    </row>
    <row r="2040" spans="1:4" ht="30" customHeight="1" x14ac:dyDescent="0.35">
      <c r="A2040"/>
      <c r="B2040"/>
      <c r="C2040" s="71"/>
      <c r="D2040" s="72"/>
    </row>
    <row r="2041" spans="1:4" ht="30" customHeight="1" x14ac:dyDescent="0.35">
      <c r="A2041"/>
      <c r="B2041"/>
      <c r="C2041" s="71"/>
      <c r="D2041" s="72"/>
    </row>
    <row r="2042" spans="1:4" ht="30" customHeight="1" x14ac:dyDescent="0.35">
      <c r="A2042"/>
      <c r="B2042"/>
      <c r="C2042" s="71"/>
      <c r="D2042" s="72"/>
    </row>
    <row r="2043" spans="1:4" ht="30" customHeight="1" x14ac:dyDescent="0.35">
      <c r="A2043"/>
      <c r="B2043"/>
      <c r="C2043" s="71"/>
      <c r="D2043" s="72"/>
    </row>
    <row r="2044" spans="1:4" ht="30" customHeight="1" x14ac:dyDescent="0.35">
      <c r="A2044"/>
      <c r="B2044"/>
      <c r="C2044" s="71"/>
      <c r="D2044" s="72"/>
    </row>
    <row r="2045" spans="1:4" ht="30" customHeight="1" x14ac:dyDescent="0.35">
      <c r="A2045"/>
      <c r="B2045"/>
      <c r="C2045" s="71"/>
      <c r="D2045" s="72"/>
    </row>
    <row r="2046" spans="1:4" ht="30" customHeight="1" x14ac:dyDescent="0.35">
      <c r="A2046"/>
      <c r="B2046"/>
      <c r="C2046" s="71"/>
      <c r="D2046" s="72"/>
    </row>
    <row r="2047" spans="1:4" ht="30" customHeight="1" x14ac:dyDescent="0.35">
      <c r="A2047"/>
      <c r="B2047"/>
      <c r="C2047" s="71"/>
      <c r="D2047" s="72"/>
    </row>
    <row r="2048" spans="1:4" ht="30" customHeight="1" x14ac:dyDescent="0.35">
      <c r="A2048"/>
      <c r="B2048"/>
      <c r="C2048" s="71"/>
      <c r="D2048" s="72"/>
    </row>
    <row r="2049" spans="1:4" ht="30" customHeight="1" x14ac:dyDescent="0.35">
      <c r="A2049"/>
      <c r="B2049"/>
      <c r="C2049" s="71"/>
      <c r="D2049" s="72"/>
    </row>
    <row r="2050" spans="1:4" ht="30" customHeight="1" x14ac:dyDescent="0.35">
      <c r="A2050"/>
      <c r="B2050"/>
      <c r="C2050" s="71"/>
      <c r="D2050" s="72"/>
    </row>
    <row r="2051" spans="1:4" ht="30" customHeight="1" x14ac:dyDescent="0.35">
      <c r="A2051"/>
      <c r="B2051"/>
      <c r="C2051" s="71"/>
      <c r="D2051" s="72"/>
    </row>
    <row r="2052" spans="1:4" ht="30" customHeight="1" x14ac:dyDescent="0.35">
      <c r="A2052"/>
      <c r="B2052"/>
      <c r="C2052" s="71"/>
      <c r="D2052" s="72"/>
    </row>
    <row r="2053" spans="1:4" ht="30" customHeight="1" x14ac:dyDescent="0.35">
      <c r="A2053"/>
      <c r="B2053"/>
      <c r="C2053" s="71"/>
      <c r="D2053" s="72"/>
    </row>
    <row r="2054" spans="1:4" ht="30" customHeight="1" x14ac:dyDescent="0.35">
      <c r="A2054"/>
      <c r="B2054"/>
      <c r="C2054" s="71"/>
      <c r="D2054" s="72"/>
    </row>
    <row r="2055" spans="1:4" ht="30" customHeight="1" x14ac:dyDescent="0.35">
      <c r="A2055"/>
      <c r="B2055"/>
      <c r="C2055" s="71"/>
      <c r="D2055" s="72"/>
    </row>
    <row r="2056" spans="1:4" ht="30" customHeight="1" x14ac:dyDescent="0.35">
      <c r="A2056"/>
      <c r="B2056"/>
      <c r="C2056" s="71"/>
      <c r="D2056" s="72"/>
    </row>
    <row r="2057" spans="1:4" ht="30" customHeight="1" x14ac:dyDescent="0.35">
      <c r="A2057"/>
      <c r="B2057"/>
      <c r="C2057" s="71"/>
      <c r="D2057" s="72"/>
    </row>
    <row r="2058" spans="1:4" ht="30" customHeight="1" x14ac:dyDescent="0.35">
      <c r="A2058"/>
      <c r="B2058"/>
      <c r="C2058" s="71"/>
      <c r="D2058" s="72"/>
    </row>
    <row r="2059" spans="1:4" ht="30" customHeight="1" x14ac:dyDescent="0.35">
      <c r="A2059"/>
      <c r="B2059"/>
      <c r="C2059" s="71"/>
      <c r="D2059" s="72"/>
    </row>
    <row r="2060" spans="1:4" ht="30" customHeight="1" x14ac:dyDescent="0.35">
      <c r="A2060"/>
      <c r="B2060"/>
      <c r="C2060" s="71"/>
      <c r="D2060" s="72"/>
    </row>
    <row r="2061" spans="1:4" ht="30" customHeight="1" x14ac:dyDescent="0.35">
      <c r="A2061"/>
      <c r="B2061"/>
      <c r="C2061" s="71"/>
      <c r="D2061" s="72"/>
    </row>
    <row r="2062" spans="1:4" ht="30" customHeight="1" x14ac:dyDescent="0.35">
      <c r="A2062"/>
      <c r="B2062"/>
      <c r="C2062" s="71"/>
      <c r="D2062" s="72"/>
    </row>
    <row r="2063" spans="1:4" ht="30" customHeight="1" x14ac:dyDescent="0.35">
      <c r="A2063"/>
      <c r="B2063"/>
      <c r="C2063" s="71"/>
      <c r="D2063" s="72"/>
    </row>
    <row r="2064" spans="1:4" ht="30" customHeight="1" x14ac:dyDescent="0.35">
      <c r="A2064"/>
      <c r="B2064"/>
      <c r="C2064" s="71"/>
      <c r="D2064" s="72"/>
    </row>
    <row r="2065" spans="1:4" ht="30" customHeight="1" x14ac:dyDescent="0.35">
      <c r="A2065"/>
      <c r="B2065"/>
      <c r="C2065" s="71"/>
      <c r="D2065" s="72"/>
    </row>
    <row r="2066" spans="1:4" ht="30" customHeight="1" x14ac:dyDescent="0.35">
      <c r="A2066"/>
      <c r="B2066"/>
      <c r="C2066" s="71"/>
      <c r="D2066" s="72"/>
    </row>
    <row r="2067" spans="1:4" ht="30" customHeight="1" x14ac:dyDescent="0.35">
      <c r="A2067"/>
      <c r="B2067"/>
      <c r="C2067" s="71"/>
      <c r="D2067" s="72"/>
    </row>
    <row r="2068" spans="1:4" ht="30" customHeight="1" x14ac:dyDescent="0.35">
      <c r="A2068"/>
      <c r="B2068"/>
      <c r="C2068" s="71"/>
      <c r="D2068" s="72"/>
    </row>
    <row r="2069" spans="1:4" ht="30" customHeight="1" x14ac:dyDescent="0.35">
      <c r="A2069"/>
      <c r="B2069"/>
      <c r="C2069" s="71"/>
      <c r="D2069" s="72"/>
    </row>
    <row r="2070" spans="1:4" ht="30" customHeight="1" x14ac:dyDescent="0.35">
      <c r="A2070"/>
      <c r="B2070"/>
      <c r="C2070" s="71"/>
      <c r="D2070" s="72"/>
    </row>
    <row r="2071" spans="1:4" ht="30" customHeight="1" x14ac:dyDescent="0.35">
      <c r="A2071"/>
      <c r="B2071"/>
      <c r="C2071" s="71"/>
      <c r="D2071" s="72"/>
    </row>
    <row r="2072" spans="1:4" ht="30" customHeight="1" x14ac:dyDescent="0.35">
      <c r="A2072"/>
      <c r="B2072"/>
      <c r="C2072" s="71"/>
      <c r="D2072" s="72"/>
    </row>
    <row r="2073" spans="1:4" ht="30" customHeight="1" x14ac:dyDescent="0.35">
      <c r="A2073"/>
      <c r="B2073"/>
      <c r="C2073" s="71"/>
      <c r="D2073" s="72"/>
    </row>
    <row r="2074" spans="1:4" ht="30" customHeight="1" x14ac:dyDescent="0.35">
      <c r="A2074"/>
      <c r="B2074"/>
      <c r="C2074" s="71"/>
      <c r="D2074" s="72"/>
    </row>
    <row r="2075" spans="1:4" ht="30" customHeight="1" x14ac:dyDescent="0.35">
      <c r="A2075"/>
      <c r="B2075"/>
      <c r="C2075" s="71"/>
      <c r="D2075" s="72"/>
    </row>
    <row r="2076" spans="1:4" ht="30" customHeight="1" x14ac:dyDescent="0.35">
      <c r="A2076"/>
      <c r="B2076"/>
      <c r="C2076" s="71"/>
      <c r="D2076" s="72"/>
    </row>
    <row r="2077" spans="1:4" ht="30" customHeight="1" x14ac:dyDescent="0.35">
      <c r="A2077"/>
      <c r="B2077"/>
      <c r="C2077" s="71"/>
      <c r="D2077" s="72"/>
    </row>
    <row r="2078" spans="1:4" ht="30" customHeight="1" x14ac:dyDescent="0.35">
      <c r="A2078"/>
      <c r="B2078"/>
      <c r="C2078" s="71"/>
      <c r="D2078" s="72"/>
    </row>
    <row r="2079" spans="1:4" ht="30" customHeight="1" x14ac:dyDescent="0.35">
      <c r="A2079"/>
      <c r="B2079"/>
      <c r="C2079" s="71"/>
      <c r="D2079" s="72"/>
    </row>
    <row r="2080" spans="1:4" ht="30" customHeight="1" x14ac:dyDescent="0.35">
      <c r="A2080"/>
      <c r="B2080"/>
      <c r="C2080" s="71"/>
      <c r="D2080" s="72"/>
    </row>
    <row r="2081" spans="1:4" ht="30" customHeight="1" x14ac:dyDescent="0.35">
      <c r="A2081"/>
      <c r="B2081"/>
      <c r="C2081" s="71"/>
      <c r="D2081" s="72"/>
    </row>
    <row r="2082" spans="1:4" ht="30" customHeight="1" x14ac:dyDescent="0.35">
      <c r="A2082"/>
      <c r="B2082"/>
      <c r="C2082" s="71"/>
      <c r="D2082" s="72"/>
    </row>
    <row r="2083" spans="1:4" ht="30" customHeight="1" x14ac:dyDescent="0.35">
      <c r="A2083"/>
      <c r="B2083"/>
      <c r="C2083" s="71"/>
      <c r="D2083" s="72"/>
    </row>
    <row r="2084" spans="1:4" ht="30" customHeight="1" x14ac:dyDescent="0.35">
      <c r="A2084"/>
      <c r="B2084"/>
      <c r="C2084" s="71"/>
      <c r="D2084" s="72"/>
    </row>
    <row r="2085" spans="1:4" ht="30" customHeight="1" x14ac:dyDescent="0.35">
      <c r="A2085"/>
      <c r="B2085"/>
      <c r="C2085" s="71"/>
      <c r="D2085" s="72"/>
    </row>
    <row r="2086" spans="1:4" ht="30" customHeight="1" x14ac:dyDescent="0.35">
      <c r="A2086"/>
      <c r="B2086"/>
      <c r="C2086" s="71"/>
      <c r="D2086" s="72"/>
    </row>
    <row r="2087" spans="1:4" ht="30" customHeight="1" x14ac:dyDescent="0.35">
      <c r="A2087"/>
      <c r="B2087"/>
      <c r="C2087" s="71"/>
      <c r="D2087" s="72"/>
    </row>
    <row r="2088" spans="1:4" ht="30" customHeight="1" x14ac:dyDescent="0.35">
      <c r="A2088"/>
      <c r="B2088"/>
      <c r="C2088" s="71"/>
      <c r="D2088" s="72"/>
    </row>
    <row r="2089" spans="1:4" ht="30" customHeight="1" x14ac:dyDescent="0.35">
      <c r="A2089"/>
      <c r="B2089"/>
      <c r="C2089" s="71"/>
      <c r="D2089" s="72"/>
    </row>
    <row r="2090" spans="1:4" ht="30" customHeight="1" x14ac:dyDescent="0.35">
      <c r="A2090"/>
      <c r="B2090"/>
      <c r="C2090" s="71"/>
      <c r="D2090" s="72"/>
    </row>
    <row r="2091" spans="1:4" ht="30" customHeight="1" x14ac:dyDescent="0.35">
      <c r="A2091"/>
      <c r="B2091"/>
      <c r="C2091" s="71"/>
      <c r="D2091" s="72"/>
    </row>
    <row r="2092" spans="1:4" ht="30" customHeight="1" x14ac:dyDescent="0.35">
      <c r="A2092"/>
      <c r="B2092"/>
      <c r="C2092" s="71"/>
      <c r="D2092" s="72"/>
    </row>
    <row r="2093" spans="1:4" ht="30" customHeight="1" x14ac:dyDescent="0.35">
      <c r="A2093"/>
      <c r="B2093"/>
      <c r="C2093" s="71"/>
      <c r="D2093" s="72"/>
    </row>
    <row r="2094" spans="1:4" ht="30" customHeight="1" x14ac:dyDescent="0.35">
      <c r="A2094"/>
      <c r="B2094"/>
      <c r="C2094" s="71"/>
      <c r="D2094" s="72"/>
    </row>
    <row r="2095" spans="1:4" ht="30" customHeight="1" x14ac:dyDescent="0.35">
      <c r="A2095"/>
      <c r="B2095"/>
      <c r="C2095" s="71"/>
      <c r="D2095" s="72"/>
    </row>
    <row r="2096" spans="1:4" ht="30" customHeight="1" x14ac:dyDescent="0.35">
      <c r="A2096"/>
      <c r="B2096"/>
      <c r="C2096" s="71"/>
      <c r="D2096" s="72"/>
    </row>
    <row r="2097" spans="1:4" ht="30" customHeight="1" x14ac:dyDescent="0.35">
      <c r="A2097"/>
      <c r="B2097"/>
      <c r="C2097" s="71"/>
      <c r="D2097" s="72"/>
    </row>
    <row r="2098" spans="1:4" ht="30" customHeight="1" x14ac:dyDescent="0.35">
      <c r="A2098"/>
      <c r="B2098"/>
      <c r="C2098" s="71"/>
      <c r="D2098" s="72"/>
    </row>
    <row r="2099" spans="1:4" ht="30" customHeight="1" x14ac:dyDescent="0.35">
      <c r="A2099"/>
      <c r="B2099"/>
      <c r="C2099" s="71"/>
      <c r="D2099" s="72"/>
    </row>
    <row r="2100" spans="1:4" ht="30" customHeight="1" x14ac:dyDescent="0.35">
      <c r="A2100"/>
      <c r="B2100"/>
      <c r="C2100" s="71"/>
      <c r="D2100" s="72"/>
    </row>
    <row r="2101" spans="1:4" ht="30" customHeight="1" x14ac:dyDescent="0.35">
      <c r="A2101"/>
      <c r="B2101"/>
      <c r="C2101" s="71"/>
      <c r="D2101" s="72"/>
    </row>
    <row r="2102" spans="1:4" ht="30" customHeight="1" x14ac:dyDescent="0.35">
      <c r="A2102"/>
      <c r="B2102"/>
      <c r="C2102" s="71"/>
      <c r="D2102" s="72"/>
    </row>
    <row r="2103" spans="1:4" ht="30" customHeight="1" x14ac:dyDescent="0.35">
      <c r="A2103"/>
      <c r="B2103"/>
      <c r="C2103" s="71"/>
      <c r="D2103" s="72"/>
    </row>
    <row r="2104" spans="1:4" ht="30" customHeight="1" x14ac:dyDescent="0.35">
      <c r="A2104"/>
      <c r="B2104"/>
      <c r="C2104" s="71"/>
      <c r="D2104" s="72"/>
    </row>
    <row r="2105" spans="1:4" ht="30" customHeight="1" x14ac:dyDescent="0.35">
      <c r="A2105"/>
      <c r="B2105"/>
      <c r="C2105" s="71"/>
      <c r="D2105" s="72"/>
    </row>
    <row r="2106" spans="1:4" ht="30" customHeight="1" x14ac:dyDescent="0.35">
      <c r="A2106"/>
      <c r="B2106"/>
      <c r="C2106" s="71"/>
      <c r="D2106" s="72"/>
    </row>
    <row r="2107" spans="1:4" ht="30" customHeight="1" x14ac:dyDescent="0.35">
      <c r="A2107"/>
      <c r="B2107"/>
      <c r="C2107" s="71"/>
      <c r="D2107" s="72"/>
    </row>
    <row r="2108" spans="1:4" ht="30" customHeight="1" x14ac:dyDescent="0.35">
      <c r="A2108"/>
      <c r="B2108"/>
      <c r="C2108" s="71"/>
      <c r="D2108" s="72"/>
    </row>
    <row r="2109" spans="1:4" ht="30" customHeight="1" x14ac:dyDescent="0.35">
      <c r="A2109"/>
      <c r="B2109"/>
      <c r="C2109" s="71"/>
      <c r="D2109" s="72"/>
    </row>
    <row r="2110" spans="1:4" ht="30" customHeight="1" x14ac:dyDescent="0.35">
      <c r="A2110"/>
      <c r="B2110"/>
      <c r="C2110" s="71"/>
      <c r="D2110" s="72"/>
    </row>
    <row r="2111" spans="1:4" ht="30" customHeight="1" x14ac:dyDescent="0.35">
      <c r="A2111"/>
      <c r="B2111"/>
      <c r="C2111" s="71"/>
      <c r="D2111" s="72"/>
    </row>
    <row r="2112" spans="1:4" ht="30" customHeight="1" x14ac:dyDescent="0.35">
      <c r="A2112"/>
      <c r="B2112"/>
      <c r="C2112" s="71"/>
      <c r="D2112" s="72"/>
    </row>
    <row r="2113" spans="1:4" ht="30" customHeight="1" x14ac:dyDescent="0.35">
      <c r="A2113"/>
      <c r="B2113"/>
      <c r="C2113" s="71"/>
      <c r="D2113" s="72"/>
    </row>
    <row r="2114" spans="1:4" ht="30" customHeight="1" x14ac:dyDescent="0.35">
      <c r="A2114"/>
      <c r="B2114"/>
      <c r="C2114" s="71"/>
      <c r="D2114" s="72"/>
    </row>
    <row r="2115" spans="1:4" ht="30" customHeight="1" x14ac:dyDescent="0.35">
      <c r="A2115"/>
      <c r="B2115"/>
      <c r="C2115" s="71"/>
      <c r="D2115" s="72"/>
    </row>
    <row r="2116" spans="1:4" ht="30" customHeight="1" x14ac:dyDescent="0.35">
      <c r="A2116"/>
      <c r="B2116"/>
      <c r="C2116" s="71"/>
      <c r="D2116" s="72"/>
    </row>
    <row r="2117" spans="1:4" ht="30" customHeight="1" x14ac:dyDescent="0.35">
      <c r="A2117"/>
      <c r="B2117"/>
      <c r="C2117" s="71"/>
      <c r="D2117" s="72"/>
    </row>
    <row r="2118" spans="1:4" ht="30" customHeight="1" x14ac:dyDescent="0.35">
      <c r="A2118"/>
      <c r="B2118"/>
      <c r="C2118" s="71"/>
      <c r="D2118" s="72"/>
    </row>
    <row r="2119" spans="1:4" ht="30" customHeight="1" x14ac:dyDescent="0.35">
      <c r="A2119"/>
      <c r="B2119"/>
      <c r="C2119" s="71"/>
      <c r="D2119" s="72"/>
    </row>
    <row r="2120" spans="1:4" ht="30" customHeight="1" x14ac:dyDescent="0.35">
      <c r="A2120"/>
      <c r="B2120"/>
      <c r="C2120" s="71"/>
      <c r="D2120" s="72"/>
    </row>
    <row r="2121" spans="1:4" ht="30" customHeight="1" x14ac:dyDescent="0.35">
      <c r="A2121"/>
      <c r="B2121"/>
      <c r="C2121" s="71"/>
      <c r="D2121" s="72"/>
    </row>
    <row r="2122" spans="1:4" ht="30" customHeight="1" x14ac:dyDescent="0.35">
      <c r="A2122"/>
      <c r="B2122"/>
      <c r="C2122" s="71"/>
      <c r="D2122" s="72"/>
    </row>
    <row r="2123" spans="1:4" ht="30" customHeight="1" x14ac:dyDescent="0.35">
      <c r="A2123"/>
      <c r="B2123"/>
      <c r="C2123" s="71"/>
      <c r="D2123" s="72"/>
    </row>
    <row r="2124" spans="1:4" ht="30" customHeight="1" x14ac:dyDescent="0.35">
      <c r="A2124"/>
      <c r="B2124"/>
      <c r="C2124" s="71"/>
      <c r="D2124" s="72"/>
    </row>
    <row r="2125" spans="1:4" ht="30" customHeight="1" x14ac:dyDescent="0.35">
      <c r="A2125"/>
      <c r="B2125"/>
      <c r="C2125" s="71"/>
      <c r="D2125" s="72"/>
    </row>
    <row r="2126" spans="1:4" ht="30" customHeight="1" x14ac:dyDescent="0.35">
      <c r="A2126"/>
      <c r="B2126"/>
      <c r="C2126" s="71"/>
      <c r="D2126" s="72"/>
    </row>
    <row r="2127" spans="1:4" ht="30" customHeight="1" x14ac:dyDescent="0.35">
      <c r="A2127"/>
      <c r="B2127"/>
      <c r="C2127" s="71"/>
      <c r="D2127" s="72"/>
    </row>
    <row r="2128" spans="1:4" ht="30" customHeight="1" x14ac:dyDescent="0.35">
      <c r="A2128"/>
      <c r="B2128"/>
      <c r="C2128" s="71"/>
      <c r="D2128" s="72"/>
    </row>
    <row r="2129" spans="1:4" ht="30" customHeight="1" x14ac:dyDescent="0.35">
      <c r="A2129"/>
      <c r="B2129"/>
      <c r="C2129" s="71"/>
      <c r="D2129" s="72"/>
    </row>
    <row r="2130" spans="1:4" ht="30" customHeight="1" x14ac:dyDescent="0.35">
      <c r="A2130"/>
      <c r="B2130"/>
      <c r="C2130" s="71"/>
      <c r="D2130" s="72"/>
    </row>
    <row r="2131" spans="1:4" ht="30" customHeight="1" x14ac:dyDescent="0.35">
      <c r="A2131"/>
      <c r="B2131"/>
      <c r="C2131" s="71"/>
      <c r="D2131" s="72"/>
    </row>
    <row r="2132" spans="1:4" ht="30" customHeight="1" x14ac:dyDescent="0.35">
      <c r="A2132"/>
      <c r="B2132"/>
      <c r="C2132" s="71"/>
      <c r="D2132" s="72"/>
    </row>
    <row r="2133" spans="1:4" ht="30" customHeight="1" x14ac:dyDescent="0.35">
      <c r="A2133"/>
      <c r="B2133"/>
      <c r="C2133" s="71"/>
      <c r="D2133" s="72"/>
    </row>
    <row r="2134" spans="1:4" ht="30" customHeight="1" x14ac:dyDescent="0.35">
      <c r="A2134"/>
      <c r="B2134"/>
      <c r="C2134" s="71"/>
      <c r="D2134" s="72"/>
    </row>
    <row r="2135" spans="1:4" ht="30" customHeight="1" x14ac:dyDescent="0.35">
      <c r="A2135"/>
      <c r="B2135"/>
      <c r="C2135" s="71"/>
      <c r="D2135" s="72"/>
    </row>
    <row r="2136" spans="1:4" ht="30" customHeight="1" x14ac:dyDescent="0.35">
      <c r="A2136"/>
      <c r="B2136"/>
      <c r="C2136" s="71"/>
      <c r="D2136" s="72"/>
    </row>
    <row r="2137" spans="1:4" ht="30" customHeight="1" x14ac:dyDescent="0.35">
      <c r="A2137"/>
      <c r="B2137"/>
      <c r="C2137" s="71"/>
      <c r="D2137" s="72"/>
    </row>
    <row r="2138" spans="1:4" ht="30" customHeight="1" x14ac:dyDescent="0.35">
      <c r="A2138"/>
      <c r="B2138"/>
      <c r="C2138" s="71"/>
      <c r="D2138" s="72"/>
    </row>
    <row r="2139" spans="1:4" ht="30" customHeight="1" x14ac:dyDescent="0.35">
      <c r="A2139"/>
      <c r="B2139"/>
      <c r="C2139" s="71"/>
      <c r="D2139" s="72"/>
    </row>
    <row r="2140" spans="1:4" ht="30" customHeight="1" x14ac:dyDescent="0.35">
      <c r="A2140"/>
      <c r="B2140"/>
      <c r="C2140" s="71"/>
      <c r="D2140" s="72"/>
    </row>
    <row r="2141" spans="1:4" ht="30" customHeight="1" x14ac:dyDescent="0.35">
      <c r="A2141"/>
      <c r="B2141"/>
      <c r="C2141" s="71"/>
      <c r="D2141" s="72"/>
    </row>
    <row r="2142" spans="1:4" ht="30" customHeight="1" x14ac:dyDescent="0.35">
      <c r="A2142"/>
      <c r="B2142"/>
      <c r="C2142" s="71"/>
      <c r="D2142" s="72"/>
    </row>
    <row r="2143" spans="1:4" ht="30" customHeight="1" x14ac:dyDescent="0.35">
      <c r="A2143"/>
      <c r="B2143"/>
      <c r="C2143" s="71"/>
      <c r="D2143" s="72"/>
    </row>
    <row r="2144" spans="1:4" ht="30" customHeight="1" x14ac:dyDescent="0.35">
      <c r="A2144"/>
      <c r="B2144"/>
      <c r="C2144" s="71"/>
      <c r="D2144" s="72"/>
    </row>
    <row r="2145" spans="1:4" ht="30" customHeight="1" x14ac:dyDescent="0.35">
      <c r="A2145"/>
      <c r="B2145"/>
      <c r="C2145" s="71"/>
      <c r="D2145" s="72"/>
    </row>
    <row r="2146" spans="1:4" ht="30" customHeight="1" x14ac:dyDescent="0.35">
      <c r="A2146"/>
      <c r="B2146"/>
      <c r="C2146" s="71"/>
      <c r="D2146" s="72"/>
    </row>
    <row r="2147" spans="1:4" ht="30" customHeight="1" x14ac:dyDescent="0.35">
      <c r="A2147"/>
      <c r="B2147"/>
      <c r="C2147" s="71"/>
      <c r="D2147" s="72"/>
    </row>
    <row r="2148" spans="1:4" ht="30" customHeight="1" x14ac:dyDescent="0.35">
      <c r="A2148"/>
      <c r="B2148"/>
      <c r="C2148" s="71"/>
      <c r="D2148" s="72"/>
    </row>
    <row r="2149" spans="1:4" ht="30" customHeight="1" x14ac:dyDescent="0.35">
      <c r="A2149"/>
      <c r="B2149"/>
      <c r="C2149" s="71"/>
      <c r="D2149" s="72"/>
    </row>
    <row r="2150" spans="1:4" ht="30" customHeight="1" x14ac:dyDescent="0.35">
      <c r="A2150"/>
      <c r="B2150"/>
      <c r="C2150" s="71"/>
      <c r="D2150" s="72"/>
    </row>
    <row r="2151" spans="1:4" ht="30" customHeight="1" x14ac:dyDescent="0.35">
      <c r="A2151"/>
      <c r="B2151"/>
      <c r="C2151" s="71"/>
      <c r="D2151" s="72"/>
    </row>
    <row r="2152" spans="1:4" ht="30" customHeight="1" x14ac:dyDescent="0.35">
      <c r="A2152"/>
      <c r="B2152"/>
      <c r="C2152" s="71"/>
      <c r="D2152" s="72"/>
    </row>
    <row r="2153" spans="1:4" ht="30" customHeight="1" x14ac:dyDescent="0.35">
      <c r="A2153"/>
      <c r="B2153"/>
      <c r="C2153" s="71"/>
      <c r="D2153" s="72"/>
    </row>
    <row r="2154" spans="1:4" ht="30" customHeight="1" x14ac:dyDescent="0.35">
      <c r="A2154"/>
      <c r="B2154"/>
      <c r="C2154" s="71"/>
      <c r="D2154" s="72"/>
    </row>
    <row r="2155" spans="1:4" ht="30" customHeight="1" x14ac:dyDescent="0.35">
      <c r="A2155"/>
      <c r="B2155"/>
      <c r="C2155" s="71"/>
      <c r="D2155" s="72"/>
    </row>
    <row r="2156" spans="1:4" ht="30" customHeight="1" x14ac:dyDescent="0.35">
      <c r="A2156"/>
      <c r="B2156"/>
      <c r="C2156" s="71"/>
      <c r="D2156" s="72"/>
    </row>
    <row r="2157" spans="1:4" ht="30" customHeight="1" x14ac:dyDescent="0.35">
      <c r="A2157"/>
      <c r="B2157"/>
      <c r="C2157" s="71"/>
      <c r="D2157" s="72"/>
    </row>
    <row r="2158" spans="1:4" ht="30" customHeight="1" x14ac:dyDescent="0.35">
      <c r="A2158"/>
      <c r="B2158"/>
      <c r="C2158" s="71"/>
      <c r="D2158" s="72"/>
    </row>
    <row r="2159" spans="1:4" ht="30" customHeight="1" x14ac:dyDescent="0.35">
      <c r="A2159"/>
      <c r="B2159"/>
      <c r="C2159" s="71"/>
      <c r="D2159" s="72"/>
    </row>
    <row r="2160" spans="1:4" ht="30" customHeight="1" x14ac:dyDescent="0.35">
      <c r="A2160"/>
      <c r="B2160"/>
      <c r="C2160" s="71"/>
      <c r="D2160" s="72"/>
    </row>
    <row r="2161" spans="1:4" ht="30" customHeight="1" x14ac:dyDescent="0.35">
      <c r="A2161"/>
      <c r="B2161"/>
      <c r="C2161" s="71"/>
      <c r="D2161" s="72"/>
    </row>
    <row r="2162" spans="1:4" ht="30" customHeight="1" x14ac:dyDescent="0.35">
      <c r="A2162"/>
      <c r="B2162"/>
      <c r="C2162" s="71"/>
      <c r="D2162" s="72"/>
    </row>
    <row r="2163" spans="1:4" ht="30" customHeight="1" x14ac:dyDescent="0.35">
      <c r="A2163"/>
      <c r="B2163"/>
      <c r="C2163" s="71"/>
      <c r="D2163" s="72"/>
    </row>
    <row r="2164" spans="1:4" ht="30" customHeight="1" x14ac:dyDescent="0.35">
      <c r="A2164"/>
      <c r="B2164"/>
      <c r="C2164" s="71"/>
      <c r="D2164" s="72"/>
    </row>
    <row r="2165" spans="1:4" ht="30" customHeight="1" x14ac:dyDescent="0.35">
      <c r="A2165"/>
      <c r="B2165"/>
      <c r="C2165" s="71"/>
      <c r="D2165" s="72"/>
    </row>
    <row r="2166" spans="1:4" ht="30" customHeight="1" x14ac:dyDescent="0.35">
      <c r="A2166"/>
      <c r="B2166"/>
      <c r="C2166" s="71"/>
      <c r="D2166" s="72"/>
    </row>
    <row r="2167" spans="1:4" ht="30" customHeight="1" x14ac:dyDescent="0.35">
      <c r="A2167"/>
      <c r="B2167"/>
      <c r="C2167" s="71"/>
      <c r="D2167" s="72"/>
    </row>
    <row r="2168" spans="1:4" ht="30" customHeight="1" x14ac:dyDescent="0.35">
      <c r="A2168"/>
      <c r="B2168"/>
      <c r="C2168" s="71"/>
      <c r="D2168" s="72"/>
    </row>
    <row r="2169" spans="1:4" ht="30" customHeight="1" x14ac:dyDescent="0.35">
      <c r="A2169"/>
      <c r="B2169"/>
      <c r="C2169" s="71"/>
      <c r="D2169" s="72"/>
    </row>
    <row r="2170" spans="1:4" ht="30" customHeight="1" x14ac:dyDescent="0.35">
      <c r="A2170"/>
      <c r="B2170"/>
      <c r="C2170" s="71"/>
      <c r="D2170" s="72"/>
    </row>
    <row r="2171" spans="1:4" ht="30" customHeight="1" x14ac:dyDescent="0.35">
      <c r="A2171"/>
      <c r="B2171"/>
      <c r="C2171" s="71"/>
      <c r="D2171" s="72"/>
    </row>
    <row r="2172" spans="1:4" ht="30" customHeight="1" x14ac:dyDescent="0.35">
      <c r="A2172"/>
      <c r="B2172"/>
      <c r="C2172" s="71"/>
      <c r="D2172" s="72"/>
    </row>
    <row r="2173" spans="1:4" ht="30" customHeight="1" x14ac:dyDescent="0.35">
      <c r="A2173"/>
      <c r="B2173"/>
      <c r="C2173" s="71"/>
      <c r="D2173" s="72"/>
    </row>
    <row r="2174" spans="1:4" ht="30" customHeight="1" x14ac:dyDescent="0.35">
      <c r="A2174"/>
      <c r="B2174"/>
      <c r="C2174" s="71"/>
      <c r="D2174" s="72"/>
    </row>
    <row r="2175" spans="1:4" ht="30" customHeight="1" x14ac:dyDescent="0.35">
      <c r="A2175"/>
      <c r="B2175"/>
      <c r="C2175" s="71"/>
      <c r="D2175" s="72"/>
    </row>
    <row r="2176" spans="1:4" ht="30" customHeight="1" x14ac:dyDescent="0.35">
      <c r="A2176"/>
      <c r="B2176"/>
      <c r="C2176" s="71"/>
      <c r="D2176" s="72"/>
    </row>
    <row r="2177" spans="1:4" ht="30" customHeight="1" x14ac:dyDescent="0.35">
      <c r="A2177"/>
      <c r="B2177"/>
      <c r="C2177" s="71"/>
      <c r="D2177" s="72"/>
    </row>
    <row r="2178" spans="1:4" ht="30" customHeight="1" x14ac:dyDescent="0.35">
      <c r="A2178"/>
      <c r="B2178"/>
      <c r="C2178" s="71"/>
      <c r="D2178" s="72"/>
    </row>
    <row r="2179" spans="1:4" ht="30" customHeight="1" x14ac:dyDescent="0.35">
      <c r="A2179"/>
      <c r="B2179"/>
      <c r="C2179" s="71"/>
      <c r="D2179" s="72"/>
    </row>
    <row r="2180" spans="1:4" ht="30" customHeight="1" x14ac:dyDescent="0.35">
      <c r="A2180"/>
      <c r="B2180"/>
      <c r="C2180" s="71"/>
      <c r="D2180" s="72"/>
    </row>
    <row r="2181" spans="1:4" ht="30" customHeight="1" x14ac:dyDescent="0.35">
      <c r="A2181"/>
      <c r="B2181"/>
      <c r="C2181" s="71"/>
      <c r="D2181" s="72"/>
    </row>
    <row r="2182" spans="1:4" ht="30" customHeight="1" x14ac:dyDescent="0.35">
      <c r="A2182"/>
      <c r="B2182"/>
      <c r="C2182" s="71"/>
      <c r="D2182" s="72"/>
    </row>
    <row r="2183" spans="1:4" ht="30" customHeight="1" x14ac:dyDescent="0.35">
      <c r="A2183"/>
      <c r="B2183"/>
      <c r="C2183" s="71"/>
      <c r="D2183" s="72"/>
    </row>
    <row r="2184" spans="1:4" ht="30" customHeight="1" x14ac:dyDescent="0.35">
      <c r="A2184"/>
      <c r="B2184"/>
      <c r="C2184" s="71"/>
      <c r="D2184" s="72"/>
    </row>
    <row r="2185" spans="1:4" ht="30" customHeight="1" x14ac:dyDescent="0.35">
      <c r="A2185"/>
      <c r="B2185"/>
      <c r="C2185" s="71"/>
      <c r="D2185" s="72"/>
    </row>
    <row r="2186" spans="1:4" ht="30" customHeight="1" x14ac:dyDescent="0.35">
      <c r="A2186"/>
      <c r="B2186"/>
      <c r="C2186" s="71"/>
      <c r="D2186" s="72"/>
    </row>
    <row r="2187" spans="1:4" ht="30" customHeight="1" x14ac:dyDescent="0.35">
      <c r="A2187"/>
      <c r="B2187"/>
      <c r="C2187" s="71"/>
      <c r="D2187" s="72"/>
    </row>
    <row r="2188" spans="1:4" ht="30" customHeight="1" x14ac:dyDescent="0.35">
      <c r="A2188"/>
      <c r="B2188"/>
      <c r="C2188" s="71"/>
      <c r="D2188" s="72"/>
    </row>
    <row r="2189" spans="1:4" ht="30" customHeight="1" x14ac:dyDescent="0.35">
      <c r="A2189"/>
      <c r="B2189"/>
      <c r="C2189" s="71"/>
      <c r="D2189" s="72"/>
    </row>
    <row r="2190" spans="1:4" ht="30" customHeight="1" x14ac:dyDescent="0.35">
      <c r="A2190"/>
      <c r="B2190"/>
      <c r="C2190" s="71"/>
      <c r="D2190" s="72"/>
    </row>
    <row r="2191" spans="1:4" ht="30" customHeight="1" x14ac:dyDescent="0.35">
      <c r="A2191"/>
      <c r="B2191"/>
      <c r="C2191" s="71"/>
      <c r="D2191" s="72"/>
    </row>
    <row r="2192" spans="1:4" ht="30" customHeight="1" x14ac:dyDescent="0.35">
      <c r="A2192"/>
      <c r="B2192"/>
      <c r="C2192" s="71"/>
      <c r="D2192" s="72"/>
    </row>
    <row r="2193" spans="1:4" ht="30" customHeight="1" x14ac:dyDescent="0.35">
      <c r="A2193"/>
      <c r="B2193"/>
      <c r="C2193" s="71"/>
      <c r="D2193" s="72"/>
    </row>
    <row r="2194" spans="1:4" ht="30" customHeight="1" x14ac:dyDescent="0.35">
      <c r="A2194"/>
      <c r="B2194"/>
      <c r="C2194" s="71"/>
      <c r="D2194" s="72"/>
    </row>
    <row r="2195" spans="1:4" ht="30" customHeight="1" x14ac:dyDescent="0.35">
      <c r="A2195"/>
      <c r="B2195"/>
      <c r="C2195" s="71"/>
      <c r="D2195" s="72"/>
    </row>
    <row r="2196" spans="1:4" ht="30" customHeight="1" x14ac:dyDescent="0.35">
      <c r="A2196"/>
      <c r="B2196"/>
      <c r="C2196" s="71"/>
      <c r="D2196" s="72"/>
    </row>
    <row r="2197" spans="1:4" ht="30" customHeight="1" x14ac:dyDescent="0.35">
      <c r="A2197"/>
      <c r="B2197"/>
      <c r="C2197" s="71"/>
      <c r="D2197" s="72"/>
    </row>
    <row r="2198" spans="1:4" ht="30" customHeight="1" x14ac:dyDescent="0.35">
      <c r="A2198"/>
      <c r="B2198"/>
      <c r="C2198" s="71"/>
      <c r="D2198" s="72"/>
    </row>
    <row r="2199" spans="1:4" ht="30" customHeight="1" x14ac:dyDescent="0.35">
      <c r="A2199"/>
      <c r="B2199"/>
      <c r="C2199" s="71"/>
      <c r="D2199" s="72"/>
    </row>
    <row r="2200" spans="1:4" ht="30" customHeight="1" x14ac:dyDescent="0.35">
      <c r="A2200"/>
      <c r="B2200"/>
      <c r="C2200" s="71"/>
      <c r="D2200" s="72"/>
    </row>
    <row r="2201" spans="1:4" ht="30" customHeight="1" x14ac:dyDescent="0.35">
      <c r="A2201"/>
      <c r="B2201"/>
      <c r="C2201" s="71"/>
      <c r="D2201" s="72"/>
    </row>
    <row r="2202" spans="1:4" ht="30" customHeight="1" x14ac:dyDescent="0.35">
      <c r="A2202"/>
      <c r="B2202"/>
      <c r="C2202" s="71"/>
      <c r="D2202" s="72"/>
    </row>
    <row r="2203" spans="1:4" ht="30" customHeight="1" x14ac:dyDescent="0.35">
      <c r="A2203"/>
      <c r="B2203"/>
      <c r="C2203" s="71"/>
      <c r="D2203" s="72"/>
    </row>
    <row r="2204" spans="1:4" ht="30" customHeight="1" x14ac:dyDescent="0.35">
      <c r="A2204"/>
      <c r="B2204"/>
      <c r="C2204" s="71"/>
      <c r="D2204" s="72"/>
    </row>
    <row r="2205" spans="1:4" ht="30" customHeight="1" x14ac:dyDescent="0.35">
      <c r="A2205"/>
      <c r="B2205"/>
      <c r="C2205" s="71"/>
      <c r="D2205" s="72"/>
    </row>
    <row r="2206" spans="1:4" ht="30" customHeight="1" x14ac:dyDescent="0.35">
      <c r="A2206"/>
      <c r="B2206"/>
      <c r="C2206" s="71"/>
      <c r="D2206" s="72"/>
    </row>
    <row r="2207" spans="1:4" ht="30" customHeight="1" x14ac:dyDescent="0.35">
      <c r="A2207"/>
      <c r="B2207"/>
      <c r="C2207" s="71"/>
      <c r="D2207" s="72"/>
    </row>
    <row r="2208" spans="1:4" ht="30" customHeight="1" x14ac:dyDescent="0.35">
      <c r="A2208"/>
      <c r="B2208"/>
      <c r="C2208" s="71"/>
      <c r="D2208" s="72"/>
    </row>
    <row r="2209" spans="1:4" ht="30" customHeight="1" x14ac:dyDescent="0.35">
      <c r="A2209"/>
      <c r="B2209"/>
      <c r="C2209" s="71"/>
      <c r="D2209" s="72"/>
    </row>
    <row r="2210" spans="1:4" ht="30" customHeight="1" x14ac:dyDescent="0.35">
      <c r="A2210"/>
      <c r="B2210"/>
      <c r="C2210" s="71"/>
      <c r="D2210" s="72"/>
    </row>
    <row r="2211" spans="1:4" ht="30" customHeight="1" x14ac:dyDescent="0.35">
      <c r="A2211"/>
      <c r="B2211"/>
      <c r="C2211" s="71"/>
      <c r="D2211" s="72"/>
    </row>
    <row r="2212" spans="1:4" ht="30" customHeight="1" x14ac:dyDescent="0.35">
      <c r="A2212"/>
      <c r="B2212"/>
      <c r="C2212" s="71"/>
      <c r="D2212" s="72"/>
    </row>
    <row r="2213" spans="1:4" ht="30" customHeight="1" x14ac:dyDescent="0.35">
      <c r="A2213"/>
      <c r="B2213"/>
      <c r="C2213" s="71"/>
      <c r="D2213" s="72"/>
    </row>
    <row r="2214" spans="1:4" ht="30" customHeight="1" x14ac:dyDescent="0.35">
      <c r="A2214"/>
      <c r="B2214"/>
      <c r="C2214" s="71"/>
      <c r="D2214" s="72"/>
    </row>
    <row r="2215" spans="1:4" ht="30" customHeight="1" x14ac:dyDescent="0.35">
      <c r="A2215"/>
      <c r="B2215"/>
      <c r="C2215" s="71"/>
      <c r="D2215" s="72"/>
    </row>
    <row r="2216" spans="1:4" ht="30" customHeight="1" x14ac:dyDescent="0.35">
      <c r="A2216"/>
      <c r="B2216"/>
      <c r="C2216" s="71"/>
      <c r="D2216" s="72"/>
    </row>
    <row r="2217" spans="1:4" ht="30" customHeight="1" x14ac:dyDescent="0.35">
      <c r="A2217"/>
      <c r="B2217"/>
      <c r="C2217" s="71"/>
      <c r="D2217" s="72"/>
    </row>
    <row r="2218" spans="1:4" ht="30" customHeight="1" x14ac:dyDescent="0.35">
      <c r="A2218"/>
      <c r="B2218"/>
      <c r="C2218" s="71"/>
      <c r="D2218" s="72"/>
    </row>
    <row r="2219" spans="1:4" ht="30" customHeight="1" x14ac:dyDescent="0.35">
      <c r="A2219"/>
      <c r="B2219"/>
      <c r="C2219" s="71"/>
      <c r="D2219" s="72"/>
    </row>
    <row r="2220" spans="1:4" ht="30" customHeight="1" x14ac:dyDescent="0.35">
      <c r="A2220"/>
      <c r="B2220"/>
      <c r="C2220" s="71"/>
      <c r="D2220" s="72"/>
    </row>
    <row r="2221" spans="1:4" ht="30" customHeight="1" x14ac:dyDescent="0.35">
      <c r="A2221"/>
      <c r="B2221"/>
      <c r="C2221" s="71"/>
      <c r="D2221" s="72"/>
    </row>
    <row r="2222" spans="1:4" ht="30" customHeight="1" x14ac:dyDescent="0.35">
      <c r="A2222"/>
      <c r="B2222"/>
      <c r="C2222" s="71"/>
      <c r="D2222" s="72"/>
    </row>
    <row r="2223" spans="1:4" ht="30" customHeight="1" x14ac:dyDescent="0.35">
      <c r="A2223"/>
      <c r="B2223"/>
      <c r="C2223" s="71"/>
      <c r="D2223" s="72"/>
    </row>
    <row r="2224" spans="1:4" ht="30" customHeight="1" x14ac:dyDescent="0.35">
      <c r="A2224"/>
      <c r="B2224"/>
      <c r="C2224" s="71"/>
      <c r="D2224" s="72"/>
    </row>
    <row r="2225" spans="1:4" ht="30" customHeight="1" x14ac:dyDescent="0.35">
      <c r="A2225"/>
      <c r="B2225"/>
      <c r="C2225" s="71"/>
      <c r="D2225" s="72"/>
    </row>
    <row r="2226" spans="1:4" ht="30" customHeight="1" x14ac:dyDescent="0.35">
      <c r="A2226"/>
      <c r="B2226"/>
      <c r="C2226" s="71"/>
      <c r="D2226" s="72"/>
    </row>
    <row r="2227" spans="1:4" ht="30" customHeight="1" x14ac:dyDescent="0.35">
      <c r="A2227"/>
      <c r="B2227"/>
      <c r="C2227" s="71"/>
      <c r="D2227" s="72"/>
    </row>
    <row r="2228" spans="1:4" ht="30" customHeight="1" x14ac:dyDescent="0.35">
      <c r="A2228"/>
      <c r="B2228"/>
      <c r="C2228" s="71"/>
      <c r="D2228" s="72"/>
    </row>
    <row r="2229" spans="1:4" ht="30" customHeight="1" x14ac:dyDescent="0.35">
      <c r="A2229"/>
      <c r="B2229"/>
      <c r="C2229" s="71"/>
      <c r="D2229" s="72"/>
    </row>
    <row r="2230" spans="1:4" ht="30" customHeight="1" x14ac:dyDescent="0.35">
      <c r="A2230"/>
      <c r="B2230"/>
      <c r="C2230" s="71"/>
      <c r="D2230" s="72"/>
    </row>
    <row r="2231" spans="1:4" ht="30" customHeight="1" x14ac:dyDescent="0.35">
      <c r="A2231"/>
      <c r="B2231"/>
      <c r="C2231" s="71"/>
      <c r="D2231" s="72"/>
    </row>
    <row r="2232" spans="1:4" ht="30" customHeight="1" x14ac:dyDescent="0.35">
      <c r="A2232"/>
      <c r="B2232"/>
      <c r="C2232" s="71"/>
      <c r="D2232" s="72"/>
    </row>
    <row r="2233" spans="1:4" ht="30" customHeight="1" x14ac:dyDescent="0.35">
      <c r="A2233"/>
      <c r="B2233"/>
      <c r="C2233" s="71"/>
      <c r="D2233" s="72"/>
    </row>
    <row r="2234" spans="1:4" ht="30" customHeight="1" x14ac:dyDescent="0.35">
      <c r="A2234"/>
      <c r="B2234"/>
      <c r="C2234" s="71"/>
      <c r="D2234" s="72"/>
    </row>
    <row r="2235" spans="1:4" ht="30" customHeight="1" x14ac:dyDescent="0.35">
      <c r="A2235"/>
      <c r="B2235"/>
      <c r="C2235" s="71"/>
      <c r="D2235" s="72"/>
    </row>
    <row r="2236" spans="1:4" ht="30" customHeight="1" x14ac:dyDescent="0.35">
      <c r="A2236"/>
      <c r="B2236"/>
      <c r="C2236" s="71"/>
      <c r="D2236" s="72"/>
    </row>
    <row r="2237" spans="1:4" ht="30" customHeight="1" x14ac:dyDescent="0.35">
      <c r="A2237"/>
      <c r="B2237"/>
      <c r="C2237" s="71"/>
      <c r="D2237" s="72"/>
    </row>
    <row r="2238" spans="1:4" ht="30" customHeight="1" x14ac:dyDescent="0.35">
      <c r="A2238"/>
      <c r="B2238"/>
      <c r="C2238" s="71"/>
      <c r="D2238" s="72"/>
    </row>
    <row r="2239" spans="1:4" ht="30" customHeight="1" x14ac:dyDescent="0.35">
      <c r="A2239"/>
      <c r="B2239"/>
      <c r="C2239" s="71"/>
      <c r="D2239" s="72"/>
    </row>
    <row r="2240" spans="1:4" ht="30" customHeight="1" x14ac:dyDescent="0.35">
      <c r="A2240"/>
      <c r="B2240"/>
      <c r="C2240" s="71"/>
      <c r="D2240" s="72"/>
    </row>
    <row r="2241" spans="1:4" ht="30" customHeight="1" x14ac:dyDescent="0.35">
      <c r="A2241"/>
      <c r="B2241"/>
      <c r="C2241" s="71"/>
      <c r="D2241" s="72"/>
    </row>
    <row r="2242" spans="1:4" ht="30" customHeight="1" x14ac:dyDescent="0.35">
      <c r="A2242"/>
      <c r="B2242"/>
      <c r="C2242" s="71"/>
      <c r="D2242" s="72"/>
    </row>
    <row r="2243" spans="1:4" ht="30" customHeight="1" x14ac:dyDescent="0.35">
      <c r="A2243"/>
      <c r="B2243"/>
      <c r="C2243" s="71"/>
      <c r="D2243" s="72"/>
    </row>
    <row r="2244" spans="1:4" ht="30" customHeight="1" x14ac:dyDescent="0.35">
      <c r="A2244"/>
      <c r="B2244"/>
      <c r="C2244" s="71"/>
      <c r="D2244" s="72"/>
    </row>
    <row r="2245" spans="1:4" ht="30" customHeight="1" x14ac:dyDescent="0.35">
      <c r="A2245"/>
      <c r="B2245"/>
      <c r="C2245" s="71"/>
      <c r="D2245" s="72"/>
    </row>
    <row r="2246" spans="1:4" ht="30" customHeight="1" x14ac:dyDescent="0.35">
      <c r="A2246"/>
      <c r="B2246"/>
      <c r="C2246" s="71"/>
      <c r="D2246" s="72"/>
    </row>
    <row r="2247" spans="1:4" ht="30" customHeight="1" x14ac:dyDescent="0.35">
      <c r="A2247"/>
      <c r="B2247"/>
      <c r="C2247" s="71"/>
      <c r="D2247" s="72"/>
    </row>
    <row r="2248" spans="1:4" ht="30" customHeight="1" x14ac:dyDescent="0.35">
      <c r="A2248"/>
      <c r="B2248"/>
      <c r="C2248" s="71"/>
      <c r="D2248" s="72"/>
    </row>
    <row r="2249" spans="1:4" ht="30" customHeight="1" x14ac:dyDescent="0.35">
      <c r="A2249"/>
      <c r="B2249"/>
      <c r="C2249" s="71"/>
      <c r="D2249" s="72"/>
    </row>
    <row r="2250" spans="1:4" ht="30" customHeight="1" x14ac:dyDescent="0.35">
      <c r="A2250"/>
      <c r="B2250"/>
      <c r="C2250" s="71"/>
      <c r="D2250" s="72"/>
    </row>
    <row r="2251" spans="1:4" ht="30" customHeight="1" x14ac:dyDescent="0.35">
      <c r="A2251"/>
      <c r="B2251"/>
      <c r="C2251" s="71"/>
      <c r="D2251" s="72"/>
    </row>
    <row r="2252" spans="1:4" ht="30" customHeight="1" x14ac:dyDescent="0.35">
      <c r="A2252"/>
      <c r="B2252"/>
      <c r="C2252" s="71"/>
      <c r="D2252" s="72"/>
    </row>
    <row r="2253" spans="1:4" ht="30" customHeight="1" x14ac:dyDescent="0.35">
      <c r="A2253"/>
      <c r="B2253"/>
      <c r="C2253" s="71"/>
      <c r="D2253" s="72"/>
    </row>
    <row r="2254" spans="1:4" ht="30" customHeight="1" x14ac:dyDescent="0.35">
      <c r="A2254"/>
      <c r="B2254"/>
      <c r="C2254" s="71"/>
      <c r="D2254" s="72"/>
    </row>
    <row r="2255" spans="1:4" ht="30" customHeight="1" x14ac:dyDescent="0.35">
      <c r="A2255"/>
      <c r="B2255"/>
      <c r="C2255" s="71"/>
      <c r="D2255" s="72"/>
    </row>
    <row r="2256" spans="1:4" ht="30" customHeight="1" x14ac:dyDescent="0.35">
      <c r="A2256"/>
      <c r="B2256"/>
      <c r="C2256" s="71"/>
      <c r="D2256" s="72"/>
    </row>
    <row r="2257" spans="1:4" ht="30" customHeight="1" x14ac:dyDescent="0.35">
      <c r="A2257"/>
      <c r="B2257"/>
      <c r="C2257" s="71"/>
      <c r="D2257" s="72"/>
    </row>
    <row r="2258" spans="1:4" ht="30" customHeight="1" x14ac:dyDescent="0.35">
      <c r="A2258"/>
      <c r="B2258"/>
      <c r="C2258" s="71"/>
      <c r="D2258" s="72"/>
    </row>
    <row r="2259" spans="1:4" ht="30" customHeight="1" x14ac:dyDescent="0.35">
      <c r="A2259"/>
      <c r="B2259"/>
      <c r="C2259" s="71"/>
      <c r="D2259" s="72"/>
    </row>
    <row r="2260" spans="1:4" ht="30" customHeight="1" x14ac:dyDescent="0.35">
      <c r="A2260"/>
      <c r="B2260"/>
      <c r="C2260" s="71"/>
      <c r="D2260" s="72"/>
    </row>
    <row r="2261" spans="1:4" ht="30" customHeight="1" x14ac:dyDescent="0.35">
      <c r="A2261"/>
      <c r="B2261"/>
      <c r="C2261" s="71"/>
      <c r="D2261" s="72"/>
    </row>
    <row r="2262" spans="1:4" ht="30" customHeight="1" x14ac:dyDescent="0.35">
      <c r="A2262"/>
      <c r="B2262"/>
      <c r="C2262" s="71"/>
      <c r="D2262" s="72"/>
    </row>
    <row r="2263" spans="1:4" ht="30" customHeight="1" x14ac:dyDescent="0.35">
      <c r="A2263"/>
      <c r="B2263"/>
      <c r="C2263" s="71"/>
      <c r="D2263" s="72"/>
    </row>
    <row r="2264" spans="1:4" ht="30" customHeight="1" x14ac:dyDescent="0.35">
      <c r="A2264"/>
      <c r="B2264"/>
      <c r="C2264" s="71"/>
      <c r="D2264" s="72"/>
    </row>
    <row r="2265" spans="1:4" ht="30" customHeight="1" x14ac:dyDescent="0.35">
      <c r="A2265"/>
      <c r="B2265"/>
      <c r="C2265" s="71"/>
      <c r="D2265" s="72"/>
    </row>
    <row r="2266" spans="1:4" ht="30" customHeight="1" x14ac:dyDescent="0.35">
      <c r="A2266"/>
      <c r="B2266"/>
      <c r="C2266" s="71"/>
      <c r="D2266" s="72"/>
    </row>
    <row r="2267" spans="1:4" ht="30" customHeight="1" x14ac:dyDescent="0.35">
      <c r="A2267"/>
      <c r="B2267"/>
      <c r="C2267" s="71"/>
      <c r="D2267" s="72"/>
    </row>
    <row r="2268" spans="1:4" ht="30" customHeight="1" x14ac:dyDescent="0.35">
      <c r="A2268"/>
      <c r="B2268"/>
      <c r="C2268" s="71"/>
      <c r="D2268" s="72"/>
    </row>
    <row r="2269" spans="1:4" ht="30" customHeight="1" x14ac:dyDescent="0.35">
      <c r="A2269"/>
      <c r="B2269"/>
      <c r="C2269" s="71"/>
      <c r="D2269" s="72"/>
    </row>
    <row r="2270" spans="1:4" ht="30" customHeight="1" x14ac:dyDescent="0.35">
      <c r="A2270"/>
      <c r="B2270"/>
      <c r="C2270" s="71"/>
      <c r="D2270" s="72"/>
    </row>
    <row r="2271" spans="1:4" ht="30" customHeight="1" x14ac:dyDescent="0.35">
      <c r="A2271"/>
      <c r="B2271"/>
      <c r="C2271" s="71"/>
      <c r="D2271" s="72"/>
    </row>
    <row r="2272" spans="1:4" ht="30" customHeight="1" x14ac:dyDescent="0.35">
      <c r="A2272"/>
      <c r="B2272"/>
      <c r="C2272" s="71"/>
      <c r="D2272" s="72"/>
    </row>
    <row r="2273" spans="1:4" ht="30" customHeight="1" x14ac:dyDescent="0.35">
      <c r="A2273"/>
      <c r="B2273"/>
      <c r="C2273" s="71"/>
      <c r="D2273" s="72"/>
    </row>
    <row r="2274" spans="1:4" ht="30" customHeight="1" x14ac:dyDescent="0.35">
      <c r="A2274"/>
      <c r="B2274"/>
      <c r="C2274" s="71"/>
      <c r="D2274" s="72"/>
    </row>
    <row r="2275" spans="1:4" ht="30" customHeight="1" x14ac:dyDescent="0.35">
      <c r="A2275"/>
      <c r="B2275"/>
      <c r="C2275" s="71"/>
      <c r="D2275" s="72"/>
    </row>
    <row r="2276" spans="1:4" ht="30" customHeight="1" x14ac:dyDescent="0.35">
      <c r="A2276"/>
      <c r="B2276"/>
      <c r="C2276" s="71"/>
      <c r="D2276" s="72"/>
    </row>
    <row r="2277" spans="1:4" ht="30" customHeight="1" x14ac:dyDescent="0.35">
      <c r="A2277"/>
      <c r="B2277"/>
      <c r="C2277" s="71"/>
      <c r="D2277" s="72"/>
    </row>
    <row r="2278" spans="1:4" ht="30" customHeight="1" x14ac:dyDescent="0.35">
      <c r="A2278"/>
      <c r="B2278"/>
      <c r="C2278" s="71"/>
      <c r="D2278" s="72"/>
    </row>
    <row r="2279" spans="1:4" ht="30" customHeight="1" x14ac:dyDescent="0.35">
      <c r="A2279"/>
      <c r="B2279"/>
      <c r="C2279" s="71"/>
      <c r="D2279" s="72"/>
    </row>
    <row r="2280" spans="1:4" ht="30" customHeight="1" x14ac:dyDescent="0.35">
      <c r="A2280"/>
      <c r="B2280"/>
      <c r="C2280" s="71"/>
      <c r="D2280" s="72"/>
    </row>
    <row r="2281" spans="1:4" ht="30" customHeight="1" x14ac:dyDescent="0.35">
      <c r="A2281"/>
      <c r="B2281"/>
      <c r="C2281" s="71"/>
      <c r="D2281" s="72"/>
    </row>
    <row r="2282" spans="1:4" ht="30" customHeight="1" x14ac:dyDescent="0.35">
      <c r="A2282"/>
      <c r="B2282"/>
      <c r="C2282" s="71"/>
      <c r="D2282" s="72"/>
    </row>
    <row r="2283" spans="1:4" ht="30" customHeight="1" x14ac:dyDescent="0.35">
      <c r="A2283"/>
      <c r="B2283"/>
      <c r="C2283" s="71"/>
      <c r="D2283" s="72"/>
    </row>
    <row r="2284" spans="1:4" ht="30" customHeight="1" x14ac:dyDescent="0.35">
      <c r="A2284"/>
      <c r="B2284"/>
      <c r="C2284" s="71"/>
      <c r="D2284" s="72"/>
    </row>
    <row r="2285" spans="1:4" ht="30" customHeight="1" x14ac:dyDescent="0.35">
      <c r="A2285"/>
      <c r="B2285"/>
      <c r="C2285" s="71"/>
      <c r="D2285" s="72"/>
    </row>
    <row r="2286" spans="1:4" ht="30" customHeight="1" x14ac:dyDescent="0.35">
      <c r="A2286"/>
      <c r="B2286"/>
      <c r="C2286" s="71"/>
      <c r="D2286" s="72"/>
    </row>
    <row r="2287" spans="1:4" ht="30" customHeight="1" x14ac:dyDescent="0.35">
      <c r="A2287"/>
      <c r="B2287"/>
      <c r="C2287" s="71"/>
      <c r="D2287" s="72"/>
    </row>
    <row r="2288" spans="1:4" ht="30" customHeight="1" x14ac:dyDescent="0.35">
      <c r="A2288"/>
      <c r="B2288"/>
      <c r="C2288" s="71"/>
      <c r="D2288" s="72"/>
    </row>
    <row r="2289" spans="1:4" ht="30" customHeight="1" x14ac:dyDescent="0.35">
      <c r="A2289"/>
      <c r="B2289"/>
      <c r="C2289" s="71"/>
      <c r="D2289" s="72"/>
    </row>
    <row r="2290" spans="1:4" ht="30" customHeight="1" x14ac:dyDescent="0.35">
      <c r="A2290"/>
      <c r="B2290"/>
      <c r="C2290" s="71"/>
      <c r="D2290" s="72"/>
    </row>
    <row r="2291" spans="1:4" ht="30" customHeight="1" x14ac:dyDescent="0.35">
      <c r="A2291"/>
      <c r="B2291"/>
      <c r="C2291" s="71"/>
      <c r="D2291" s="72"/>
    </row>
    <row r="2292" spans="1:4" ht="30" customHeight="1" x14ac:dyDescent="0.35">
      <c r="A2292"/>
      <c r="B2292"/>
      <c r="C2292" s="71"/>
      <c r="D2292" s="72"/>
    </row>
    <row r="2293" spans="1:4" ht="30" customHeight="1" x14ac:dyDescent="0.35">
      <c r="A2293"/>
      <c r="B2293"/>
      <c r="C2293" s="71"/>
      <c r="D2293" s="72"/>
    </row>
    <row r="2294" spans="1:4" ht="30" customHeight="1" x14ac:dyDescent="0.35">
      <c r="A2294"/>
      <c r="B2294"/>
      <c r="C2294" s="71"/>
      <c r="D2294" s="72"/>
    </row>
    <row r="2295" spans="1:4" ht="30" customHeight="1" x14ac:dyDescent="0.35">
      <c r="A2295"/>
      <c r="B2295"/>
      <c r="C2295" s="71"/>
      <c r="D2295" s="72"/>
    </row>
    <row r="2296" spans="1:4" ht="30" customHeight="1" x14ac:dyDescent="0.35">
      <c r="A2296"/>
      <c r="B2296"/>
      <c r="C2296" s="71"/>
      <c r="D2296" s="72"/>
    </row>
    <row r="2297" spans="1:4" ht="30" customHeight="1" x14ac:dyDescent="0.35">
      <c r="A2297"/>
      <c r="B2297"/>
      <c r="C2297" s="71"/>
      <c r="D2297" s="72"/>
    </row>
    <row r="2298" spans="1:4" ht="30" customHeight="1" x14ac:dyDescent="0.35">
      <c r="A2298"/>
      <c r="B2298"/>
      <c r="C2298" s="71"/>
      <c r="D2298" s="72"/>
    </row>
    <row r="2299" spans="1:4" ht="30" customHeight="1" x14ac:dyDescent="0.35">
      <c r="A2299"/>
      <c r="B2299"/>
      <c r="C2299" s="71"/>
      <c r="D2299" s="72"/>
    </row>
    <row r="2300" spans="1:4" ht="30" customHeight="1" x14ac:dyDescent="0.35">
      <c r="A2300"/>
      <c r="B2300"/>
      <c r="C2300" s="71"/>
      <c r="D2300" s="72"/>
    </row>
    <row r="2301" spans="1:4" ht="30" customHeight="1" x14ac:dyDescent="0.35">
      <c r="A2301"/>
      <c r="B2301"/>
      <c r="C2301" s="71"/>
      <c r="D2301" s="72"/>
    </row>
    <row r="2302" spans="1:4" ht="30" customHeight="1" x14ac:dyDescent="0.35">
      <c r="A2302"/>
      <c r="B2302"/>
      <c r="C2302" s="71"/>
      <c r="D2302" s="72"/>
    </row>
    <row r="2303" spans="1:4" ht="30" customHeight="1" x14ac:dyDescent="0.35">
      <c r="A2303"/>
      <c r="B2303"/>
      <c r="C2303" s="71"/>
      <c r="D2303" s="72"/>
    </row>
    <row r="2304" spans="1:4" ht="30" customHeight="1" x14ac:dyDescent="0.35">
      <c r="A2304"/>
      <c r="B2304"/>
      <c r="C2304" s="71"/>
      <c r="D2304" s="72"/>
    </row>
    <row r="2305" spans="1:4" ht="30" customHeight="1" x14ac:dyDescent="0.35">
      <c r="A2305"/>
      <c r="B2305"/>
      <c r="C2305" s="71"/>
      <c r="D2305" s="72"/>
    </row>
    <row r="2306" spans="1:4" ht="30" customHeight="1" x14ac:dyDescent="0.35">
      <c r="A2306"/>
      <c r="B2306"/>
      <c r="C2306" s="71"/>
      <c r="D2306" s="72"/>
    </row>
    <row r="2307" spans="1:4" ht="30" customHeight="1" x14ac:dyDescent="0.35">
      <c r="A2307"/>
      <c r="B2307"/>
      <c r="C2307" s="71"/>
      <c r="D2307" s="72"/>
    </row>
    <row r="2308" spans="1:4" ht="30" customHeight="1" x14ac:dyDescent="0.35">
      <c r="A2308"/>
      <c r="B2308"/>
      <c r="C2308" s="71"/>
      <c r="D2308" s="72"/>
    </row>
    <row r="2309" spans="1:4" ht="30" customHeight="1" x14ac:dyDescent="0.35">
      <c r="A2309"/>
      <c r="B2309"/>
      <c r="C2309" s="71"/>
      <c r="D2309" s="72"/>
    </row>
    <row r="2310" spans="1:4" ht="30" customHeight="1" x14ac:dyDescent="0.35">
      <c r="A2310"/>
      <c r="B2310"/>
      <c r="C2310" s="71"/>
      <c r="D2310" s="72"/>
    </row>
    <row r="2311" spans="1:4" ht="30" customHeight="1" x14ac:dyDescent="0.35">
      <c r="A2311"/>
      <c r="B2311"/>
      <c r="C2311" s="71"/>
      <c r="D2311" s="72"/>
    </row>
    <row r="2312" spans="1:4" ht="30" customHeight="1" x14ac:dyDescent="0.35">
      <c r="A2312"/>
      <c r="B2312"/>
      <c r="C2312" s="71"/>
      <c r="D2312" s="72"/>
    </row>
    <row r="2313" spans="1:4" ht="30" customHeight="1" x14ac:dyDescent="0.35">
      <c r="A2313"/>
      <c r="B2313"/>
      <c r="C2313" s="71"/>
      <c r="D2313" s="72"/>
    </row>
    <row r="2314" spans="1:4" ht="30" customHeight="1" x14ac:dyDescent="0.35">
      <c r="A2314"/>
      <c r="B2314"/>
      <c r="C2314" s="71"/>
      <c r="D2314" s="72"/>
    </row>
    <row r="2315" spans="1:4" ht="30" customHeight="1" x14ac:dyDescent="0.35">
      <c r="A2315"/>
      <c r="B2315"/>
      <c r="C2315" s="71"/>
      <c r="D2315" s="72"/>
    </row>
    <row r="2316" spans="1:4" ht="30" customHeight="1" x14ac:dyDescent="0.35">
      <c r="A2316"/>
      <c r="B2316"/>
      <c r="C2316" s="71"/>
      <c r="D2316" s="72"/>
    </row>
    <row r="2317" spans="1:4" ht="30" customHeight="1" x14ac:dyDescent="0.35">
      <c r="A2317"/>
      <c r="B2317"/>
      <c r="C2317" s="71"/>
      <c r="D2317" s="72"/>
    </row>
    <row r="2318" spans="1:4" ht="30" customHeight="1" x14ac:dyDescent="0.35">
      <c r="A2318"/>
      <c r="B2318"/>
      <c r="C2318" s="71"/>
      <c r="D2318" s="72"/>
    </row>
    <row r="2319" spans="1:4" ht="30" customHeight="1" x14ac:dyDescent="0.35">
      <c r="A2319"/>
      <c r="B2319"/>
      <c r="C2319" s="71"/>
      <c r="D2319" s="72"/>
    </row>
    <row r="2320" spans="1:4" ht="30" customHeight="1" x14ac:dyDescent="0.35">
      <c r="A2320"/>
      <c r="B2320"/>
      <c r="C2320" s="71"/>
      <c r="D2320" s="72"/>
    </row>
    <row r="2321" spans="1:4" ht="30" customHeight="1" x14ac:dyDescent="0.35">
      <c r="A2321"/>
      <c r="B2321"/>
      <c r="C2321" s="71"/>
      <c r="D2321" s="72"/>
    </row>
    <row r="2322" spans="1:4" ht="30" customHeight="1" x14ac:dyDescent="0.35">
      <c r="A2322"/>
      <c r="B2322"/>
      <c r="C2322" s="71"/>
      <c r="D2322" s="72"/>
    </row>
    <row r="2323" spans="1:4" ht="30" customHeight="1" x14ac:dyDescent="0.35">
      <c r="A2323"/>
      <c r="B2323"/>
      <c r="C2323" s="71"/>
      <c r="D2323" s="72"/>
    </row>
    <row r="2324" spans="1:4" ht="30" customHeight="1" x14ac:dyDescent="0.35">
      <c r="A2324"/>
      <c r="B2324"/>
      <c r="C2324" s="71"/>
      <c r="D2324" s="72"/>
    </row>
    <row r="2325" spans="1:4" ht="30" customHeight="1" x14ac:dyDescent="0.35">
      <c r="A2325"/>
      <c r="B2325"/>
      <c r="C2325" s="71"/>
      <c r="D2325" s="72"/>
    </row>
    <row r="2326" spans="1:4" ht="30" customHeight="1" x14ac:dyDescent="0.35">
      <c r="A2326"/>
      <c r="B2326"/>
      <c r="C2326" s="71"/>
      <c r="D2326" s="72"/>
    </row>
    <row r="2327" spans="1:4" ht="30" customHeight="1" x14ac:dyDescent="0.35">
      <c r="A2327"/>
      <c r="B2327"/>
      <c r="C2327" s="71"/>
      <c r="D2327" s="72"/>
    </row>
    <row r="2328" spans="1:4" ht="30" customHeight="1" x14ac:dyDescent="0.35">
      <c r="A2328"/>
      <c r="B2328"/>
      <c r="C2328" s="71"/>
      <c r="D2328" s="72"/>
    </row>
    <row r="2329" spans="1:4" ht="30" customHeight="1" x14ac:dyDescent="0.35">
      <c r="A2329"/>
      <c r="B2329"/>
      <c r="C2329" s="71"/>
      <c r="D2329" s="72"/>
    </row>
    <row r="2330" spans="1:4" ht="30" customHeight="1" x14ac:dyDescent="0.35">
      <c r="A2330"/>
      <c r="B2330"/>
      <c r="C2330" s="71"/>
      <c r="D2330" s="72"/>
    </row>
    <row r="2331" spans="1:4" ht="30" customHeight="1" x14ac:dyDescent="0.35">
      <c r="A2331"/>
      <c r="B2331"/>
      <c r="C2331" s="71"/>
      <c r="D2331" s="72"/>
    </row>
    <row r="2332" spans="1:4" ht="30" customHeight="1" x14ac:dyDescent="0.35">
      <c r="A2332"/>
      <c r="B2332"/>
      <c r="C2332" s="71"/>
      <c r="D2332" s="72"/>
    </row>
    <row r="2333" spans="1:4" ht="30" customHeight="1" x14ac:dyDescent="0.35">
      <c r="A2333"/>
      <c r="B2333"/>
      <c r="C2333" s="71"/>
      <c r="D2333" s="72"/>
    </row>
    <row r="2334" spans="1:4" ht="30" customHeight="1" x14ac:dyDescent="0.35">
      <c r="A2334"/>
      <c r="B2334"/>
      <c r="C2334" s="71"/>
      <c r="D2334" s="72"/>
    </row>
    <row r="2335" spans="1:4" ht="30" customHeight="1" x14ac:dyDescent="0.35">
      <c r="A2335"/>
      <c r="B2335"/>
      <c r="C2335" s="71"/>
      <c r="D2335" s="72"/>
    </row>
    <row r="2336" spans="1:4" ht="30" customHeight="1" x14ac:dyDescent="0.35">
      <c r="A2336"/>
      <c r="B2336"/>
      <c r="C2336" s="71"/>
      <c r="D2336" s="72"/>
    </row>
    <row r="2337" spans="1:4" ht="30" customHeight="1" x14ac:dyDescent="0.35">
      <c r="A2337"/>
      <c r="B2337"/>
      <c r="C2337" s="71"/>
      <c r="D2337" s="72"/>
    </row>
    <row r="2338" spans="1:4" ht="30" customHeight="1" x14ac:dyDescent="0.35">
      <c r="A2338"/>
      <c r="B2338"/>
      <c r="C2338" s="71"/>
      <c r="D2338" s="72"/>
    </row>
    <row r="2339" spans="1:4" ht="30" customHeight="1" x14ac:dyDescent="0.35">
      <c r="A2339"/>
      <c r="B2339"/>
      <c r="C2339" s="71"/>
      <c r="D2339" s="72"/>
    </row>
    <row r="2340" spans="1:4" ht="30" customHeight="1" x14ac:dyDescent="0.35">
      <c r="A2340"/>
      <c r="B2340"/>
      <c r="C2340" s="71"/>
      <c r="D2340" s="72"/>
    </row>
    <row r="2341" spans="1:4" ht="30" customHeight="1" x14ac:dyDescent="0.35">
      <c r="A2341"/>
      <c r="B2341"/>
      <c r="C2341" s="71"/>
      <c r="D2341" s="72"/>
    </row>
    <row r="2342" spans="1:4" ht="30" customHeight="1" x14ac:dyDescent="0.35">
      <c r="A2342"/>
      <c r="B2342"/>
      <c r="C2342" s="71"/>
      <c r="D2342" s="72"/>
    </row>
    <row r="2343" spans="1:4" ht="30" customHeight="1" x14ac:dyDescent="0.35">
      <c r="A2343"/>
      <c r="B2343"/>
      <c r="C2343" s="71"/>
      <c r="D2343" s="72"/>
    </row>
    <row r="2344" spans="1:4" ht="30" customHeight="1" x14ac:dyDescent="0.35">
      <c r="A2344"/>
      <c r="B2344"/>
      <c r="C2344" s="71"/>
      <c r="D2344" s="72"/>
    </row>
    <row r="2345" spans="1:4" ht="30" customHeight="1" x14ac:dyDescent="0.35">
      <c r="A2345"/>
      <c r="B2345"/>
      <c r="C2345" s="71"/>
      <c r="D2345" s="72"/>
    </row>
    <row r="2346" spans="1:4" ht="30" customHeight="1" x14ac:dyDescent="0.35">
      <c r="A2346"/>
      <c r="B2346"/>
      <c r="C2346" s="71"/>
      <c r="D2346" s="72"/>
    </row>
    <row r="2347" spans="1:4" ht="30" customHeight="1" x14ac:dyDescent="0.35">
      <c r="A2347"/>
      <c r="B2347"/>
      <c r="C2347" s="71"/>
      <c r="D2347" s="72"/>
    </row>
    <row r="2348" spans="1:4" ht="30" customHeight="1" x14ac:dyDescent="0.35">
      <c r="A2348"/>
      <c r="B2348"/>
      <c r="C2348" s="71"/>
      <c r="D2348" s="72"/>
    </row>
    <row r="2349" spans="1:4" ht="30" customHeight="1" x14ac:dyDescent="0.35">
      <c r="A2349"/>
      <c r="B2349"/>
      <c r="C2349" s="71"/>
      <c r="D2349" s="72"/>
    </row>
    <row r="2350" spans="1:4" ht="30" customHeight="1" x14ac:dyDescent="0.35">
      <c r="A2350"/>
      <c r="B2350"/>
      <c r="C2350" s="71"/>
      <c r="D2350" s="72"/>
    </row>
    <row r="2351" spans="1:4" ht="30" customHeight="1" x14ac:dyDescent="0.35">
      <c r="A2351"/>
      <c r="B2351"/>
      <c r="C2351" s="71"/>
      <c r="D2351" s="72"/>
    </row>
  </sheetData>
  <mergeCells count="15">
    <mergeCell ref="B1004:C1004"/>
    <mergeCell ref="B1145:C1145"/>
    <mergeCell ref="B1229:C1229"/>
    <mergeCell ref="B814:C814"/>
    <mergeCell ref="B877:C877"/>
    <mergeCell ref="B945:C945"/>
    <mergeCell ref="B946:C946"/>
    <mergeCell ref="B971:C971"/>
    <mergeCell ref="B991:C991"/>
    <mergeCell ref="B2:D3"/>
    <mergeCell ref="B5:C5"/>
    <mergeCell ref="B179:C179"/>
    <mergeCell ref="B355:C355"/>
    <mergeCell ref="B508:C508"/>
    <mergeCell ref="B527:C527"/>
  </mergeCells>
  <conditionalFormatting sqref="B1">
    <cfRule type="duplicateValues" dxfId="128" priority="129"/>
  </conditionalFormatting>
  <conditionalFormatting sqref="C467">
    <cfRule type="duplicateValues" dxfId="127" priority="1"/>
    <cfRule type="duplicateValues" dxfId="126" priority="2"/>
    <cfRule type="duplicateValues" dxfId="125" priority="3"/>
    <cfRule type="duplicateValues" dxfId="124" priority="4"/>
    <cfRule type="duplicateValues" dxfId="123" priority="5"/>
    <cfRule type="duplicateValues" dxfId="122" priority="6"/>
    <cfRule type="duplicateValues" dxfId="121" priority="7"/>
    <cfRule type="duplicateValues" dxfId="120" priority="8"/>
  </conditionalFormatting>
  <conditionalFormatting sqref="C500">
    <cfRule type="duplicateValues" dxfId="119" priority="73"/>
    <cfRule type="duplicateValues" dxfId="112" priority="74"/>
    <cfRule type="duplicateValues" dxfId="113" priority="75"/>
    <cfRule type="duplicateValues" dxfId="114" priority="76"/>
    <cfRule type="duplicateValues" dxfId="115" priority="77"/>
    <cfRule type="duplicateValues" dxfId="116" priority="78"/>
    <cfRule type="duplicateValues" dxfId="117" priority="79"/>
    <cfRule type="duplicateValues" dxfId="118" priority="80"/>
  </conditionalFormatting>
  <conditionalFormatting sqref="C935">
    <cfRule type="duplicateValues" dxfId="104" priority="65"/>
    <cfRule type="duplicateValues" dxfId="105" priority="66"/>
    <cfRule type="duplicateValues" dxfId="106" priority="67"/>
    <cfRule type="duplicateValues" dxfId="107" priority="68"/>
    <cfRule type="duplicateValues" dxfId="108" priority="69"/>
    <cfRule type="duplicateValues" dxfId="109" priority="70"/>
    <cfRule type="duplicateValues" dxfId="110" priority="71"/>
    <cfRule type="duplicateValues" dxfId="111" priority="72"/>
  </conditionalFormatting>
  <conditionalFormatting sqref="C937">
    <cfRule type="duplicateValues" dxfId="96" priority="49"/>
    <cfRule type="duplicateValues" dxfId="103" priority="50"/>
    <cfRule type="duplicateValues" dxfId="102" priority="51"/>
    <cfRule type="duplicateValues" dxfId="101" priority="52"/>
    <cfRule type="duplicateValues" dxfId="100" priority="53"/>
    <cfRule type="duplicateValues" dxfId="99" priority="54"/>
    <cfRule type="duplicateValues" dxfId="98" priority="55"/>
    <cfRule type="duplicateValues" dxfId="97" priority="56"/>
  </conditionalFormatting>
  <conditionalFormatting sqref="C938">
    <cfRule type="duplicateValues" dxfId="95" priority="57"/>
    <cfRule type="duplicateValues" dxfId="94" priority="58"/>
    <cfRule type="duplicateValues" dxfId="93" priority="59"/>
    <cfRule type="duplicateValues" dxfId="92" priority="60"/>
    <cfRule type="duplicateValues" dxfId="88" priority="61"/>
    <cfRule type="duplicateValues" dxfId="91" priority="62"/>
    <cfRule type="duplicateValues" dxfId="90" priority="63"/>
    <cfRule type="duplicateValues" dxfId="89" priority="64"/>
  </conditionalFormatting>
  <conditionalFormatting sqref="C940">
    <cfRule type="duplicateValues" dxfId="87" priority="41"/>
    <cfRule type="duplicateValues" dxfId="86" priority="42"/>
    <cfRule type="duplicateValues" dxfId="80" priority="43"/>
    <cfRule type="duplicateValues" dxfId="85" priority="44"/>
    <cfRule type="duplicateValues" dxfId="84" priority="45"/>
    <cfRule type="duplicateValues" dxfId="83" priority="46"/>
    <cfRule type="duplicateValues" dxfId="82" priority="47"/>
    <cfRule type="duplicateValues" dxfId="81" priority="48"/>
  </conditionalFormatting>
  <conditionalFormatting sqref="C941">
    <cfRule type="duplicateValues" dxfId="72" priority="33"/>
    <cfRule type="duplicateValues" dxfId="79" priority="34"/>
    <cfRule type="duplicateValues" dxfId="78" priority="35"/>
    <cfRule type="duplicateValues" dxfId="77" priority="36"/>
    <cfRule type="duplicateValues" dxfId="76" priority="37"/>
    <cfRule type="duplicateValues" dxfId="75" priority="38"/>
    <cfRule type="duplicateValues" dxfId="74" priority="39"/>
    <cfRule type="duplicateValues" dxfId="73" priority="40"/>
  </conditionalFormatting>
  <conditionalFormatting sqref="C942">
    <cfRule type="duplicateValues" dxfId="64" priority="25"/>
    <cfRule type="duplicateValues" dxfId="65" priority="26"/>
    <cfRule type="duplicateValues" dxfId="66" priority="27"/>
    <cfRule type="duplicateValues" dxfId="67" priority="28"/>
    <cfRule type="duplicateValues" dxfId="68" priority="29"/>
    <cfRule type="duplicateValues" dxfId="69" priority="30"/>
    <cfRule type="duplicateValues" dxfId="70" priority="31"/>
    <cfRule type="duplicateValues" dxfId="71" priority="32"/>
  </conditionalFormatting>
  <conditionalFormatting sqref="C943">
    <cfRule type="duplicateValues" dxfId="63" priority="17"/>
    <cfRule type="duplicateValues" dxfId="56" priority="18"/>
    <cfRule type="duplicateValues" dxfId="57" priority="19"/>
    <cfRule type="duplicateValues" dxfId="58" priority="20"/>
    <cfRule type="duplicateValues" dxfId="59" priority="21"/>
    <cfRule type="duplicateValues" dxfId="60" priority="22"/>
    <cfRule type="duplicateValues" dxfId="62" priority="23"/>
    <cfRule type="duplicateValues" dxfId="61" priority="24"/>
  </conditionalFormatting>
  <conditionalFormatting sqref="C944">
    <cfRule type="duplicateValues" dxfId="48" priority="9"/>
    <cfRule type="duplicateValues" dxfId="55" priority="10"/>
    <cfRule type="duplicateValues" dxfId="54" priority="11"/>
    <cfRule type="duplicateValues" dxfId="53" priority="12"/>
    <cfRule type="duplicateValues" dxfId="52" priority="13"/>
    <cfRule type="duplicateValues" dxfId="51" priority="14"/>
    <cfRule type="duplicateValues" dxfId="50" priority="15"/>
    <cfRule type="duplicateValues" dxfId="49" priority="16"/>
  </conditionalFormatting>
  <conditionalFormatting sqref="C1071:C1072">
    <cfRule type="duplicateValues" dxfId="40" priority="97"/>
    <cfRule type="duplicateValues" dxfId="47" priority="98"/>
    <cfRule type="duplicateValues" dxfId="43" priority="99"/>
    <cfRule type="duplicateValues" dxfId="45" priority="100"/>
    <cfRule type="duplicateValues" dxfId="46" priority="101"/>
    <cfRule type="duplicateValues" dxfId="42" priority="102"/>
    <cfRule type="duplicateValues" dxfId="44" priority="103"/>
    <cfRule type="duplicateValues" dxfId="41" priority="104"/>
  </conditionalFormatting>
  <conditionalFormatting sqref="C1073:C1074">
    <cfRule type="duplicateValues" dxfId="34" priority="81"/>
    <cfRule type="duplicateValues" dxfId="33" priority="82"/>
    <cfRule type="duplicateValues" dxfId="32" priority="83"/>
    <cfRule type="duplicateValues" dxfId="39" priority="84"/>
    <cfRule type="duplicateValues" dxfId="35" priority="85"/>
    <cfRule type="duplicateValues" dxfId="38" priority="86"/>
    <cfRule type="duplicateValues" dxfId="37" priority="87"/>
    <cfRule type="duplicateValues" dxfId="36" priority="88"/>
  </conditionalFormatting>
  <conditionalFormatting sqref="C1078:C1079">
    <cfRule type="duplicateValues" dxfId="28" priority="89"/>
    <cfRule type="duplicateValues" dxfId="29" priority="90"/>
    <cfRule type="duplicateValues" dxfId="30" priority="91"/>
    <cfRule type="duplicateValues" dxfId="31" priority="92"/>
    <cfRule type="duplicateValues" dxfId="24" priority="93"/>
    <cfRule type="duplicateValues" dxfId="26" priority="94"/>
    <cfRule type="duplicateValues" dxfId="27" priority="95"/>
    <cfRule type="duplicateValues" dxfId="25" priority="96"/>
  </conditionalFormatting>
  <conditionalFormatting sqref="C1095">
    <cfRule type="duplicateValues" dxfId="16" priority="113"/>
    <cfRule type="duplicateValues" dxfId="22" priority="114"/>
    <cfRule type="duplicateValues" dxfId="21" priority="115"/>
    <cfRule type="duplicateValues" dxfId="20" priority="116"/>
    <cfRule type="duplicateValues" dxfId="19" priority="117"/>
    <cfRule type="duplicateValues" dxfId="18" priority="118"/>
    <cfRule type="duplicateValues" dxfId="17" priority="119"/>
    <cfRule type="duplicateValues" dxfId="23" priority="120"/>
  </conditionalFormatting>
  <conditionalFormatting sqref="C1096">
    <cfRule type="duplicateValues" dxfId="15" priority="105"/>
    <cfRule type="duplicateValues" dxfId="14" priority="106"/>
    <cfRule type="duplicateValues" dxfId="13" priority="107"/>
    <cfRule type="duplicateValues" dxfId="12" priority="108"/>
    <cfRule type="duplicateValues" dxfId="11" priority="109"/>
    <cfRule type="duplicateValues" dxfId="10" priority="110"/>
    <cfRule type="duplicateValues" dxfId="8" priority="111"/>
    <cfRule type="duplicateValues" dxfId="9" priority="112"/>
  </conditionalFormatting>
  <conditionalFormatting sqref="C1223:C1226 C915:C932 C76:C136 C501:C507 C1097:C1144 C1075:C1077 C1080:C1094 C1058:C1070 C411:C466 C468:C499">
    <cfRule type="duplicateValues" dxfId="7" priority="121"/>
    <cfRule type="duplicateValues" dxfId="6" priority="122"/>
    <cfRule type="duplicateValues" dxfId="5" priority="123"/>
    <cfRule type="duplicateValues" dxfId="4" priority="124"/>
    <cfRule type="duplicateValues" dxfId="3" priority="125"/>
    <cfRule type="duplicateValues" dxfId="2" priority="126"/>
    <cfRule type="duplicateValues" dxfId="1" priority="127"/>
    <cfRule type="duplicateValues" dxfId="0" priority="128"/>
  </conditionalFormatting>
  <printOptions horizontalCentered="1"/>
  <pageMargins left="0.7" right="0.7" top="1.2306250000000001" bottom="0.75" header="0.3" footer="0.3"/>
  <pageSetup paperSize="9" scale="49" fitToHeight="0" orientation="portrait" r:id="rId1"/>
  <headerFooter>
    <oddHeader>&amp;C&amp;"Arial,Negrita"&amp;18&amp;KFF0000
&amp;K000000DYNADRILL ECUADOR C.A.&amp;R
&amp;G</oddHeader>
    <oddFooter>Página &amp;P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Caceres</dc:creator>
  <cp:lastModifiedBy>Monica Caceres</cp:lastModifiedBy>
  <dcterms:created xsi:type="dcterms:W3CDTF">2026-01-11T20:14:45Z</dcterms:created>
  <dcterms:modified xsi:type="dcterms:W3CDTF">2026-01-11T20:16:18Z</dcterms:modified>
</cp:coreProperties>
</file>